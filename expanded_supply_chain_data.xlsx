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Documents\@JOB\PREPARE (SC ANALYST)\"/>
    </mc:Choice>
  </mc:AlternateContent>
  <xr:revisionPtr revIDLastSave="0" documentId="13_ncr:9_{FE0F9FA0-6816-4DFB-8E28-3019C337F1D2}" xr6:coauthVersionLast="47" xr6:coauthVersionMax="47" xr10:uidLastSave="{00000000-0000-0000-0000-000000000000}"/>
  <bookViews>
    <workbookView xWindow="-108" yWindow="-108" windowWidth="23256" windowHeight="13176" xr2:uid="{CCB272BC-6092-4F23-A1EE-800EACAD928C}"/>
  </bookViews>
  <sheets>
    <sheet name="expanded_supply_chain_data" sheetId="1" r:id="rId1"/>
    <sheet name="Coordinate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2" i="1"/>
</calcChain>
</file>

<file path=xl/sharedStrings.xml><?xml version="1.0" encoding="utf-8"?>
<sst xmlns="http://schemas.openxmlformats.org/spreadsheetml/2006/main" count="27472" uniqueCount="3061">
  <si>
    <t>Product type</t>
  </si>
  <si>
    <t>SKU</t>
  </si>
  <si>
    <t>Price</t>
  </si>
  <si>
    <t>Availability</t>
  </si>
  <si>
    <t>Number of products sold</t>
  </si>
  <si>
    <t>Revenue generated</t>
  </si>
  <si>
    <t>Customer demographics</t>
  </si>
  <si>
    <t>Stock levels</t>
  </si>
  <si>
    <t>Lead times</t>
  </si>
  <si>
    <t>Order quantities</t>
  </si>
  <si>
    <t>Shipping times</t>
  </si>
  <si>
    <t>Shipping carriers</t>
  </si>
  <si>
    <t>Shipping costs</t>
  </si>
  <si>
    <t>Supplier name</t>
  </si>
  <si>
    <t>Location</t>
  </si>
  <si>
    <t>Lead time</t>
  </si>
  <si>
    <t>Production volumes</t>
  </si>
  <si>
    <t>Manufacturing lead time</t>
  </si>
  <si>
    <t>Manufacturing costs</t>
  </si>
  <si>
    <t>Inspection results</t>
  </si>
  <si>
    <t>Defect rates</t>
  </si>
  <si>
    <t>Transportation modes</t>
  </si>
  <si>
    <t>Routes</t>
  </si>
  <si>
    <t>Costs</t>
  </si>
  <si>
    <t>Cosmetics</t>
  </si>
  <si>
    <t>SKU0</t>
  </si>
  <si>
    <t>Non-binary</t>
  </si>
  <si>
    <t>Carrier A</t>
  </si>
  <si>
    <t>Supplier 5</t>
  </si>
  <si>
    <t>Houston</t>
  </si>
  <si>
    <t>Pass</t>
  </si>
  <si>
    <t>Sea</t>
  </si>
  <si>
    <t>Route A</t>
  </si>
  <si>
    <t>skincare</t>
  </si>
  <si>
    <t>SKU1</t>
  </si>
  <si>
    <t>Male</t>
  </si>
  <si>
    <t>Carrier C</t>
  </si>
  <si>
    <t>Supplier 3</t>
  </si>
  <si>
    <t>Miami</t>
  </si>
  <si>
    <t>Fail</t>
  </si>
  <si>
    <t>Rail</t>
  </si>
  <si>
    <t>Route C</t>
  </si>
  <si>
    <t>Skincare</t>
  </si>
  <si>
    <t>SKU2</t>
  </si>
  <si>
    <t>Carrier B</t>
  </si>
  <si>
    <t>Supplier 4</t>
  </si>
  <si>
    <t>Road</t>
  </si>
  <si>
    <t>SKU3</t>
  </si>
  <si>
    <t>Unknown</t>
  </si>
  <si>
    <t>HAIRCARE</t>
  </si>
  <si>
    <t>SKU4</t>
  </si>
  <si>
    <t xml:space="preserve">Supplier 1 </t>
  </si>
  <si>
    <t>Air</t>
  </si>
  <si>
    <t>SKU5</t>
  </si>
  <si>
    <t>Female</t>
  </si>
  <si>
    <t>Pending</t>
  </si>
  <si>
    <t>SKU6</t>
  </si>
  <si>
    <t xml:space="preserve"> Supplier 2</t>
  </si>
  <si>
    <t>Los Angeles</t>
  </si>
  <si>
    <t>SKU7</t>
  </si>
  <si>
    <t>Route B</t>
  </si>
  <si>
    <t>Haircare</t>
  </si>
  <si>
    <t>SKU8</t>
  </si>
  <si>
    <t>SKU9</t>
  </si>
  <si>
    <t>SKU10</t>
  </si>
  <si>
    <t>Chicago</t>
  </si>
  <si>
    <t>SKU11</t>
  </si>
  <si>
    <t>New York</t>
  </si>
  <si>
    <t>SKU12</t>
  </si>
  <si>
    <t>SKU13</t>
  </si>
  <si>
    <t>SKU14</t>
  </si>
  <si>
    <t>SKU15</t>
  </si>
  <si>
    <t>cosmetics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</si>
  <si>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</si>
  <si>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</si>
  <si>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</si>
  <si>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</si>
  <si>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</si>
  <si>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</si>
  <si>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</si>
  <si>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</si>
  <si>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</si>
  <si>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haircare</t>
  </si>
  <si>
    <t>SKU25</t>
  </si>
  <si>
    <t>SKU26</t>
  </si>
  <si>
    <t>SKU27</t>
  </si>
  <si>
    <t>SKU28</t>
  </si>
  <si>
    <t>SKU29</t>
  </si>
  <si>
    <t>SKU30</t>
  </si>
  <si>
    <t>SKU31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</si>
  <si>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</si>
  <si>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</si>
  <si>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</si>
  <si>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</si>
  <si>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</si>
  <si>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</si>
  <si>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</si>
  <si>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</si>
  <si>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SKU40</t>
  </si>
  <si>
    <t>SKU41</t>
  </si>
  <si>
    <t>SKU42</t>
  </si>
  <si>
    <t>SKU43</t>
  </si>
  <si>
    <t>SKU44</t>
  </si>
  <si>
    <t>SKU45</t>
  </si>
  <si>
    <t>SKU46</t>
  </si>
  <si>
    <t>SKU47</t>
  </si>
  <si>
    <t>SKU48</t>
  </si>
  <si>
    <t>SKU49</t>
  </si>
  <si>
    <t>SKU50</t>
  </si>
  <si>
    <t>SKU51</t>
  </si>
  <si>
    <t>SKU52</t>
  </si>
  <si>
    <t>SKU53</t>
  </si>
  <si>
    <t>SKU54</t>
  </si>
  <si>
    <t>SKU55</t>
  </si>
  <si>
    <t>SKU56</t>
  </si>
  <si>
    <t>SKU57</t>
  </si>
  <si>
    <t>SKU58</t>
  </si>
  <si>
    <t>SKU59</t>
  </si>
  <si>
    <t>SKU60</t>
  </si>
  <si>
    <t>SKU61</t>
  </si>
  <si>
    <t>SKU62</t>
  </si>
  <si>
    <t>SKU63</t>
  </si>
  <si>
    <t>SKU64</t>
  </si>
  <si>
    <t>SKU65</t>
  </si>
  <si>
    <t>SKU66</t>
  </si>
  <si>
    <t>SKU67</t>
  </si>
  <si>
    <t>SKU68</t>
  </si>
  <si>
    <t>SKU69</t>
  </si>
  <si>
    <t>SKU70</t>
  </si>
  <si>
    <t>SKU71</t>
  </si>
  <si>
    <t>SKU72</t>
  </si>
  <si>
    <t>SKU73</t>
  </si>
  <si>
    <t>SKU74</t>
  </si>
  <si>
    <t>SKU75</t>
  </si>
  <si>
    <t>SKU76</t>
  </si>
  <si>
    <t>SKU77</t>
  </si>
  <si>
    <t>SKU78</t>
  </si>
  <si>
    <t>SKU79</t>
  </si>
  <si>
    <t>SKU80</t>
  </si>
  <si>
    <t>SKU81</t>
  </si>
  <si>
    <t>SKU82</t>
  </si>
  <si>
    <t>SKU83</t>
  </si>
  <si>
    <t>SKU84</t>
  </si>
  <si>
    <t>SKU85</t>
  </si>
  <si>
    <t>SKU86</t>
  </si>
  <si>
    <t>SKU87</t>
  </si>
  <si>
    <t>SKU88</t>
  </si>
  <si>
    <t>SKU89</t>
  </si>
  <si>
    <t>SKU90</t>
  </si>
  <si>
    <t>SKU91</t>
  </si>
  <si>
    <t>SKU92</t>
  </si>
  <si>
    <t>SKU93</t>
  </si>
  <si>
    <t>SKU94</t>
  </si>
  <si>
    <t>SKU95</t>
  </si>
  <si>
    <t>SKU96</t>
  </si>
  <si>
    <t>SKU97</t>
  </si>
  <si>
    <t>SKU98</t>
  </si>
  <si>
    <t>SKU99</t>
  </si>
  <si>
    <t>SKU100</t>
  </si>
  <si>
    <t>SKU101</t>
  </si>
  <si>
    <t>SKU102</t>
  </si>
  <si>
    <t>SKU103</t>
  </si>
  <si>
    <t>SKU104</t>
  </si>
  <si>
    <t>SKU105</t>
  </si>
  <si>
    <t>SKU106</t>
  </si>
  <si>
    <t>SKU107</t>
  </si>
  <si>
    <t>SKU108</t>
  </si>
  <si>
    <t>SKU109</t>
  </si>
  <si>
    <t>SKU110</t>
  </si>
  <si>
    <t>SKU111</t>
  </si>
  <si>
    <t>SKU112</t>
  </si>
  <si>
    <t>SKU113</t>
  </si>
  <si>
    <t>SKU114</t>
  </si>
  <si>
    <t>SKU115</t>
  </si>
  <si>
    <t>SKU116</t>
  </si>
  <si>
    <t>SKU117</t>
  </si>
  <si>
    <t>SKU118</t>
  </si>
  <si>
    <t>SKU119</t>
  </si>
  <si>
    <t>SKU120</t>
  </si>
  <si>
    <t>SKU121</t>
  </si>
  <si>
    <t>SKU122</t>
  </si>
  <si>
    <t>SKU123</t>
  </si>
  <si>
    <t>SKU124</t>
  </si>
  <si>
    <t>SKU125</t>
  </si>
  <si>
    <t>SKU126</t>
  </si>
  <si>
    <t>SKU127</t>
  </si>
  <si>
    <t>SKU128</t>
  </si>
  <si>
    <t>SKU129</t>
  </si>
  <si>
    <t>SKU130</t>
  </si>
  <si>
    <t>SKU131</t>
  </si>
  <si>
    <t>SKU132</t>
  </si>
  <si>
    <t>SKU133</t>
  </si>
  <si>
    <t>SKU134</t>
  </si>
  <si>
    <t>SKU135</t>
  </si>
  <si>
    <t>SKU136</t>
  </si>
  <si>
    <t>SKU137</t>
  </si>
  <si>
    <t>SKU138</t>
  </si>
  <si>
    <t>SKU139</t>
  </si>
  <si>
    <t>SKU140</t>
  </si>
  <si>
    <t>SKU141</t>
  </si>
  <si>
    <t>SKU142</t>
  </si>
  <si>
    <t>SKU143</t>
  </si>
  <si>
    <t>SKU144</t>
  </si>
  <si>
    <t>SKU145</t>
  </si>
  <si>
    <t>SKU146</t>
  </si>
  <si>
    <t>SKU147</t>
  </si>
  <si>
    <t>SKU148</t>
  </si>
  <si>
    <t>SKU149</t>
  </si>
  <si>
    <t>SKU150</t>
  </si>
  <si>
    <t>SKU151</t>
  </si>
  <si>
    <t>SKU152</t>
  </si>
  <si>
    <t>SKU153</t>
  </si>
  <si>
    <t>SKU154</t>
  </si>
  <si>
    <t>SKU155</t>
  </si>
  <si>
    <t>SKU156</t>
  </si>
  <si>
    <t>SKU157</t>
  </si>
  <si>
    <t>SKU158</t>
  </si>
  <si>
    <t>SKU159</t>
  </si>
  <si>
    <t>SKU160</t>
  </si>
  <si>
    <t>SKU161</t>
  </si>
  <si>
    <t>SKU162</t>
  </si>
  <si>
    <t>SKU163</t>
  </si>
  <si>
    <t>SKU164</t>
  </si>
  <si>
    <t>SKU165</t>
  </si>
  <si>
    <t>SKU166</t>
  </si>
  <si>
    <t>SKU167</t>
  </si>
  <si>
    <t>SKU168</t>
  </si>
  <si>
    <t>SKU169</t>
  </si>
  <si>
    <t>SKU170</t>
  </si>
  <si>
    <t>SKU171</t>
  </si>
  <si>
    <t>SKU172</t>
  </si>
  <si>
    <t>SKU173</t>
  </si>
  <si>
    <t>SKU174</t>
  </si>
  <si>
    <t>SKU175</t>
  </si>
  <si>
    <t>SKU176</t>
  </si>
  <si>
    <t>SKU177</t>
  </si>
  <si>
    <t>SKU178</t>
  </si>
  <si>
    <t>SKU179</t>
  </si>
  <si>
    <t>SKU180</t>
  </si>
  <si>
    <t>SKU181</t>
  </si>
  <si>
    <t>SKU182</t>
  </si>
  <si>
    <t>SKU183</t>
  </si>
  <si>
    <t>SKU184</t>
  </si>
  <si>
    <t>SKU185</t>
  </si>
  <si>
    <t>SKU186</t>
  </si>
  <si>
    <t>SKU187</t>
  </si>
  <si>
    <t>SKU188</t>
  </si>
  <si>
    <t>SKU189</t>
  </si>
  <si>
    <t>SKU190</t>
  </si>
  <si>
    <t>SKU191</t>
  </si>
  <si>
    <t>SKU192</t>
  </si>
  <si>
    <t>SKU193</t>
  </si>
  <si>
    <t>SKU194</t>
  </si>
  <si>
    <t>SKU195</t>
  </si>
  <si>
    <t>SKU196</t>
  </si>
  <si>
    <t>SKU197</t>
  </si>
  <si>
    <t>SKU198</t>
  </si>
  <si>
    <t>SKU199</t>
  </si>
  <si>
    <t>SKU200</t>
  </si>
  <si>
    <t>SKU201</t>
  </si>
  <si>
    <t>SKU202</t>
  </si>
  <si>
    <t>SKU203</t>
  </si>
  <si>
    <t>SKU204</t>
  </si>
  <si>
    <t>SKU205</t>
  </si>
  <si>
    <t>SKU206</t>
  </si>
  <si>
    <t>SKU207</t>
  </si>
  <si>
    <t>SKU208</t>
  </si>
  <si>
    <t>SKU209</t>
  </si>
  <si>
    <t>SKU210</t>
  </si>
  <si>
    <t>SKU211</t>
  </si>
  <si>
    <t>SKU212</t>
  </si>
  <si>
    <t>SKU213</t>
  </si>
  <si>
    <t>SKU214</t>
  </si>
  <si>
    <t>SKU215</t>
  </si>
  <si>
    <t>SKU216</t>
  </si>
  <si>
    <t>SKU217</t>
  </si>
  <si>
    <t>SKU218</t>
  </si>
  <si>
    <t>SKU219</t>
  </si>
  <si>
    <t>SKU220</t>
  </si>
  <si>
    <t>SKU221</t>
  </si>
  <si>
    <t>SKU222</t>
  </si>
  <si>
    <t>SKU223</t>
  </si>
  <si>
    <t>SKU224</t>
  </si>
  <si>
    <t>SKU225</t>
  </si>
  <si>
    <t>SKU226</t>
  </si>
  <si>
    <t>SKU227</t>
  </si>
  <si>
    <t>SKU228</t>
  </si>
  <si>
    <t>SKU229</t>
  </si>
  <si>
    <t>SKU230</t>
  </si>
  <si>
    <t>SKU231</t>
  </si>
  <si>
    <t>SKU232</t>
  </si>
  <si>
    <t>SKU233</t>
  </si>
  <si>
    <t>SKU234</t>
  </si>
  <si>
    <t>SKU235</t>
  </si>
  <si>
    <t>SKU236</t>
  </si>
  <si>
    <t>SKU237</t>
  </si>
  <si>
    <t>SKU238</t>
  </si>
  <si>
    <t>SKU239</t>
  </si>
  <si>
    <t>SKU240</t>
  </si>
  <si>
    <t>SKU241</t>
  </si>
  <si>
    <t>SKU242</t>
  </si>
  <si>
    <t>SKU243</t>
  </si>
  <si>
    <t>SKU244</t>
  </si>
  <si>
    <t>SKU245</t>
  </si>
  <si>
    <t>SKU246</t>
  </si>
  <si>
    <t>SKU247</t>
  </si>
  <si>
    <t>SKU248</t>
  </si>
  <si>
    <t>SKU249</t>
  </si>
  <si>
    <t>SKU250</t>
  </si>
  <si>
    <t>SKU251</t>
  </si>
  <si>
    <t>SKU252</t>
  </si>
  <si>
    <t>SKU253</t>
  </si>
  <si>
    <t>SKU254</t>
  </si>
  <si>
    <t>SKU255</t>
  </si>
  <si>
    <t>SKU256</t>
  </si>
  <si>
    <t>SKU257</t>
  </si>
  <si>
    <t>SKU258</t>
  </si>
  <si>
    <t>SKU259</t>
  </si>
  <si>
    <t>SKU260</t>
  </si>
  <si>
    <t>SKU261</t>
  </si>
  <si>
    <t>SKU262</t>
  </si>
  <si>
    <t>SKU263</t>
  </si>
  <si>
    <t>SKU264</t>
  </si>
  <si>
    <t>SKU265</t>
  </si>
  <si>
    <t>SKU266</t>
  </si>
  <si>
    <t>SKU267</t>
  </si>
  <si>
    <t>SKU268</t>
  </si>
  <si>
    <t>SKU269</t>
  </si>
  <si>
    <t>SKU270</t>
  </si>
  <si>
    <t>SKU271</t>
  </si>
  <si>
    <t>SKU272</t>
  </si>
  <si>
    <t>SKU273</t>
  </si>
  <si>
    <t>SKU274</t>
  </si>
  <si>
    <t>SKU275</t>
  </si>
  <si>
    <t>SKU276</t>
  </si>
  <si>
    <t>SKU277</t>
  </si>
  <si>
    <t>SKU278</t>
  </si>
  <si>
    <t>SKU279</t>
  </si>
  <si>
    <t>SKU280</t>
  </si>
  <si>
    <t>SKU281</t>
  </si>
  <si>
    <t>SKU282</t>
  </si>
  <si>
    <t>SKU283</t>
  </si>
  <si>
    <t>SKU284</t>
  </si>
  <si>
    <t>SKU285</t>
  </si>
  <si>
    <t>SKU286</t>
  </si>
  <si>
    <t>SKU287</t>
  </si>
  <si>
    <t>SKU288</t>
  </si>
  <si>
    <t>SKU289</t>
  </si>
  <si>
    <t>SKU290</t>
  </si>
  <si>
    <t>SKU291</t>
  </si>
  <si>
    <t>SKU292</t>
  </si>
  <si>
    <t>SKU293</t>
  </si>
  <si>
    <t>SKU294</t>
  </si>
  <si>
    <t>SKU295</t>
  </si>
  <si>
    <t>SKU296</t>
  </si>
  <si>
    <t>SKU297</t>
  </si>
  <si>
    <t>SKU298</t>
  </si>
  <si>
    <t>SKU299</t>
  </si>
  <si>
    <t>SKU300</t>
  </si>
  <si>
    <t>SKU301</t>
  </si>
  <si>
    <t>SKU302</t>
  </si>
  <si>
    <t>SKU303</t>
  </si>
  <si>
    <t>SKU304</t>
  </si>
  <si>
    <t>SKU305</t>
  </si>
  <si>
    <t>SKU306</t>
  </si>
  <si>
    <t>SKU307</t>
  </si>
  <si>
    <t>SKU308</t>
  </si>
  <si>
    <t>SKU309</t>
  </si>
  <si>
    <t>SKU310</t>
  </si>
  <si>
    <t>SKU311</t>
  </si>
  <si>
    <t>SKU312</t>
  </si>
  <si>
    <t>SKU313</t>
  </si>
  <si>
    <t>SKU314</t>
  </si>
  <si>
    <t>SKU315</t>
  </si>
  <si>
    <t>SKU316</t>
  </si>
  <si>
    <t>SKU317</t>
  </si>
  <si>
    <t>SKU318</t>
  </si>
  <si>
    <t>SKU319</t>
  </si>
  <si>
    <t>SKU320</t>
  </si>
  <si>
    <t>SKU321</t>
  </si>
  <si>
    <t>SKU322</t>
  </si>
  <si>
    <t>SKU323</t>
  </si>
  <si>
    <t>SKU324</t>
  </si>
  <si>
    <t>SKU325</t>
  </si>
  <si>
    <t>SKU326</t>
  </si>
  <si>
    <t>SKU327</t>
  </si>
  <si>
    <t>SKU328</t>
  </si>
  <si>
    <t>SKU329</t>
  </si>
  <si>
    <t>SKU330</t>
  </si>
  <si>
    <t>SKU331</t>
  </si>
  <si>
    <t>SKU332</t>
  </si>
  <si>
    <t>SKU333</t>
  </si>
  <si>
    <t>SKU334</t>
  </si>
  <si>
    <t>SKU335</t>
  </si>
  <si>
    <t>SKU336</t>
  </si>
  <si>
    <t>SKU337</t>
  </si>
  <si>
    <t>SKU338</t>
  </si>
  <si>
    <t>SKU339</t>
  </si>
  <si>
    <t>SKU340</t>
  </si>
  <si>
    <t>SKU341</t>
  </si>
  <si>
    <t>SKU342</t>
  </si>
  <si>
    <t>SKU343</t>
  </si>
  <si>
    <t>SKU344</t>
  </si>
  <si>
    <t>SKU345</t>
  </si>
  <si>
    <t>SKU346</t>
  </si>
  <si>
    <t>SKU347</t>
  </si>
  <si>
    <t>SKU348</t>
  </si>
  <si>
    <t>SKU349</t>
  </si>
  <si>
    <t>SKU350</t>
  </si>
  <si>
    <t>SKU351</t>
  </si>
  <si>
    <t>SKU352</t>
  </si>
  <si>
    <t>SKU353</t>
  </si>
  <si>
    <t>SKU354</t>
  </si>
  <si>
    <t>SKU355</t>
  </si>
  <si>
    <t>SKU356</t>
  </si>
  <si>
    <t>SKU357</t>
  </si>
  <si>
    <t>SKU358</t>
  </si>
  <si>
    <t>SKU359</t>
  </si>
  <si>
    <t>SKU360</t>
  </si>
  <si>
    <t>SKU361</t>
  </si>
  <si>
    <t>SKU362</t>
  </si>
  <si>
    <t>SKU363</t>
  </si>
  <si>
    <t>SKU364</t>
  </si>
  <si>
    <t>SKU365</t>
  </si>
  <si>
    <t>SKU366</t>
  </si>
  <si>
    <t>SKU367</t>
  </si>
  <si>
    <t>SKU368</t>
  </si>
  <si>
    <t>SKU369</t>
  </si>
  <si>
    <t>SKU370</t>
  </si>
  <si>
    <t>SKU371</t>
  </si>
  <si>
    <t>SKU372</t>
  </si>
  <si>
    <t>SKU373</t>
  </si>
  <si>
    <t>SKU374</t>
  </si>
  <si>
    <t>SKU375</t>
  </si>
  <si>
    <t>SKU376</t>
  </si>
  <si>
    <t>SKU377</t>
  </si>
  <si>
    <t>SKU378</t>
  </si>
  <si>
    <t>SKU379</t>
  </si>
  <si>
    <t>SKU380</t>
  </si>
  <si>
    <t>SKU381</t>
  </si>
  <si>
    <t>SKU382</t>
  </si>
  <si>
    <t>SKU383</t>
  </si>
  <si>
    <t>SKU384</t>
  </si>
  <si>
    <t>SKU385</t>
  </si>
  <si>
    <t>SKU386</t>
  </si>
  <si>
    <t>SKU387</t>
  </si>
  <si>
    <t>SKU388</t>
  </si>
  <si>
    <t>SKU389</t>
  </si>
  <si>
    <t>SKU390</t>
  </si>
  <si>
    <t>SKU391</t>
  </si>
  <si>
    <t>SKU392</t>
  </si>
  <si>
    <t>SKU393</t>
  </si>
  <si>
    <t>SKU394</t>
  </si>
  <si>
    <t>SKU395</t>
  </si>
  <si>
    <t>SKU396</t>
  </si>
  <si>
    <t>SKU397</t>
  </si>
  <si>
    <t>SKU398</t>
  </si>
  <si>
    <t>SKU399</t>
  </si>
  <si>
    <t>SKU400</t>
  </si>
  <si>
    <t>SKU401</t>
  </si>
  <si>
    <t>SKU402</t>
  </si>
  <si>
    <t>SKU403</t>
  </si>
  <si>
    <t>SKU404</t>
  </si>
  <si>
    <t>SKU405</t>
  </si>
  <si>
    <t>SKU406</t>
  </si>
  <si>
    <t>SKU407</t>
  </si>
  <si>
    <t>SKU408</t>
  </si>
  <si>
    <t>SKU409</t>
  </si>
  <si>
    <t>SKU410</t>
  </si>
  <si>
    <t>SKU411</t>
  </si>
  <si>
    <t>SKU412</t>
  </si>
  <si>
    <t>SKU413</t>
  </si>
  <si>
    <t>SKU414</t>
  </si>
  <si>
    <t>SKU415</t>
  </si>
  <si>
    <t>SKU416</t>
  </si>
  <si>
    <t>SKU417</t>
  </si>
  <si>
    <t>SKU418</t>
  </si>
  <si>
    <t>SKU419</t>
  </si>
  <si>
    <t>SKU420</t>
  </si>
  <si>
    <t>SKU421</t>
  </si>
  <si>
    <t>SKU422</t>
  </si>
  <si>
    <t>SKU423</t>
  </si>
  <si>
    <t>SKU424</t>
  </si>
  <si>
    <t>SKU425</t>
  </si>
  <si>
    <t>SKU426</t>
  </si>
  <si>
    <t>SKU427</t>
  </si>
  <si>
    <t>SKU428</t>
  </si>
  <si>
    <t>SKU429</t>
  </si>
  <si>
    <t>SKU430</t>
  </si>
  <si>
    <t>SKU431</t>
  </si>
  <si>
    <t>SKU432</t>
  </si>
  <si>
    <t>SKU433</t>
  </si>
  <si>
    <t>SKU434</t>
  </si>
  <si>
    <t>SKU435</t>
  </si>
  <si>
    <t>SKU436</t>
  </si>
  <si>
    <t>SKU437</t>
  </si>
  <si>
    <t>SKU438</t>
  </si>
  <si>
    <t>SKU439</t>
  </si>
  <si>
    <t>SKU440</t>
  </si>
  <si>
    <t>SKU441</t>
  </si>
  <si>
    <t>SKU442</t>
  </si>
  <si>
    <t>SKU443</t>
  </si>
  <si>
    <t>SKU444</t>
  </si>
  <si>
    <t>SKU445</t>
  </si>
  <si>
    <t>SKU446</t>
  </si>
  <si>
    <t>SKU447</t>
  </si>
  <si>
    <t>SKU448</t>
  </si>
  <si>
    <t>SKU449</t>
  </si>
  <si>
    <t>SKU450</t>
  </si>
  <si>
    <t>SKU451</t>
  </si>
  <si>
    <t>SKU452</t>
  </si>
  <si>
    <t>SKU453</t>
  </si>
  <si>
    <t>SKU454</t>
  </si>
  <si>
    <t>SKU455</t>
  </si>
  <si>
    <t>SKU456</t>
  </si>
  <si>
    <t>SKU457</t>
  </si>
  <si>
    <t>SKU458</t>
  </si>
  <si>
    <t>SKU459</t>
  </si>
  <si>
    <t>SKU460</t>
  </si>
  <si>
    <t>SKU461</t>
  </si>
  <si>
    <t>SKU462</t>
  </si>
  <si>
    <t>SKU463</t>
  </si>
  <si>
    <t>SKU464</t>
  </si>
  <si>
    <t>SKU465</t>
  </si>
  <si>
    <t>SKU466</t>
  </si>
  <si>
    <t>SKU467</t>
  </si>
  <si>
    <t>SKU468</t>
  </si>
  <si>
    <t>SKU469</t>
  </si>
  <si>
    <t>SKU470</t>
  </si>
  <si>
    <t>SKU471</t>
  </si>
  <si>
    <t>SKU472</t>
  </si>
  <si>
    <t>SKU473</t>
  </si>
  <si>
    <t>SKU474</t>
  </si>
  <si>
    <t>SKU475</t>
  </si>
  <si>
    <t>SKU476</t>
  </si>
  <si>
    <t>SKU477</t>
  </si>
  <si>
    <t>SKU478</t>
  </si>
  <si>
    <t>SKU479</t>
  </si>
  <si>
    <t>SKU480</t>
  </si>
  <si>
    <t>SKU481</t>
  </si>
  <si>
    <t>SKU482</t>
  </si>
  <si>
    <t>SKU483</t>
  </si>
  <si>
    <t>SKU484</t>
  </si>
  <si>
    <t>SKU485</t>
  </si>
  <si>
    <t>SKU486</t>
  </si>
  <si>
    <t>SKU487</t>
  </si>
  <si>
    <t>SKU488</t>
  </si>
  <si>
    <t>SKU489</t>
  </si>
  <si>
    <t>SKU490</t>
  </si>
  <si>
    <t>SKU491</t>
  </si>
  <si>
    <t>SKU492</t>
  </si>
  <si>
    <t>SKU493</t>
  </si>
  <si>
    <t>SKU494</t>
  </si>
  <si>
    <t>SKU495</t>
  </si>
  <si>
    <t>SKU496</t>
  </si>
  <si>
    <t>SKU497</t>
  </si>
  <si>
    <t>SKU498</t>
  </si>
  <si>
    <t>SKU499</t>
  </si>
  <si>
    <t>SKU500</t>
  </si>
  <si>
    <t>SKU501</t>
  </si>
  <si>
    <t>SKU502</t>
  </si>
  <si>
    <t>SKU503</t>
  </si>
  <si>
    <t>SKU504</t>
  </si>
  <si>
    <t>SKU505</t>
  </si>
  <si>
    <t>SKU506</t>
  </si>
  <si>
    <t>SKU507</t>
  </si>
  <si>
    <t>SKU508</t>
  </si>
  <si>
    <t>SKU509</t>
  </si>
  <si>
    <t>SKU510</t>
  </si>
  <si>
    <t>SKU511</t>
  </si>
  <si>
    <t>SKU512</t>
  </si>
  <si>
    <t>SKU513</t>
  </si>
  <si>
    <t>SKU514</t>
  </si>
  <si>
    <t>SKU515</t>
  </si>
  <si>
    <t>SKU516</t>
  </si>
  <si>
    <t>SKU517</t>
  </si>
  <si>
    <t>SKU518</t>
  </si>
  <si>
    <t>SKU519</t>
  </si>
  <si>
    <t>SKU520</t>
  </si>
  <si>
    <t>SKU521</t>
  </si>
  <si>
    <t>SKU522</t>
  </si>
  <si>
    <t>SKU523</t>
  </si>
  <si>
    <t>SKU524</t>
  </si>
  <si>
    <t>SKU525</t>
  </si>
  <si>
    <t>SKU526</t>
  </si>
  <si>
    <t>SKU527</t>
  </si>
  <si>
    <t>SKU528</t>
  </si>
  <si>
    <t>SKU529</t>
  </si>
  <si>
    <t>SKU530</t>
  </si>
  <si>
    <t>SKU531</t>
  </si>
  <si>
    <t>SKU532</t>
  </si>
  <si>
    <t>SKU533</t>
  </si>
  <si>
    <t>SKU534</t>
  </si>
  <si>
    <t>SKU535</t>
  </si>
  <si>
    <t>SKU536</t>
  </si>
  <si>
    <t>SKU537</t>
  </si>
  <si>
    <t>SKU538</t>
  </si>
  <si>
    <t>SKU539</t>
  </si>
  <si>
    <t>SKU540</t>
  </si>
  <si>
    <t>SKU541</t>
  </si>
  <si>
    <t>SKU542</t>
  </si>
  <si>
    <t>SKU543</t>
  </si>
  <si>
    <t>SKU544</t>
  </si>
  <si>
    <t>SKU545</t>
  </si>
  <si>
    <t>SKU546</t>
  </si>
  <si>
    <t>SKU547</t>
  </si>
  <si>
    <t>SKU548</t>
  </si>
  <si>
    <t>SKU549</t>
  </si>
  <si>
    <t>SKU550</t>
  </si>
  <si>
    <t>SKU551</t>
  </si>
  <si>
    <t>SKU552</t>
  </si>
  <si>
    <t>SKU553</t>
  </si>
  <si>
    <t>SKU554</t>
  </si>
  <si>
    <t>SKU555</t>
  </si>
  <si>
    <t>SKU556</t>
  </si>
  <si>
    <t>SKU557</t>
  </si>
  <si>
    <t>SKU558</t>
  </si>
  <si>
    <t>SKU559</t>
  </si>
  <si>
    <t>SKU560</t>
  </si>
  <si>
    <t>SKU561</t>
  </si>
  <si>
    <t>SKU562</t>
  </si>
  <si>
    <t>SKU563</t>
  </si>
  <si>
    <t>SKU564</t>
  </si>
  <si>
    <t>SKU565</t>
  </si>
  <si>
    <t>SKU566</t>
  </si>
  <si>
    <t>SKU567</t>
  </si>
  <si>
    <t>SKU568</t>
  </si>
  <si>
    <t>SKU569</t>
  </si>
  <si>
    <t>SKU570</t>
  </si>
  <si>
    <t>SKU571</t>
  </si>
  <si>
    <t>SKU572</t>
  </si>
  <si>
    <t>SKU573</t>
  </si>
  <si>
    <t>SKU574</t>
  </si>
  <si>
    <t>SKU575</t>
  </si>
  <si>
    <t>SKU576</t>
  </si>
  <si>
    <t>SKU577</t>
  </si>
  <si>
    <t>SKU578</t>
  </si>
  <si>
    <t>SKU579</t>
  </si>
  <si>
    <t>SKU580</t>
  </si>
  <si>
    <t>SKU581</t>
  </si>
  <si>
    <t>SKU582</t>
  </si>
  <si>
    <t>SKU583</t>
  </si>
  <si>
    <t>SKU584</t>
  </si>
  <si>
    <t>SKU585</t>
  </si>
  <si>
    <t>SKU586</t>
  </si>
  <si>
    <t>SKU587</t>
  </si>
  <si>
    <t>SKU588</t>
  </si>
  <si>
    <t>SKU589</t>
  </si>
  <si>
    <t>SKU590</t>
  </si>
  <si>
    <t>SKU591</t>
  </si>
  <si>
    <t>SKU592</t>
  </si>
  <si>
    <t>SKU593</t>
  </si>
  <si>
    <t>SKU594</t>
  </si>
  <si>
    <t>SKU595</t>
  </si>
  <si>
    <t>SKU596</t>
  </si>
  <si>
    <t>SKU597</t>
  </si>
  <si>
    <t>SKU598</t>
  </si>
  <si>
    <t>SKU599</t>
  </si>
  <si>
    <t>SKU600</t>
  </si>
  <si>
    <t>SKU601</t>
  </si>
  <si>
    <t>SKU602</t>
  </si>
  <si>
    <t>SKU603</t>
  </si>
  <si>
    <t>SKU604</t>
  </si>
  <si>
    <t>SKU605</t>
  </si>
  <si>
    <t>SKU606</t>
  </si>
  <si>
    <t>SKU607</t>
  </si>
  <si>
    <t>SKU608</t>
  </si>
  <si>
    <t>SKU609</t>
  </si>
  <si>
    <t>SKU610</t>
  </si>
  <si>
    <t>SKU611</t>
  </si>
  <si>
    <t>SKU612</t>
  </si>
  <si>
    <t>SKU613</t>
  </si>
  <si>
    <t>SKU614</t>
  </si>
  <si>
    <t>SKU615</t>
  </si>
  <si>
    <t>SKU616</t>
  </si>
  <si>
    <t>SKU617</t>
  </si>
  <si>
    <t>SKU618</t>
  </si>
  <si>
    <t>SKU619</t>
  </si>
  <si>
    <t>SKU620</t>
  </si>
  <si>
    <t>SKU621</t>
  </si>
  <si>
    <t>SKU622</t>
  </si>
  <si>
    <t>SKU623</t>
  </si>
  <si>
    <t>SKU624</t>
  </si>
  <si>
    <t>SKU625</t>
  </si>
  <si>
    <t>SKU626</t>
  </si>
  <si>
    <t>SKU627</t>
  </si>
  <si>
    <t>SKU628</t>
  </si>
  <si>
    <t>SKU629</t>
  </si>
  <si>
    <t>SKU630</t>
  </si>
  <si>
    <t>SKU631</t>
  </si>
  <si>
    <t>SKU632</t>
  </si>
  <si>
    <t>SKU633</t>
  </si>
  <si>
    <t>SKU634</t>
  </si>
  <si>
    <t>SKU635</t>
  </si>
  <si>
    <t>SKU636</t>
  </si>
  <si>
    <t>SKU637</t>
  </si>
  <si>
    <t>SKU638</t>
  </si>
  <si>
    <t>SKU639</t>
  </si>
  <si>
    <t>SKU640</t>
  </si>
  <si>
    <t>SKU641</t>
  </si>
  <si>
    <t>SKU642</t>
  </si>
  <si>
    <t>SKU643</t>
  </si>
  <si>
    <t>SKU644</t>
  </si>
  <si>
    <t>SKU645</t>
  </si>
  <si>
    <t>SKU646</t>
  </si>
  <si>
    <t>SKU647</t>
  </si>
  <si>
    <t>SKU648</t>
  </si>
  <si>
    <t>SKU649</t>
  </si>
  <si>
    <t>SKU650</t>
  </si>
  <si>
    <t>SKU651</t>
  </si>
  <si>
    <t>SKU652</t>
  </si>
  <si>
    <t>SKU653</t>
  </si>
  <si>
    <t>SKU654</t>
  </si>
  <si>
    <t>SKU655</t>
  </si>
  <si>
    <t>SKU656</t>
  </si>
  <si>
    <t>SKU657</t>
  </si>
  <si>
    <t>SKU658</t>
  </si>
  <si>
    <t>SKU659</t>
  </si>
  <si>
    <t>SKU660</t>
  </si>
  <si>
    <t>SKU661</t>
  </si>
  <si>
    <t>SKU662</t>
  </si>
  <si>
    <t>SKU663</t>
  </si>
  <si>
    <t>SKU664</t>
  </si>
  <si>
    <t>SKU665</t>
  </si>
  <si>
    <t>SKU666</t>
  </si>
  <si>
    <t>SKU667</t>
  </si>
  <si>
    <t>SKU668</t>
  </si>
  <si>
    <t>SKU669</t>
  </si>
  <si>
    <t>SKU670</t>
  </si>
  <si>
    <t>SKU671</t>
  </si>
  <si>
    <t>SKU672</t>
  </si>
  <si>
    <t>SKU673</t>
  </si>
  <si>
    <t>SKU674</t>
  </si>
  <si>
    <t>SKU675</t>
  </si>
  <si>
    <t>SKU676</t>
  </si>
  <si>
    <t>SKU677</t>
  </si>
  <si>
    <t>SKU678</t>
  </si>
  <si>
    <t>SKU679</t>
  </si>
  <si>
    <t>SKU680</t>
  </si>
  <si>
    <t>SKU681</t>
  </si>
  <si>
    <t>SKU682</t>
  </si>
  <si>
    <t>SKU683</t>
  </si>
  <si>
    <t>SKU684</t>
  </si>
  <si>
    <t>SKU685</t>
  </si>
  <si>
    <t>SKU686</t>
  </si>
  <si>
    <t>SKU687</t>
  </si>
  <si>
    <t>SKU688</t>
  </si>
  <si>
    <t>SKU689</t>
  </si>
  <si>
    <t>SKU690</t>
  </si>
  <si>
    <t>SKU691</t>
  </si>
  <si>
    <t>SKU692</t>
  </si>
  <si>
    <t>SKU693</t>
  </si>
  <si>
    <t>SKU694</t>
  </si>
  <si>
    <t>SKU695</t>
  </si>
  <si>
    <t>SKU696</t>
  </si>
  <si>
    <t>SKU697</t>
  </si>
  <si>
    <t>SKU698</t>
  </si>
  <si>
    <t>SKU699</t>
  </si>
  <si>
    <t>SKU700</t>
  </si>
  <si>
    <t>SKU701</t>
  </si>
  <si>
    <t>SKU702</t>
  </si>
  <si>
    <t>SKU703</t>
  </si>
  <si>
    <t>SKU704</t>
  </si>
  <si>
    <t>SKU705</t>
  </si>
  <si>
    <t>SKU706</t>
  </si>
  <si>
    <t>SKU707</t>
  </si>
  <si>
    <t>SKU708</t>
  </si>
  <si>
    <t>SKU709</t>
  </si>
  <si>
    <t>SKU710</t>
  </si>
  <si>
    <t>SKU711</t>
  </si>
  <si>
    <t>SKU712</t>
  </si>
  <si>
    <t>SKU713</t>
  </si>
  <si>
    <t>SKU714</t>
  </si>
  <si>
    <t>SKU715</t>
  </si>
  <si>
    <t>SKU716</t>
  </si>
  <si>
    <t>SKU717</t>
  </si>
  <si>
    <t>SKU718</t>
  </si>
  <si>
    <t>SKU719</t>
  </si>
  <si>
    <t>SKU720</t>
  </si>
  <si>
    <t>SKU721</t>
  </si>
  <si>
    <t>SKU722</t>
  </si>
  <si>
    <t>SKU723</t>
  </si>
  <si>
    <t>SKU724</t>
  </si>
  <si>
    <t>SKU725</t>
  </si>
  <si>
    <t>SKU726</t>
  </si>
  <si>
    <t>SKU727</t>
  </si>
  <si>
    <t>SKU728</t>
  </si>
  <si>
    <t>SKU729</t>
  </si>
  <si>
    <t>SKU730</t>
  </si>
  <si>
    <t>SKU731</t>
  </si>
  <si>
    <t>SKU732</t>
  </si>
  <si>
    <t>SKU733</t>
  </si>
  <si>
    <t>SKU734</t>
  </si>
  <si>
    <t>SKU735</t>
  </si>
  <si>
    <t>SKU736</t>
  </si>
  <si>
    <t>SKU737</t>
  </si>
  <si>
    <t>SKU738</t>
  </si>
  <si>
    <t>SKU739</t>
  </si>
  <si>
    <t>SKU740</t>
  </si>
  <si>
    <t>SKU741</t>
  </si>
  <si>
    <t>SKU742</t>
  </si>
  <si>
    <t>SKU743</t>
  </si>
  <si>
    <t>SKU744</t>
  </si>
  <si>
    <t>SKU745</t>
  </si>
  <si>
    <t>SKU746</t>
  </si>
  <si>
    <t>SKU747</t>
  </si>
  <si>
    <t>SKU748</t>
  </si>
  <si>
    <t>SKU749</t>
  </si>
  <si>
    <t>SKU750</t>
  </si>
  <si>
    <t>SKU751</t>
  </si>
  <si>
    <t>SKU752</t>
  </si>
  <si>
    <t>SKU753</t>
  </si>
  <si>
    <t>SKU754</t>
  </si>
  <si>
    <t>SKU755</t>
  </si>
  <si>
    <t>SKU756</t>
  </si>
  <si>
    <t>SKU757</t>
  </si>
  <si>
    <t>SKU758</t>
  </si>
  <si>
    <t>SKU759</t>
  </si>
  <si>
    <t>SKU760</t>
  </si>
  <si>
    <t>SKU761</t>
  </si>
  <si>
    <t>SKU762</t>
  </si>
  <si>
    <t>SKU763</t>
  </si>
  <si>
    <t>SKU764</t>
  </si>
  <si>
    <t>SKU765</t>
  </si>
  <si>
    <t>SKU766</t>
  </si>
  <si>
    <t>SKU767</t>
  </si>
  <si>
    <t>SKU768</t>
  </si>
  <si>
    <t>SKU769</t>
  </si>
  <si>
    <t>SKU770</t>
  </si>
  <si>
    <t>SKU771</t>
  </si>
  <si>
    <t>SKU772</t>
  </si>
  <si>
    <t>SKU773</t>
  </si>
  <si>
    <t>SKU774</t>
  </si>
  <si>
    <t>SKU775</t>
  </si>
  <si>
    <t>SKU776</t>
  </si>
  <si>
    <t>SKU777</t>
  </si>
  <si>
    <t>SKU778</t>
  </si>
  <si>
    <t>SKU779</t>
  </si>
  <si>
    <t>SKU780</t>
  </si>
  <si>
    <t>SKU781</t>
  </si>
  <si>
    <t>SKU782</t>
  </si>
  <si>
    <t>SKU783</t>
  </si>
  <si>
    <t>SKU784</t>
  </si>
  <si>
    <t>SKU785</t>
  </si>
  <si>
    <t>SKU786</t>
  </si>
  <si>
    <t>SKU787</t>
  </si>
  <si>
    <t>SKU788</t>
  </si>
  <si>
    <t>SKU789</t>
  </si>
  <si>
    <t>SKU790</t>
  </si>
  <si>
    <t>SKU791</t>
  </si>
  <si>
    <t>SKU792</t>
  </si>
  <si>
    <t>SKU793</t>
  </si>
  <si>
    <t>SKU794</t>
  </si>
  <si>
    <t>SKU795</t>
  </si>
  <si>
    <t>SKU796</t>
  </si>
  <si>
    <t>SKU797</t>
  </si>
  <si>
    <t>SKU798</t>
  </si>
  <si>
    <t>SKU799</t>
  </si>
  <si>
    <t>SKU800</t>
  </si>
  <si>
    <t>SKU801</t>
  </si>
  <si>
    <t>SKU802</t>
  </si>
  <si>
    <t>SKU803</t>
  </si>
  <si>
    <t>SKU804</t>
  </si>
  <si>
    <t>SKU805</t>
  </si>
  <si>
    <t>SKU806</t>
  </si>
  <si>
    <t>SKU807</t>
  </si>
  <si>
    <t>SKU808</t>
  </si>
  <si>
    <t>SKU809</t>
  </si>
  <si>
    <t>SKU810</t>
  </si>
  <si>
    <t>SKU811</t>
  </si>
  <si>
    <t>SKU812</t>
  </si>
  <si>
    <t>SKU813</t>
  </si>
  <si>
    <t>SKU814</t>
  </si>
  <si>
    <t>SKU815</t>
  </si>
  <si>
    <t>SKU816</t>
  </si>
  <si>
    <t>SKU817</t>
  </si>
  <si>
    <t>SKU818</t>
  </si>
  <si>
    <t>SKU819</t>
  </si>
  <si>
    <t>SKU820</t>
  </si>
  <si>
    <t>SKU821</t>
  </si>
  <si>
    <t>SKU822</t>
  </si>
  <si>
    <t>SKU823</t>
  </si>
  <si>
    <t>SKU824</t>
  </si>
  <si>
    <t>SKU825</t>
  </si>
  <si>
    <t>SKU826</t>
  </si>
  <si>
    <t>SKU827</t>
  </si>
  <si>
    <t>SKU828</t>
  </si>
  <si>
    <t>SKU829</t>
  </si>
  <si>
    <t>SKU830</t>
  </si>
  <si>
    <t>SKU831</t>
  </si>
  <si>
    <t>SKU832</t>
  </si>
  <si>
    <t>SKU833</t>
  </si>
  <si>
    <t>SKU834</t>
  </si>
  <si>
    <t>SKU835</t>
  </si>
  <si>
    <t>SKU836</t>
  </si>
  <si>
    <t>SKU837</t>
  </si>
  <si>
    <t>SKU838</t>
  </si>
  <si>
    <t>SKU839</t>
  </si>
  <si>
    <t>SKU840</t>
  </si>
  <si>
    <t>SKU841</t>
  </si>
  <si>
    <t>SKU842</t>
  </si>
  <si>
    <t>SKU843</t>
  </si>
  <si>
    <t>SKU844</t>
  </si>
  <si>
    <t>SKU845</t>
  </si>
  <si>
    <t>SKU846</t>
  </si>
  <si>
    <t>SKU847</t>
  </si>
  <si>
    <t>SKU848</t>
  </si>
  <si>
    <t>SKU849</t>
  </si>
  <si>
    <t>SKU850</t>
  </si>
  <si>
    <t>SKU851</t>
  </si>
  <si>
    <t>SKU852</t>
  </si>
  <si>
    <t>SKU853</t>
  </si>
  <si>
    <t>SKU854</t>
  </si>
  <si>
    <t>SKU855</t>
  </si>
  <si>
    <t>SKU856</t>
  </si>
  <si>
    <t>SKU857</t>
  </si>
  <si>
    <t>SKU858</t>
  </si>
  <si>
    <t>SKU859</t>
  </si>
  <si>
    <t>SKU860</t>
  </si>
  <si>
    <t>SKU861</t>
  </si>
  <si>
    <t>SKU862</t>
  </si>
  <si>
    <t>SKU863</t>
  </si>
  <si>
    <t>SKU864</t>
  </si>
  <si>
    <t>SKU865</t>
  </si>
  <si>
    <t>SKU866</t>
  </si>
  <si>
    <t>SKU867</t>
  </si>
  <si>
    <t>SKU868</t>
  </si>
  <si>
    <t>SKU869</t>
  </si>
  <si>
    <t>SKU870</t>
  </si>
  <si>
    <t>SKU871</t>
  </si>
  <si>
    <t>SKU872</t>
  </si>
  <si>
    <t>SKU873</t>
  </si>
  <si>
    <t>SKU874</t>
  </si>
  <si>
    <t>SKU875</t>
  </si>
  <si>
    <t>SKU876</t>
  </si>
  <si>
    <t>SKU877</t>
  </si>
  <si>
    <t>SKU878</t>
  </si>
  <si>
    <t>SKU879</t>
  </si>
  <si>
    <t>SKU880</t>
  </si>
  <si>
    <t>SKU881</t>
  </si>
  <si>
    <t>SKU882</t>
  </si>
  <si>
    <t>SKU883</t>
  </si>
  <si>
    <t>SKU884</t>
  </si>
  <si>
    <t>SKU885</t>
  </si>
  <si>
    <t>SKU886</t>
  </si>
  <si>
    <t>SKU887</t>
  </si>
  <si>
    <t>SKU888</t>
  </si>
  <si>
    <t>SKU889</t>
  </si>
  <si>
    <t>SKU890</t>
  </si>
  <si>
    <t>SKU891</t>
  </si>
  <si>
    <t>SKU892</t>
  </si>
  <si>
    <t>SKU893</t>
  </si>
  <si>
    <t>SKU894</t>
  </si>
  <si>
    <t>SKU895</t>
  </si>
  <si>
    <t>SKU896</t>
  </si>
  <si>
    <t>SKU897</t>
  </si>
  <si>
    <t>SKU898</t>
  </si>
  <si>
    <t>SKU899</t>
  </si>
  <si>
    <t>SKU900</t>
  </si>
  <si>
    <t>SKU901</t>
  </si>
  <si>
    <t>SKU902</t>
  </si>
  <si>
    <t>SKU903</t>
  </si>
  <si>
    <t>SKU904</t>
  </si>
  <si>
    <t>SKU905</t>
  </si>
  <si>
    <t>SKU906</t>
  </si>
  <si>
    <t>SKU907</t>
  </si>
  <si>
    <t>SKU908</t>
  </si>
  <si>
    <t>SKU909</t>
  </si>
  <si>
    <t>SKU910</t>
  </si>
  <si>
    <t>SKU911</t>
  </si>
  <si>
    <t>SKU912</t>
  </si>
  <si>
    <t>SKU913</t>
  </si>
  <si>
    <t>SKU914</t>
  </si>
  <si>
    <t>SKU915</t>
  </si>
  <si>
    <t>SKU916</t>
  </si>
  <si>
    <t>SKU917</t>
  </si>
  <si>
    <t>SKU918</t>
  </si>
  <si>
    <t>SKU919</t>
  </si>
  <si>
    <t>SKU920</t>
  </si>
  <si>
    <t>SKU921</t>
  </si>
  <si>
    <t>SKU922</t>
  </si>
  <si>
    <t>SKU923</t>
  </si>
  <si>
    <t>SKU924</t>
  </si>
  <si>
    <t>SKU925</t>
  </si>
  <si>
    <t>SKU926</t>
  </si>
  <si>
    <t>SKU927</t>
  </si>
  <si>
    <t>SKU928</t>
  </si>
  <si>
    <t>SKU929</t>
  </si>
  <si>
    <t>SKU930</t>
  </si>
  <si>
    <t>SKU931</t>
  </si>
  <si>
    <t>SKU932</t>
  </si>
  <si>
    <t>SKU933</t>
  </si>
  <si>
    <t>SKU934</t>
  </si>
  <si>
    <t>SKU935</t>
  </si>
  <si>
    <t>SKU936</t>
  </si>
  <si>
    <t>SKU937</t>
  </si>
  <si>
    <t>SKU938</t>
  </si>
  <si>
    <t>SKU939</t>
  </si>
  <si>
    <t>SKU940</t>
  </si>
  <si>
    <t>SKU941</t>
  </si>
  <si>
    <t>SKU942</t>
  </si>
  <si>
    <t>SKU943</t>
  </si>
  <si>
    <t>SKU944</t>
  </si>
  <si>
    <t>SKU945</t>
  </si>
  <si>
    <t>SKU946</t>
  </si>
  <si>
    <t>SKU947</t>
  </si>
  <si>
    <t>SKU948</t>
  </si>
  <si>
    <t>SKU949</t>
  </si>
  <si>
    <t>SKU950</t>
  </si>
  <si>
    <t>SKU951</t>
  </si>
  <si>
    <t>SKU952</t>
  </si>
  <si>
    <t>SKU953</t>
  </si>
  <si>
    <t>SKU954</t>
  </si>
  <si>
    <t>SKU955</t>
  </si>
  <si>
    <t>SKU956</t>
  </si>
  <si>
    <t>SKU957</t>
  </si>
  <si>
    <t>SKU958</t>
  </si>
  <si>
    <t>SKU959</t>
  </si>
  <si>
    <t>SKU960</t>
  </si>
  <si>
    <t>SKU961</t>
  </si>
  <si>
    <t>SKU962</t>
  </si>
  <si>
    <t>SKU963</t>
  </si>
  <si>
    <t>SKU964</t>
  </si>
  <si>
    <t>SKU965</t>
  </si>
  <si>
    <t>SKU966</t>
  </si>
  <si>
    <t>SKU967</t>
  </si>
  <si>
    <t>SKU968</t>
  </si>
  <si>
    <t>SKU969</t>
  </si>
  <si>
    <t>SKU970</t>
  </si>
  <si>
    <t>SKU971</t>
  </si>
  <si>
    <t>SKU972</t>
  </si>
  <si>
    <t>SKU973</t>
  </si>
  <si>
    <t>SKU974</t>
  </si>
  <si>
    <t>SKU975</t>
  </si>
  <si>
    <t>SKU976</t>
  </si>
  <si>
    <t>SKU977</t>
  </si>
  <si>
    <t>SKU978</t>
  </si>
  <si>
    <t>SKU979</t>
  </si>
  <si>
    <t>SKU980</t>
  </si>
  <si>
    <t>SKU981</t>
  </si>
  <si>
    <t>SKU982</t>
  </si>
  <si>
    <t>SKU983</t>
  </si>
  <si>
    <t>SKU984</t>
  </si>
  <si>
    <t>SKU985</t>
  </si>
  <si>
    <t>SKU986</t>
  </si>
  <si>
    <t>SKU987</t>
  </si>
  <si>
    <t>SKU988</t>
  </si>
  <si>
    <t>SKU989</t>
  </si>
  <si>
    <t>SKU990</t>
  </si>
  <si>
    <t>SKU991</t>
  </si>
  <si>
    <t>SKU992</t>
  </si>
  <si>
    <t>SKU993</t>
  </si>
  <si>
    <t>SKU994</t>
  </si>
  <si>
    <t>SKU995</t>
  </si>
  <si>
    <t>SKU996</t>
  </si>
  <si>
    <t>SKU997</t>
  </si>
  <si>
    <t>SKU998</t>
  </si>
  <si>
    <t>SKU999</t>
  </si>
  <si>
    <t>SKU1000</t>
  </si>
  <si>
    <t>SKU1001</t>
  </si>
  <si>
    <t>SKU1002</t>
  </si>
  <si>
    <t>SKU1003</t>
  </si>
  <si>
    <t>SKU1004</t>
  </si>
  <si>
    <t>SKU1005</t>
  </si>
  <si>
    <t>SKU1006</t>
  </si>
  <si>
    <t>SKU1007</t>
  </si>
  <si>
    <t>SKU1008</t>
  </si>
  <si>
    <t>SKU1009</t>
  </si>
  <si>
    <t>SKU1010</t>
  </si>
  <si>
    <t>SKU1011</t>
  </si>
  <si>
    <t>SKU1012</t>
  </si>
  <si>
    <t>SKU1013</t>
  </si>
  <si>
    <t>SKU1014</t>
  </si>
  <si>
    <t>SKU1015</t>
  </si>
  <si>
    <t>SKU1016</t>
  </si>
  <si>
    <t>SKU1017</t>
  </si>
  <si>
    <t>SKU1018</t>
  </si>
  <si>
    <t>SKU1019</t>
  </si>
  <si>
    <t>SKU1020</t>
  </si>
  <si>
    <t>SKU1021</t>
  </si>
  <si>
    <t>SKU1022</t>
  </si>
  <si>
    <t>SKU1023</t>
  </si>
  <si>
    <t>SKU1024</t>
  </si>
  <si>
    <t>SKU1025</t>
  </si>
  <si>
    <t>SKU1026</t>
  </si>
  <si>
    <t>SKU1027</t>
  </si>
  <si>
    <t>SKU1028</t>
  </si>
  <si>
    <t>SKU1029</t>
  </si>
  <si>
    <t>SKU1030</t>
  </si>
  <si>
    <t>SKU1031</t>
  </si>
  <si>
    <t>SKU1032</t>
  </si>
  <si>
    <t>SKU1033</t>
  </si>
  <si>
    <t>SKU1034</t>
  </si>
  <si>
    <t>SKU1035</t>
  </si>
  <si>
    <t>SKU1036</t>
  </si>
  <si>
    <t>SKU1037</t>
  </si>
  <si>
    <t>SKU1038</t>
  </si>
  <si>
    <t>SKU1039</t>
  </si>
  <si>
    <t>SKU1040</t>
  </si>
  <si>
    <t>SKU1041</t>
  </si>
  <si>
    <t>SKU1042</t>
  </si>
  <si>
    <t>SKU1043</t>
  </si>
  <si>
    <t>SKU1044</t>
  </si>
  <si>
    <t>SKU1045</t>
  </si>
  <si>
    <t>SKU1046</t>
  </si>
  <si>
    <t>SKU1047</t>
  </si>
  <si>
    <t>SKU1048</t>
  </si>
  <si>
    <t>SKU1049</t>
  </si>
  <si>
    <t>SKU1050</t>
  </si>
  <si>
    <t>SKU1051</t>
  </si>
  <si>
    <t>SKU1052</t>
  </si>
  <si>
    <t>SKU1053</t>
  </si>
  <si>
    <t>SKU1054</t>
  </si>
  <si>
    <t>SKU1055</t>
  </si>
  <si>
    <t>SKU1056</t>
  </si>
  <si>
    <t>SKU1057</t>
  </si>
  <si>
    <t>SKU1058</t>
  </si>
  <si>
    <t>SKU1059</t>
  </si>
  <si>
    <t>SKU1060</t>
  </si>
  <si>
    <t>SKU1061</t>
  </si>
  <si>
    <t>SKU1062</t>
  </si>
  <si>
    <t>SKU1063</t>
  </si>
  <si>
    <t>SKU1064</t>
  </si>
  <si>
    <t>SKU1065</t>
  </si>
  <si>
    <t>SKU1066</t>
  </si>
  <si>
    <t>SKU1067</t>
  </si>
  <si>
    <t>SKU1068</t>
  </si>
  <si>
    <t>SKU1069</t>
  </si>
  <si>
    <t>SKU1070</t>
  </si>
  <si>
    <t>SKU1071</t>
  </si>
  <si>
    <t>SKU1072</t>
  </si>
  <si>
    <t>SKU1073</t>
  </si>
  <si>
    <t>SKU1074</t>
  </si>
  <si>
    <t>SKU1075</t>
  </si>
  <si>
    <t>SKU1076</t>
  </si>
  <si>
    <t>SKU1077</t>
  </si>
  <si>
    <t>SKU1078</t>
  </si>
  <si>
    <t>SKU1079</t>
  </si>
  <si>
    <t>SKU1080</t>
  </si>
  <si>
    <t>SKU1081</t>
  </si>
  <si>
    <t>SKU1082</t>
  </si>
  <si>
    <t>SKU1083</t>
  </si>
  <si>
    <t>SKU1084</t>
  </si>
  <si>
    <t>SKU1085</t>
  </si>
  <si>
    <t>SKU1086</t>
  </si>
  <si>
    <t>SKU1087</t>
  </si>
  <si>
    <t>SKU1088</t>
  </si>
  <si>
    <t>SKU1089</t>
  </si>
  <si>
    <t>SKU1090</t>
  </si>
  <si>
    <t>SKU1091</t>
  </si>
  <si>
    <t>SKU1092</t>
  </si>
  <si>
    <t>SKU1093</t>
  </si>
  <si>
    <t>SKU1094</t>
  </si>
  <si>
    <t>SKU1095</t>
  </si>
  <si>
    <t>SKU1096</t>
  </si>
  <si>
    <t>SKU1097</t>
  </si>
  <si>
    <t>SKU1098</t>
  </si>
  <si>
    <t>SKU1099</t>
  </si>
  <si>
    <t>SKU1100</t>
  </si>
  <si>
    <t>SKU1101</t>
  </si>
  <si>
    <t>SKU1102</t>
  </si>
  <si>
    <t>SKU1103</t>
  </si>
  <si>
    <t>SKU1104</t>
  </si>
  <si>
    <t>SKU1105</t>
  </si>
  <si>
    <t>SKU1106</t>
  </si>
  <si>
    <t>SKU1107</t>
  </si>
  <si>
    <t>SKU1108</t>
  </si>
  <si>
    <t>SKU1109</t>
  </si>
  <si>
    <t>SKU1110</t>
  </si>
  <si>
    <t>SKU1111</t>
  </si>
  <si>
    <t>SKU1112</t>
  </si>
  <si>
    <t>SKU1113</t>
  </si>
  <si>
    <t>SKU1114</t>
  </si>
  <si>
    <t>SKU1115</t>
  </si>
  <si>
    <t>SKU1116</t>
  </si>
  <si>
    <t>SKU1117</t>
  </si>
  <si>
    <t>SKU1118</t>
  </si>
  <si>
    <t>SKU1119</t>
  </si>
  <si>
    <t>SKU1120</t>
  </si>
  <si>
    <t>SKU1121</t>
  </si>
  <si>
    <t>SKU1122</t>
  </si>
  <si>
    <t>SKU1123</t>
  </si>
  <si>
    <t>SKU1124</t>
  </si>
  <si>
    <t>SKU1125</t>
  </si>
  <si>
    <t>SKU1126</t>
  </si>
  <si>
    <t>SKU1127</t>
  </si>
  <si>
    <t>SKU1128</t>
  </si>
  <si>
    <t>SKU1129</t>
  </si>
  <si>
    <t>SKU1130</t>
  </si>
  <si>
    <t>SKU1131</t>
  </si>
  <si>
    <t>SKU1132</t>
  </si>
  <si>
    <t>SKU1133</t>
  </si>
  <si>
    <t>SKU1134</t>
  </si>
  <si>
    <t>SKU1135</t>
  </si>
  <si>
    <t>SKU1136</t>
  </si>
  <si>
    <t>SKU1137</t>
  </si>
  <si>
    <t>SKU1138</t>
  </si>
  <si>
    <t>SKU1139</t>
  </si>
  <si>
    <t>SKU1140</t>
  </si>
  <si>
    <t>SKU1141</t>
  </si>
  <si>
    <t>SKU1142</t>
  </si>
  <si>
    <t>SKU1143</t>
  </si>
  <si>
    <t>SKU1144</t>
  </si>
  <si>
    <t>SKU1145</t>
  </si>
  <si>
    <t>SKU1146</t>
  </si>
  <si>
    <t>SKU1147</t>
  </si>
  <si>
    <t>SKU1148</t>
  </si>
  <si>
    <t>SKU1149</t>
  </si>
  <si>
    <t>SKU1150</t>
  </si>
  <si>
    <t>SKU1151</t>
  </si>
  <si>
    <t>SKU1152</t>
  </si>
  <si>
    <t>SKU1153</t>
  </si>
  <si>
    <t>SKU1154</t>
  </si>
  <si>
    <t>SKU1155</t>
  </si>
  <si>
    <t>SKU1156</t>
  </si>
  <si>
    <t>SKU1157</t>
  </si>
  <si>
    <t>SKU1158</t>
  </si>
  <si>
    <t>SKU1159</t>
  </si>
  <si>
    <t>SKU1160</t>
  </si>
  <si>
    <t>SKU1161</t>
  </si>
  <si>
    <t>SKU1162</t>
  </si>
  <si>
    <t>SKU1163</t>
  </si>
  <si>
    <t>SKU1164</t>
  </si>
  <si>
    <t>SKU1165</t>
  </si>
  <si>
    <t>SKU1166</t>
  </si>
  <si>
    <t>SKU1167</t>
  </si>
  <si>
    <t>SKU1168</t>
  </si>
  <si>
    <t>SKU1169</t>
  </si>
  <si>
    <t>SKU1170</t>
  </si>
  <si>
    <t>SKU1171</t>
  </si>
  <si>
    <t>SKU1172</t>
  </si>
  <si>
    <t>SKU1173</t>
  </si>
  <si>
    <t>SKU1174</t>
  </si>
  <si>
    <t>SKU1175</t>
  </si>
  <si>
    <t>SKU1176</t>
  </si>
  <si>
    <t>SKU1177</t>
  </si>
  <si>
    <t>SKU1178</t>
  </si>
  <si>
    <t>SKU1179</t>
  </si>
  <si>
    <t>SKU1180</t>
  </si>
  <si>
    <t>SKU1181</t>
  </si>
  <si>
    <t>SKU1182</t>
  </si>
  <si>
    <t>SKU1183</t>
  </si>
  <si>
    <t>SKU1184</t>
  </si>
  <si>
    <t>SKU1185</t>
  </si>
  <si>
    <t>SKU1186</t>
  </si>
  <si>
    <t>SKU1187</t>
  </si>
  <si>
    <t>SKU1188</t>
  </si>
  <si>
    <t>SKU1189</t>
  </si>
  <si>
    <t>SKU1190</t>
  </si>
  <si>
    <t>SKU1191</t>
  </si>
  <si>
    <t>SKU1192</t>
  </si>
  <si>
    <t>SKU1193</t>
  </si>
  <si>
    <t>SKU1194</t>
  </si>
  <si>
    <t>SKU1195</t>
  </si>
  <si>
    <t>SKU1196</t>
  </si>
  <si>
    <t>SKU1197</t>
  </si>
  <si>
    <t>SKU1198</t>
  </si>
  <si>
    <t>SKU1199</t>
  </si>
  <si>
    <t>SKU1200</t>
  </si>
  <si>
    <t>SKU1201</t>
  </si>
  <si>
    <t>SKU1202</t>
  </si>
  <si>
    <t>SKU1203</t>
  </si>
  <si>
    <t>SKU1204</t>
  </si>
  <si>
    <t>SKU1205</t>
  </si>
  <si>
    <t>SKU1206</t>
  </si>
  <si>
    <t>SKU1207</t>
  </si>
  <si>
    <t>SKU1208</t>
  </si>
  <si>
    <t>SKU1209</t>
  </si>
  <si>
    <t>SKU1210</t>
  </si>
  <si>
    <t>SKU1211</t>
  </si>
  <si>
    <t>SKU1212</t>
  </si>
  <si>
    <t>SKU1213</t>
  </si>
  <si>
    <t>SKU1214</t>
  </si>
  <si>
    <t>SKU1215</t>
  </si>
  <si>
    <t>SKU1216</t>
  </si>
  <si>
    <t>SKU1217</t>
  </si>
  <si>
    <t>SKU1218</t>
  </si>
  <si>
    <t>SKU1219</t>
  </si>
  <si>
    <t>SKU1220</t>
  </si>
  <si>
    <t>SKU1221</t>
  </si>
  <si>
    <t>SKU1222</t>
  </si>
  <si>
    <t>SKU1223</t>
  </si>
  <si>
    <t>SKU1224</t>
  </si>
  <si>
    <t>SKU1225</t>
  </si>
  <si>
    <t>SKU1226</t>
  </si>
  <si>
    <t>SKU1227</t>
  </si>
  <si>
    <t>SKU1228</t>
  </si>
  <si>
    <t>SKU1229</t>
  </si>
  <si>
    <t>SKU1230</t>
  </si>
  <si>
    <t>SKU1231</t>
  </si>
  <si>
    <t>SKU1232</t>
  </si>
  <si>
    <t>SKU1233</t>
  </si>
  <si>
    <t>SKU1234</t>
  </si>
  <si>
    <t>SKU1235</t>
  </si>
  <si>
    <t>SKU1236</t>
  </si>
  <si>
    <t>SKU1237</t>
  </si>
  <si>
    <t>SKU1238</t>
  </si>
  <si>
    <t>SKU1239</t>
  </si>
  <si>
    <t>SKU1240</t>
  </si>
  <si>
    <t>SKU1241</t>
  </si>
  <si>
    <t>SKU1242</t>
  </si>
  <si>
    <t>SKU1243</t>
  </si>
  <si>
    <t>SKU1244</t>
  </si>
  <si>
    <t>SKU1245</t>
  </si>
  <si>
    <t>SKU1246</t>
  </si>
  <si>
    <t>SKU1247</t>
  </si>
  <si>
    <t>SKU1248</t>
  </si>
  <si>
    <t>SKU1249</t>
  </si>
  <si>
    <t>SKU1250</t>
  </si>
  <si>
    <t>SKU1251</t>
  </si>
  <si>
    <t>SKU1252</t>
  </si>
  <si>
    <t>SKU1253</t>
  </si>
  <si>
    <t>SKU1254</t>
  </si>
  <si>
    <t>SKU1255</t>
  </si>
  <si>
    <t>SKU1256</t>
  </si>
  <si>
    <t>SKU1257</t>
  </si>
  <si>
    <t>SKU1258</t>
  </si>
  <si>
    <t>SKU1259</t>
  </si>
  <si>
    <t>SKU1260</t>
  </si>
  <si>
    <t>SKU1261</t>
  </si>
  <si>
    <t>SKU1262</t>
  </si>
  <si>
    <t>SKU1263</t>
  </si>
  <si>
    <t>SKU1264</t>
  </si>
  <si>
    <t>SKU1265</t>
  </si>
  <si>
    <t>SKU1266</t>
  </si>
  <si>
    <t>SKU1267</t>
  </si>
  <si>
    <t>SKU1268</t>
  </si>
  <si>
    <t>SKU1269</t>
  </si>
  <si>
    <t>SKU1270</t>
  </si>
  <si>
    <t>SKU1271</t>
  </si>
  <si>
    <t>SKU1272</t>
  </si>
  <si>
    <t>SKU1273</t>
  </si>
  <si>
    <t>SKU1274</t>
  </si>
  <si>
    <t>SKU1275</t>
  </si>
  <si>
    <t>SKU1276</t>
  </si>
  <si>
    <t>SKU1277</t>
  </si>
  <si>
    <t>SKU1278</t>
  </si>
  <si>
    <t>SKU1279</t>
  </si>
  <si>
    <t>SKU1280</t>
  </si>
  <si>
    <t>SKU1281</t>
  </si>
  <si>
    <t>SKU1282</t>
  </si>
  <si>
    <t>SKU1283</t>
  </si>
  <si>
    <t>SKU1284</t>
  </si>
  <si>
    <t>SKU1285</t>
  </si>
  <si>
    <t>SKU1286</t>
  </si>
  <si>
    <t>SKU1287</t>
  </si>
  <si>
    <t>SKU1288</t>
  </si>
  <si>
    <t>SKU1289</t>
  </si>
  <si>
    <t>SKU1290</t>
  </si>
  <si>
    <t>SKU1291</t>
  </si>
  <si>
    <t>SKU1292</t>
  </si>
  <si>
    <t>SKU1293</t>
  </si>
  <si>
    <t>SKU1294</t>
  </si>
  <si>
    <t>SKU1295</t>
  </si>
  <si>
    <t>SKU1296</t>
  </si>
  <si>
    <t>SKU1297</t>
  </si>
  <si>
    <t>SKU1298</t>
  </si>
  <si>
    <t>SKU1299</t>
  </si>
  <si>
    <t>SKU1300</t>
  </si>
  <si>
    <t>SKU1301</t>
  </si>
  <si>
    <t>SKU1302</t>
  </si>
  <si>
    <t>SKU1303</t>
  </si>
  <si>
    <t>SKU1304</t>
  </si>
  <si>
    <t>SKU1305</t>
  </si>
  <si>
    <t>SKU1306</t>
  </si>
  <si>
    <t>SKU1307</t>
  </si>
  <si>
    <t>SKU1308</t>
  </si>
  <si>
    <t>SKU1309</t>
  </si>
  <si>
    <t>SKU1310</t>
  </si>
  <si>
    <t>SKU1311</t>
  </si>
  <si>
    <t>SKU1312</t>
  </si>
  <si>
    <t>SKU1313</t>
  </si>
  <si>
    <t>SKU1314</t>
  </si>
  <si>
    <t>SKU1315</t>
  </si>
  <si>
    <t>SKU1316</t>
  </si>
  <si>
    <t>SKU1317</t>
  </si>
  <si>
    <t>SKU1318</t>
  </si>
  <si>
    <t>SKU1319</t>
  </si>
  <si>
    <t>SKU1320</t>
  </si>
  <si>
    <t>SKU1321</t>
  </si>
  <si>
    <t>SKU1322</t>
  </si>
  <si>
    <t>SKU1323</t>
  </si>
  <si>
    <t>SKU1324</t>
  </si>
  <si>
    <t>SKU1325</t>
  </si>
  <si>
    <t>SKU1326</t>
  </si>
  <si>
    <t>SKU1327</t>
  </si>
  <si>
    <t>SKU1328</t>
  </si>
  <si>
    <t>SKU1329</t>
  </si>
  <si>
    <t>SKU1330</t>
  </si>
  <si>
    <t>SKU1331</t>
  </si>
  <si>
    <t>SKU1332</t>
  </si>
  <si>
    <t>SKU1333</t>
  </si>
  <si>
    <t>SKU1334</t>
  </si>
  <si>
    <t>SKU1335</t>
  </si>
  <si>
    <t>SKU1336</t>
  </si>
  <si>
    <t>SKU1337</t>
  </si>
  <si>
    <t>SKU1338</t>
  </si>
  <si>
    <t>SKU1339</t>
  </si>
  <si>
    <t>SKU1340</t>
  </si>
  <si>
    <t>SKU1341</t>
  </si>
  <si>
    <t>SKU1342</t>
  </si>
  <si>
    <t>SKU1343</t>
  </si>
  <si>
    <t>SKU1344</t>
  </si>
  <si>
    <t>SKU1345</t>
  </si>
  <si>
    <t>SKU1346</t>
  </si>
  <si>
    <t>SKU1347</t>
  </si>
  <si>
    <t>SKU1348</t>
  </si>
  <si>
    <t>SKU1349</t>
  </si>
  <si>
    <t>SKU1350</t>
  </si>
  <si>
    <t>SKU1351</t>
  </si>
  <si>
    <t>SKU1352</t>
  </si>
  <si>
    <t>SKU1353</t>
  </si>
  <si>
    <t>SKU1354</t>
  </si>
  <si>
    <t>SKU1355</t>
  </si>
  <si>
    <t>SKU1356</t>
  </si>
  <si>
    <t>SKU1357</t>
  </si>
  <si>
    <t>SKU1358</t>
  </si>
  <si>
    <t>SKU1359</t>
  </si>
  <si>
    <t>SKU1360</t>
  </si>
  <si>
    <t>SKU1361</t>
  </si>
  <si>
    <t>SKU1362</t>
  </si>
  <si>
    <t>SKU1363</t>
  </si>
  <si>
    <t>SKU1364</t>
  </si>
  <si>
    <t>SKU1365</t>
  </si>
  <si>
    <t>SKU1366</t>
  </si>
  <si>
    <t>SKU1367</t>
  </si>
  <si>
    <t>SKU1368</t>
  </si>
  <si>
    <t>SKU1369</t>
  </si>
  <si>
    <t>SKU1370</t>
  </si>
  <si>
    <t>SKU1371</t>
  </si>
  <si>
    <t>SKU1372</t>
  </si>
  <si>
    <t>SKU1373</t>
  </si>
  <si>
    <t>SKU1374</t>
  </si>
  <si>
    <t>SKU1375</t>
  </si>
  <si>
    <t>SKU1376</t>
  </si>
  <si>
    <t>SKU1377</t>
  </si>
  <si>
    <t>SKU1378</t>
  </si>
  <si>
    <t>SKU1379</t>
  </si>
  <si>
    <t>SKU1380</t>
  </si>
  <si>
    <t>SKU1381</t>
  </si>
  <si>
    <t>SKU1382</t>
  </si>
  <si>
    <t>SKU1383</t>
  </si>
  <si>
    <t>SKU1384</t>
  </si>
  <si>
    <t>SKU1385</t>
  </si>
  <si>
    <t>SKU1386</t>
  </si>
  <si>
    <t>SKU1387</t>
  </si>
  <si>
    <t>SKU1388</t>
  </si>
  <si>
    <t>SKU1389</t>
  </si>
  <si>
    <t>SKU1390</t>
  </si>
  <si>
    <t>SKU1391</t>
  </si>
  <si>
    <t>SKU1392</t>
  </si>
  <si>
    <t>SKU1393</t>
  </si>
  <si>
    <t>SKU1394</t>
  </si>
  <si>
    <t>SKU1395</t>
  </si>
  <si>
    <t>SKU1396</t>
  </si>
  <si>
    <t>SKU1397</t>
  </si>
  <si>
    <t>SKU1398</t>
  </si>
  <si>
    <t>SKU1399</t>
  </si>
  <si>
    <t>SKU1400</t>
  </si>
  <si>
    <t>SKU1401</t>
  </si>
  <si>
    <t>SKU1402</t>
  </si>
  <si>
    <t>SKU1403</t>
  </si>
  <si>
    <t>SKU1404</t>
  </si>
  <si>
    <t>SKU1405</t>
  </si>
  <si>
    <t>SKU1406</t>
  </si>
  <si>
    <t>SKU1407</t>
  </si>
  <si>
    <t>SKU1408</t>
  </si>
  <si>
    <t>SKU1409</t>
  </si>
  <si>
    <t>SKU1410</t>
  </si>
  <si>
    <t>SKU1411</t>
  </si>
  <si>
    <t>SKU1412</t>
  </si>
  <si>
    <t>SKU1413</t>
  </si>
  <si>
    <t>SKU1414</t>
  </si>
  <si>
    <t>SKU1415</t>
  </si>
  <si>
    <t>SKU1416</t>
  </si>
  <si>
    <t>SKU1417</t>
  </si>
  <si>
    <t>SKU1418</t>
  </si>
  <si>
    <t>SKU1419</t>
  </si>
  <si>
    <t>SKU1420</t>
  </si>
  <si>
    <t>SKU1421</t>
  </si>
  <si>
    <t>SKU1422</t>
  </si>
  <si>
    <t>SKU1423</t>
  </si>
  <si>
    <t>SKU1424</t>
  </si>
  <si>
    <t>SKU1425</t>
  </si>
  <si>
    <t>SKU1426</t>
  </si>
  <si>
    <t>SKU1427</t>
  </si>
  <si>
    <t>SKU1428</t>
  </si>
  <si>
    <t>SKU1429</t>
  </si>
  <si>
    <t>SKU1430</t>
  </si>
  <si>
    <t>SKU1431</t>
  </si>
  <si>
    <t>SKU1432</t>
  </si>
  <si>
    <t>SKU1433</t>
  </si>
  <si>
    <t>SKU1434</t>
  </si>
  <si>
    <t>SKU1435</t>
  </si>
  <si>
    <t>SKU1436</t>
  </si>
  <si>
    <t>SKU1437</t>
  </si>
  <si>
    <t>SKU1438</t>
  </si>
  <si>
    <t>SKU1439</t>
  </si>
  <si>
    <t>SKU1440</t>
  </si>
  <si>
    <t>SKU1441</t>
  </si>
  <si>
    <t>SKU1442</t>
  </si>
  <si>
    <t>SKU1443</t>
  </si>
  <si>
    <t>SKU1444</t>
  </si>
  <si>
    <t>SKU1445</t>
  </si>
  <si>
    <t>SKU1446</t>
  </si>
  <si>
    <t>SKU1447</t>
  </si>
  <si>
    <t>SKU1448</t>
  </si>
  <si>
    <t>SKU1449</t>
  </si>
  <si>
    <t>SKU1450</t>
  </si>
  <si>
    <t>SKU1451</t>
  </si>
  <si>
    <t>SKU1452</t>
  </si>
  <si>
    <t>SKU1453</t>
  </si>
  <si>
    <t>SKU1454</t>
  </si>
  <si>
    <t>SKU1455</t>
  </si>
  <si>
    <t>SKU1456</t>
  </si>
  <si>
    <t>SKU1457</t>
  </si>
  <si>
    <t>SKU1458</t>
  </si>
  <si>
    <t>SKU1459</t>
  </si>
  <si>
    <t>SKU1460</t>
  </si>
  <si>
    <t>SKU1461</t>
  </si>
  <si>
    <t>SKU1462</t>
  </si>
  <si>
    <t>SKU1463</t>
  </si>
  <si>
    <t>SKU1464</t>
  </si>
  <si>
    <t>SKU1465</t>
  </si>
  <si>
    <t>SKU1466</t>
  </si>
  <si>
    <t>SKU1467</t>
  </si>
  <si>
    <t>SKU1468</t>
  </si>
  <si>
    <t>SKU1469</t>
  </si>
  <si>
    <t>SKU1470</t>
  </si>
  <si>
    <t>SKU1471</t>
  </si>
  <si>
    <t>SKU1472</t>
  </si>
  <si>
    <t>SKU1473</t>
  </si>
  <si>
    <t>SKU1474</t>
  </si>
  <si>
    <t>SKU1475</t>
  </si>
  <si>
    <t>SKU1476</t>
  </si>
  <si>
    <t>SKU1477</t>
  </si>
  <si>
    <t>SKU1478</t>
  </si>
  <si>
    <t>SKU1479</t>
  </si>
  <si>
    <t>SKU1480</t>
  </si>
  <si>
    <t>SKU1481</t>
  </si>
  <si>
    <t>SKU1482</t>
  </si>
  <si>
    <t>SKU1483</t>
  </si>
  <si>
    <t>SKU1484</t>
  </si>
  <si>
    <t>SKU1485</t>
  </si>
  <si>
    <t>SKU1486</t>
  </si>
  <si>
    <t>SKU1487</t>
  </si>
  <si>
    <t>SKU1488</t>
  </si>
  <si>
    <t>SKU1489</t>
  </si>
  <si>
    <t>SKU1490</t>
  </si>
  <si>
    <t>SKU1491</t>
  </si>
  <si>
    <t>SKU1492</t>
  </si>
  <si>
    <t>SKU1493</t>
  </si>
  <si>
    <t>SKU1494</t>
  </si>
  <si>
    <t>SKU1495</t>
  </si>
  <si>
    <t>SKU1496</t>
  </si>
  <si>
    <t>SKU1497</t>
  </si>
  <si>
    <t>SKU1498</t>
  </si>
  <si>
    <t>SKU1499</t>
  </si>
  <si>
    <t>SKU1500</t>
  </si>
  <si>
    <t>SKU1501</t>
  </si>
  <si>
    <t>SKU1502</t>
  </si>
  <si>
    <t>SKU1503</t>
  </si>
  <si>
    <t>SKU1504</t>
  </si>
  <si>
    <t>SKU1505</t>
  </si>
  <si>
    <t>SKU1506</t>
  </si>
  <si>
    <t>SKU1507</t>
  </si>
  <si>
    <t>SKU1508</t>
  </si>
  <si>
    <t>SKU1509</t>
  </si>
  <si>
    <t>SKU1510</t>
  </si>
  <si>
    <t>SKU1511</t>
  </si>
  <si>
    <t>SKU1512</t>
  </si>
  <si>
    <t>SKU1513</t>
  </si>
  <si>
    <t>SKU1514</t>
  </si>
  <si>
    <t>SKU1515</t>
  </si>
  <si>
    <t>SKU1516</t>
  </si>
  <si>
    <t>SKU1517</t>
  </si>
  <si>
    <t>SKU1518</t>
  </si>
  <si>
    <t>SKU1519</t>
  </si>
  <si>
    <t>SKU1520</t>
  </si>
  <si>
    <t>SKU1521</t>
  </si>
  <si>
    <t>SKU1522</t>
  </si>
  <si>
    <t>SKU1523</t>
  </si>
  <si>
    <t>SKU1524</t>
  </si>
  <si>
    <t>SKU1525</t>
  </si>
  <si>
    <t>SKU1526</t>
  </si>
  <si>
    <t>SKU1527</t>
  </si>
  <si>
    <t>SKU1528</t>
  </si>
  <si>
    <t>SKU1529</t>
  </si>
  <si>
    <t>SKU1530</t>
  </si>
  <si>
    <t>SKU1531</t>
  </si>
  <si>
    <t>SKU1532</t>
  </si>
  <si>
    <t>SKU1533</t>
  </si>
  <si>
    <t>SKU1534</t>
  </si>
  <si>
    <t>SKU1535</t>
  </si>
  <si>
    <t>SKU1536</t>
  </si>
  <si>
    <t>SKU1537</t>
  </si>
  <si>
    <t>SKU1538</t>
  </si>
  <si>
    <t>SKU1539</t>
  </si>
  <si>
    <t>SKU1540</t>
  </si>
  <si>
    <t>SKU1541</t>
  </si>
  <si>
    <t>SKU1542</t>
  </si>
  <si>
    <t>SKU1543</t>
  </si>
  <si>
    <t>SKU1544</t>
  </si>
  <si>
    <t>SKU1545</t>
  </si>
  <si>
    <t>SKU1546</t>
  </si>
  <si>
    <t>SKU1547</t>
  </si>
  <si>
    <t>SKU1548</t>
  </si>
  <si>
    <t>SKU1549</t>
  </si>
  <si>
    <t>SKU1550</t>
  </si>
  <si>
    <t>SKU1551</t>
  </si>
  <si>
    <t>SKU1552</t>
  </si>
  <si>
    <t>SKU1553</t>
  </si>
  <si>
    <t>SKU1554</t>
  </si>
  <si>
    <t>SKU1555</t>
  </si>
  <si>
    <t>SKU1556</t>
  </si>
  <si>
    <t>SKU1557</t>
  </si>
  <si>
    <t>SKU1558</t>
  </si>
  <si>
    <t>SKU1559</t>
  </si>
  <si>
    <t>SKU1560</t>
  </si>
  <si>
    <t>SKU1561</t>
  </si>
  <si>
    <t>SKU1562</t>
  </si>
  <si>
    <t>SKU1563</t>
  </si>
  <si>
    <t>SKU1564</t>
  </si>
  <si>
    <t>SKU1565</t>
  </si>
  <si>
    <t>SKU1566</t>
  </si>
  <si>
    <t>SKU1567</t>
  </si>
  <si>
    <t>SKU1568</t>
  </si>
  <si>
    <t>SKU1569</t>
  </si>
  <si>
    <t>SKU1570</t>
  </si>
  <si>
    <t>SKU1571</t>
  </si>
  <si>
    <t>SKU1572</t>
  </si>
  <si>
    <t>SKU1573</t>
  </si>
  <si>
    <t>SKU1574</t>
  </si>
  <si>
    <t>SKU1575</t>
  </si>
  <si>
    <t>SKU1576</t>
  </si>
  <si>
    <t>SKU1577</t>
  </si>
  <si>
    <t>SKU1578</t>
  </si>
  <si>
    <t>SKU1579</t>
  </si>
  <si>
    <t>SKU1580</t>
  </si>
  <si>
    <t>SKU1581</t>
  </si>
  <si>
    <t>SKU1582</t>
  </si>
  <si>
    <t>SKU1583</t>
  </si>
  <si>
    <t>SKU1584</t>
  </si>
  <si>
    <t>SKU1585</t>
  </si>
  <si>
    <t>SKU1586</t>
  </si>
  <si>
    <t>SKU1587</t>
  </si>
  <si>
    <t>SKU1588</t>
  </si>
  <si>
    <t>SKU1589</t>
  </si>
  <si>
    <t>SKU1590</t>
  </si>
  <si>
    <t>SKU1591</t>
  </si>
  <si>
    <t>SKU1592</t>
  </si>
  <si>
    <t>SKU1593</t>
  </si>
  <si>
    <t>SKU1594</t>
  </si>
  <si>
    <t>SKU1595</t>
  </si>
  <si>
    <t>SKU1596</t>
  </si>
  <si>
    <t>SKU1597</t>
  </si>
  <si>
    <t>SKU1598</t>
  </si>
  <si>
    <t>SKU1599</t>
  </si>
  <si>
    <t>SKU1600</t>
  </si>
  <si>
    <t>SKU1601</t>
  </si>
  <si>
    <t>SKU1602</t>
  </si>
  <si>
    <t>SKU1603</t>
  </si>
  <si>
    <t>SKU1604</t>
  </si>
  <si>
    <t>SKU1605</t>
  </si>
  <si>
    <t>SKU1606</t>
  </si>
  <si>
    <t>SKU1607</t>
  </si>
  <si>
    <t>SKU1608</t>
  </si>
  <si>
    <t>SKU1609</t>
  </si>
  <si>
    <t>SKU1610</t>
  </si>
  <si>
    <t>SKU1611</t>
  </si>
  <si>
    <t>SKU1612</t>
  </si>
  <si>
    <t>SKU1613</t>
  </si>
  <si>
    <t>SKU1614</t>
  </si>
  <si>
    <t>SKU1615</t>
  </si>
  <si>
    <t>SKU1616</t>
  </si>
  <si>
    <t>SKU1617</t>
  </si>
  <si>
    <t>SKU1618</t>
  </si>
  <si>
    <t>SKU1619</t>
  </si>
  <si>
    <t>SKU1620</t>
  </si>
  <si>
    <t>SKU1621</t>
  </si>
  <si>
    <t>SKU1622</t>
  </si>
  <si>
    <t>SKU1623</t>
  </si>
  <si>
    <t>SKU1624</t>
  </si>
  <si>
    <t>SKU1625</t>
  </si>
  <si>
    <t>SKU1626</t>
  </si>
  <si>
    <t>SKU1627</t>
  </si>
  <si>
    <t>SKU1628</t>
  </si>
  <si>
    <t>SKU1629</t>
  </si>
  <si>
    <t>SKU1630</t>
  </si>
  <si>
    <t>SKU1631</t>
  </si>
  <si>
    <t>SKU1632</t>
  </si>
  <si>
    <t>SKU1633</t>
  </si>
  <si>
    <t>SKU1634</t>
  </si>
  <si>
    <t>SKU1635</t>
  </si>
  <si>
    <t>SKU1636</t>
  </si>
  <si>
    <t>SKU1637</t>
  </si>
  <si>
    <t>SKU1638</t>
  </si>
  <si>
    <t>SKU1639</t>
  </si>
  <si>
    <t>SKU1640</t>
  </si>
  <si>
    <t>SKU1641</t>
  </si>
  <si>
    <t>SKU1642</t>
  </si>
  <si>
    <t>SKU1643</t>
  </si>
  <si>
    <t>SKU1644</t>
  </si>
  <si>
    <t>SKU1645</t>
  </si>
  <si>
    <t>SKU1646</t>
  </si>
  <si>
    <t>SKU1647</t>
  </si>
  <si>
    <t>SKU1648</t>
  </si>
  <si>
    <t>SKU1649</t>
  </si>
  <si>
    <t>SKU1650</t>
  </si>
  <si>
    <t>SKU1651</t>
  </si>
  <si>
    <t>SKU1652</t>
  </si>
  <si>
    <t>SKU1653</t>
  </si>
  <si>
    <t>SKU1654</t>
  </si>
  <si>
    <t>SKU1655</t>
  </si>
  <si>
    <t>SKU1656</t>
  </si>
  <si>
    <t>SKU1657</t>
  </si>
  <si>
    <t>SKU1658</t>
  </si>
  <si>
    <t>SKU1659</t>
  </si>
  <si>
    <t>SKU1660</t>
  </si>
  <si>
    <t>SKU1661</t>
  </si>
  <si>
    <t>SKU1662</t>
  </si>
  <si>
    <t>SKU1663</t>
  </si>
  <si>
    <t>SKU1664</t>
  </si>
  <si>
    <t>SKU1665</t>
  </si>
  <si>
    <t>SKU1666</t>
  </si>
  <si>
    <t>SKU1667</t>
  </si>
  <si>
    <t>SKU1668</t>
  </si>
  <si>
    <t>SKU1669</t>
  </si>
  <si>
    <t>SKU1670</t>
  </si>
  <si>
    <t>SKU1671</t>
  </si>
  <si>
    <t>SKU1672</t>
  </si>
  <si>
    <t>SKU1673</t>
  </si>
  <si>
    <t>SKU1674</t>
  </si>
  <si>
    <t>SKU1675</t>
  </si>
  <si>
    <t>SKU1676</t>
  </si>
  <si>
    <t>SKU1677</t>
  </si>
  <si>
    <t>SKU1678</t>
  </si>
  <si>
    <t>SKU1679</t>
  </si>
  <si>
    <t>SKU1680</t>
  </si>
  <si>
    <t>SKU1681</t>
  </si>
  <si>
    <t>SKU1682</t>
  </si>
  <si>
    <t>SKU1683</t>
  </si>
  <si>
    <t>SKU1684</t>
  </si>
  <si>
    <t>SKU1685</t>
  </si>
  <si>
    <t>SKU1686</t>
  </si>
  <si>
    <t>SKU1687</t>
  </si>
  <si>
    <t>SKU1688</t>
  </si>
  <si>
    <t>SKU1689</t>
  </si>
  <si>
    <t>SKU1690</t>
  </si>
  <si>
    <t>SKU1691</t>
  </si>
  <si>
    <t>SKU1692</t>
  </si>
  <si>
    <t>SKU1693</t>
  </si>
  <si>
    <t>SKU1694</t>
  </si>
  <si>
    <t>SKU1695</t>
  </si>
  <si>
    <t>SKU1696</t>
  </si>
  <si>
    <t>SKU1697</t>
  </si>
  <si>
    <t>SKU1698</t>
  </si>
  <si>
    <t>SKU1699</t>
  </si>
  <si>
    <t>SKU1700</t>
  </si>
  <si>
    <t>SKU1701</t>
  </si>
  <si>
    <t>SKU1702</t>
  </si>
  <si>
    <t>SKU1703</t>
  </si>
  <si>
    <t>SKU1704</t>
  </si>
  <si>
    <t>SKU1705</t>
  </si>
  <si>
    <t>SKU1706</t>
  </si>
  <si>
    <t>SKU1707</t>
  </si>
  <si>
    <t>SKU1708</t>
  </si>
  <si>
    <t>SKU1709</t>
  </si>
  <si>
    <t>SKU1710</t>
  </si>
  <si>
    <t>SKU1711</t>
  </si>
  <si>
    <t>SKU1712</t>
  </si>
  <si>
    <t>SKU1713</t>
  </si>
  <si>
    <t>SKU1714</t>
  </si>
  <si>
    <t>SKU1715</t>
  </si>
  <si>
    <t>SKU1716</t>
  </si>
  <si>
    <t>SKU1717</t>
  </si>
  <si>
    <t>SKU1718</t>
  </si>
  <si>
    <t>SKU1719</t>
  </si>
  <si>
    <t>SKU1720</t>
  </si>
  <si>
    <t>SKU1721</t>
  </si>
  <si>
    <t>SKU1722</t>
  </si>
  <si>
    <t>SKU1723</t>
  </si>
  <si>
    <t>SKU1724</t>
  </si>
  <si>
    <t>SKU1725</t>
  </si>
  <si>
    <t>SKU1726</t>
  </si>
  <si>
    <t>SKU1727</t>
  </si>
  <si>
    <t>SKU1728</t>
  </si>
  <si>
    <t>SKU1729</t>
  </si>
  <si>
    <t>SKU1730</t>
  </si>
  <si>
    <t>SKU1731</t>
  </si>
  <si>
    <t>SKU1732</t>
  </si>
  <si>
    <t>SKU1733</t>
  </si>
  <si>
    <t>SKU1734</t>
  </si>
  <si>
    <t>SKU1735</t>
  </si>
  <si>
    <t>SKU1736</t>
  </si>
  <si>
    <t>SKU1737</t>
  </si>
  <si>
    <t>SKU1738</t>
  </si>
  <si>
    <t>SKU1739</t>
  </si>
  <si>
    <t>SKU1740</t>
  </si>
  <si>
    <t>SKU1741</t>
  </si>
  <si>
    <t>SKU1742</t>
  </si>
  <si>
    <t>SKU1743</t>
  </si>
  <si>
    <t>SKU1744</t>
  </si>
  <si>
    <t>SKU1745</t>
  </si>
  <si>
    <t>SKU1746</t>
  </si>
  <si>
    <t>SKU1747</t>
  </si>
  <si>
    <t>SKU1748</t>
  </si>
  <si>
    <t>SKU1749</t>
  </si>
  <si>
    <t>SKU1750</t>
  </si>
  <si>
    <t>SKU1751</t>
  </si>
  <si>
    <t>SKU1752</t>
  </si>
  <si>
    <t>SKU1753</t>
  </si>
  <si>
    <t>SKU1754</t>
  </si>
  <si>
    <t>SKU1755</t>
  </si>
  <si>
    <t>SKU1756</t>
  </si>
  <si>
    <t>SKU1757</t>
  </si>
  <si>
    <t>SKU1758</t>
  </si>
  <si>
    <t>SKU1759</t>
  </si>
  <si>
    <t>SKU1760</t>
  </si>
  <si>
    <t>SKU1761</t>
  </si>
  <si>
    <t>SKU1762</t>
  </si>
  <si>
    <t>SKU1763</t>
  </si>
  <si>
    <t>SKU1764</t>
  </si>
  <si>
    <t>SKU1765</t>
  </si>
  <si>
    <t>SKU1766</t>
  </si>
  <si>
    <t>SKU1767</t>
  </si>
  <si>
    <t>SKU1768</t>
  </si>
  <si>
    <t>SKU1769</t>
  </si>
  <si>
    <t>SKU1770</t>
  </si>
  <si>
    <t>SKU1771</t>
  </si>
  <si>
    <t>SKU1772</t>
  </si>
  <si>
    <t>SKU1773</t>
  </si>
  <si>
    <t>SKU1774</t>
  </si>
  <si>
    <t>SKU1775</t>
  </si>
  <si>
    <t>SKU1776</t>
  </si>
  <si>
    <t>SKU1777</t>
  </si>
  <si>
    <t>SKU1778</t>
  </si>
  <si>
    <t>SKU1779</t>
  </si>
  <si>
    <t>SKU1780</t>
  </si>
  <si>
    <t>SKU1781</t>
  </si>
  <si>
    <t>SKU1782</t>
  </si>
  <si>
    <t>SKU1783</t>
  </si>
  <si>
    <t>SKU1784</t>
  </si>
  <si>
    <t>SKU1785</t>
  </si>
  <si>
    <t>SKU1786</t>
  </si>
  <si>
    <t>SKU1787</t>
  </si>
  <si>
    <t>SKU1788</t>
  </si>
  <si>
    <t>SKU1789</t>
  </si>
  <si>
    <t>SKU1790</t>
  </si>
  <si>
    <t>SKU1791</t>
  </si>
  <si>
    <t>SKU1792</t>
  </si>
  <si>
    <t>SKU1793</t>
  </si>
  <si>
    <t>SKU1794</t>
  </si>
  <si>
    <t>SKU1795</t>
  </si>
  <si>
    <t>SKU1796</t>
  </si>
  <si>
    <t>SKU1797</t>
  </si>
  <si>
    <t>SKU1798</t>
  </si>
  <si>
    <t>SKU1799</t>
  </si>
  <si>
    <t>SKU1800</t>
  </si>
  <si>
    <t>SKU1801</t>
  </si>
  <si>
    <t>SKU1802</t>
  </si>
  <si>
    <t>SKU1803</t>
  </si>
  <si>
    <t>SKU1804</t>
  </si>
  <si>
    <t>SKU1805</t>
  </si>
  <si>
    <t>SKU1806</t>
  </si>
  <si>
    <t>SKU1807</t>
  </si>
  <si>
    <t>SKU1808</t>
  </si>
  <si>
    <t>SKU1809</t>
  </si>
  <si>
    <t>SKU1810</t>
  </si>
  <si>
    <t>SKU1811</t>
  </si>
  <si>
    <t>SKU1812</t>
  </si>
  <si>
    <t>SKU1813</t>
  </si>
  <si>
    <t>SKU1814</t>
  </si>
  <si>
    <t>SKU1815</t>
  </si>
  <si>
    <t>SKU1816</t>
  </si>
  <si>
    <t>SKU1817</t>
  </si>
  <si>
    <t>SKU1818</t>
  </si>
  <si>
    <t>SKU1819</t>
  </si>
  <si>
    <t>SKU1820</t>
  </si>
  <si>
    <t>SKU1821</t>
  </si>
  <si>
    <t>SKU1822</t>
  </si>
  <si>
    <t>SKU1823</t>
  </si>
  <si>
    <t>SKU1824</t>
  </si>
  <si>
    <t>SKU1825</t>
  </si>
  <si>
    <t>SKU1826</t>
  </si>
  <si>
    <t>SKU1827</t>
  </si>
  <si>
    <t>SKU1828</t>
  </si>
  <si>
    <t>SKU1829</t>
  </si>
  <si>
    <t>SKU1830</t>
  </si>
  <si>
    <t>SKU1831</t>
  </si>
  <si>
    <t>SKU1832</t>
  </si>
  <si>
    <t>SKU1833</t>
  </si>
  <si>
    <t>SKU1834</t>
  </si>
  <si>
    <t>SKU1835</t>
  </si>
  <si>
    <t>SKU1836</t>
  </si>
  <si>
    <t>SKU1837</t>
  </si>
  <si>
    <t>SKU1838</t>
  </si>
  <si>
    <t>SKU1839</t>
  </si>
  <si>
    <t>SKU1840</t>
  </si>
  <si>
    <t>SKU1841</t>
  </si>
  <si>
    <t>SKU1842</t>
  </si>
  <si>
    <t>SKU1843</t>
  </si>
  <si>
    <t>SKU1844</t>
  </si>
  <si>
    <t>SKU1845</t>
  </si>
  <si>
    <t>SKU1846</t>
  </si>
  <si>
    <t>SKU1847</t>
  </si>
  <si>
    <t>SKU1848</t>
  </si>
  <si>
    <t>SKU1849</t>
  </si>
  <si>
    <t>SKU1850</t>
  </si>
  <si>
    <t>SKU1851</t>
  </si>
  <si>
    <t>SKU1852</t>
  </si>
  <si>
    <t>SKU1853</t>
  </si>
  <si>
    <t>SKU1854</t>
  </si>
  <si>
    <t>SKU1855</t>
  </si>
  <si>
    <t>SKU1856</t>
  </si>
  <si>
    <t>SKU1857</t>
  </si>
  <si>
    <t>SKU1858</t>
  </si>
  <si>
    <t>SKU1859</t>
  </si>
  <si>
    <t>SKU1860</t>
  </si>
  <si>
    <t>SKU1861</t>
  </si>
  <si>
    <t>SKU1862</t>
  </si>
  <si>
    <t>SKU1863</t>
  </si>
  <si>
    <t>SKU1864</t>
  </si>
  <si>
    <t>SKU1865</t>
  </si>
  <si>
    <t>SKU1866</t>
  </si>
  <si>
    <t>SKU1867</t>
  </si>
  <si>
    <t>SKU1868</t>
  </si>
  <si>
    <t>SKU1869</t>
  </si>
  <si>
    <t>SKU1870</t>
  </si>
  <si>
    <t>SKU1871</t>
  </si>
  <si>
    <t>SKU1872</t>
  </si>
  <si>
    <t>SKU1873</t>
  </si>
  <si>
    <t>SKU1874</t>
  </si>
  <si>
    <t>SKU1875</t>
  </si>
  <si>
    <t>SKU1876</t>
  </si>
  <si>
    <t>SKU1877</t>
  </si>
  <si>
    <t>SKU1878</t>
  </si>
  <si>
    <t>SKU1879</t>
  </si>
  <si>
    <t>SKU1880</t>
  </si>
  <si>
    <t>SKU1881</t>
  </si>
  <si>
    <t>SKU1882</t>
  </si>
  <si>
    <t>SKU1883</t>
  </si>
  <si>
    <t>SKU1884</t>
  </si>
  <si>
    <t>SKU1885</t>
  </si>
  <si>
    <t>SKU1886</t>
  </si>
  <si>
    <t>SKU1887</t>
  </si>
  <si>
    <t>SKU1888</t>
  </si>
  <si>
    <t>SKU1889</t>
  </si>
  <si>
    <t>SKU1890</t>
  </si>
  <si>
    <t>SKU1891</t>
  </si>
  <si>
    <t>SKU1892</t>
  </si>
  <si>
    <t>SKU1893</t>
  </si>
  <si>
    <t>SKU1894</t>
  </si>
  <si>
    <t>SKU1895</t>
  </si>
  <si>
    <t>SKU1896</t>
  </si>
  <si>
    <t>SKU1897</t>
  </si>
  <si>
    <t>SKU1898</t>
  </si>
  <si>
    <t>SKU1899</t>
  </si>
  <si>
    <t>SKU1900</t>
  </si>
  <si>
    <t>SKU1901</t>
  </si>
  <si>
    <t>SKU1902</t>
  </si>
  <si>
    <t>SKU1903</t>
  </si>
  <si>
    <t>SKU1904</t>
  </si>
  <si>
    <t>SKU1905</t>
  </si>
  <si>
    <t>SKU1906</t>
  </si>
  <si>
    <t>SKU1907</t>
  </si>
  <si>
    <t>SKU1908</t>
  </si>
  <si>
    <t>SKU1909</t>
  </si>
  <si>
    <t>SKU1910</t>
  </si>
  <si>
    <t>SKU1911</t>
  </si>
  <si>
    <t>SKU1912</t>
  </si>
  <si>
    <t>SKU1913</t>
  </si>
  <si>
    <t>SKU1914</t>
  </si>
  <si>
    <t>SKU1915</t>
  </si>
  <si>
    <t>SKU1916</t>
  </si>
  <si>
    <t>SKU1917</t>
  </si>
  <si>
    <t>SKU1918</t>
  </si>
  <si>
    <t>SKU1919</t>
  </si>
  <si>
    <t>SKU1920</t>
  </si>
  <si>
    <t>SKU1921</t>
  </si>
  <si>
    <t>SKU1922</t>
  </si>
  <si>
    <t>SKU1923</t>
  </si>
  <si>
    <t>SKU1924</t>
  </si>
  <si>
    <t>SKU1925</t>
  </si>
  <si>
    <t>SKU1926</t>
  </si>
  <si>
    <t>SKU1927</t>
  </si>
  <si>
    <t>SKU1928</t>
  </si>
  <si>
    <t>SKU1929</t>
  </si>
  <si>
    <t>SKU1930</t>
  </si>
  <si>
    <t>SKU1931</t>
  </si>
  <si>
    <t>SKU1932</t>
  </si>
  <si>
    <t>SKU1933</t>
  </si>
  <si>
    <t>SKU1934</t>
  </si>
  <si>
    <t>SKU1935</t>
  </si>
  <si>
    <t>SKU1936</t>
  </si>
  <si>
    <t>SKU1937</t>
  </si>
  <si>
    <t>SKU1938</t>
  </si>
  <si>
    <t>SKU1939</t>
  </si>
  <si>
    <t>SKU1940</t>
  </si>
  <si>
    <t>SKU1941</t>
  </si>
  <si>
    <t>SKU1942</t>
  </si>
  <si>
    <t>SKU1943</t>
  </si>
  <si>
    <t>SKU1944</t>
  </si>
  <si>
    <t>SKU1945</t>
  </si>
  <si>
    <t>SKU1946</t>
  </si>
  <si>
    <t>SKU1947</t>
  </si>
  <si>
    <t>SKU1948</t>
  </si>
  <si>
    <t>SKU1949</t>
  </si>
  <si>
    <t>SKU1950</t>
  </si>
  <si>
    <t>SKU1951</t>
  </si>
  <si>
    <t>SKU1952</t>
  </si>
  <si>
    <t>SKU1953</t>
  </si>
  <si>
    <t>SKU1954</t>
  </si>
  <si>
    <t>SKU1955</t>
  </si>
  <si>
    <t>SKU1956</t>
  </si>
  <si>
    <t>SKU1957</t>
  </si>
  <si>
    <t>SKU1958</t>
  </si>
  <si>
    <t>SKU1959</t>
  </si>
  <si>
    <t>SKU1960</t>
  </si>
  <si>
    <t>SKU1961</t>
  </si>
  <si>
    <t>SKU1962</t>
  </si>
  <si>
    <t>SKU1963</t>
  </si>
  <si>
    <t>SKU1964</t>
  </si>
  <si>
    <t>SKU1965</t>
  </si>
  <si>
    <t>SKU1966</t>
  </si>
  <si>
    <t>SKU1967</t>
  </si>
  <si>
    <t>SKU1968</t>
  </si>
  <si>
    <t>SKU1969</t>
  </si>
  <si>
    <t>SKU1970</t>
  </si>
  <si>
    <t>SKU1971</t>
  </si>
  <si>
    <t>SKU1972</t>
  </si>
  <si>
    <t>SKU1973</t>
  </si>
  <si>
    <t>SKU1974</t>
  </si>
  <si>
    <t>SKU1975</t>
  </si>
  <si>
    <t>SKU1976</t>
  </si>
  <si>
    <t>SKU1977</t>
  </si>
  <si>
    <t>SKU1978</t>
  </si>
  <si>
    <t>SKU1979</t>
  </si>
  <si>
    <t>SKU1980</t>
  </si>
  <si>
    <t>SKU1981</t>
  </si>
  <si>
    <t>SKU1982</t>
  </si>
  <si>
    <t>SKU1983</t>
  </si>
  <si>
    <t>SKU1984</t>
  </si>
  <si>
    <t>SKU1985</t>
  </si>
  <si>
    <t>SKU1986</t>
  </si>
  <si>
    <t>SKU1987</t>
  </si>
  <si>
    <t>SKU1988</t>
  </si>
  <si>
    <t>SKU1989</t>
  </si>
  <si>
    <t>SKU1990</t>
  </si>
  <si>
    <t>SKU1991</t>
  </si>
  <si>
    <t>SKU1992</t>
  </si>
  <si>
    <t>SKU1993</t>
  </si>
  <si>
    <t>SKU1994</t>
  </si>
  <si>
    <t>SKU1995</t>
  </si>
  <si>
    <t>SKU1996</t>
  </si>
  <si>
    <t>SKU1997</t>
  </si>
  <si>
    <t>SKU1998</t>
  </si>
  <si>
    <t>SKU1999</t>
  </si>
  <si>
    <t>SKU2000</t>
  </si>
  <si>
    <t>SKU2001</t>
  </si>
  <si>
    <t>SKU2002</t>
  </si>
  <si>
    <t>SKU2003</t>
  </si>
  <si>
    <t>SKU2004</t>
  </si>
  <si>
    <t>SKU2005</t>
  </si>
  <si>
    <t>SKU2006</t>
  </si>
  <si>
    <t>SKU2007</t>
  </si>
  <si>
    <t>SKU2008</t>
  </si>
  <si>
    <t>SKU2009</t>
  </si>
  <si>
    <t>SKU2010</t>
  </si>
  <si>
    <t>SKU2011</t>
  </si>
  <si>
    <t>SKU2012</t>
  </si>
  <si>
    <t>SKU2013</t>
  </si>
  <si>
    <t>SKU2014</t>
  </si>
  <si>
    <t>SKU2015</t>
  </si>
  <si>
    <t>SKU2016</t>
  </si>
  <si>
    <t>SKU2017</t>
  </si>
  <si>
    <t>SKU2018</t>
  </si>
  <si>
    <t>SKU2019</t>
  </si>
  <si>
    <t>SKU2020</t>
  </si>
  <si>
    <t>SKU2021</t>
  </si>
  <si>
    <t>SKU2022</t>
  </si>
  <si>
    <t>SKU2023</t>
  </si>
  <si>
    <t>SKU2024</t>
  </si>
  <si>
    <t>SKU2025</t>
  </si>
  <si>
    <t>SKU2026</t>
  </si>
  <si>
    <t>SKU2027</t>
  </si>
  <si>
    <t>SKU2028</t>
  </si>
  <si>
    <t>SKU2029</t>
  </si>
  <si>
    <t>SKU2030</t>
  </si>
  <si>
    <t>SKU2031</t>
  </si>
  <si>
    <t>SKU2032</t>
  </si>
  <si>
    <t>SKU2033</t>
  </si>
  <si>
    <t>SKU2034</t>
  </si>
  <si>
    <t>SKU2035</t>
  </si>
  <si>
    <t>SKU2036</t>
  </si>
  <si>
    <t>SKU2037</t>
  </si>
  <si>
    <t>SKU2038</t>
  </si>
  <si>
    <t>SKU2039</t>
  </si>
  <si>
    <t>SKU2040</t>
  </si>
  <si>
    <t>SKU2041</t>
  </si>
  <si>
    <t>SKU2042</t>
  </si>
  <si>
    <t>SKU2043</t>
  </si>
  <si>
    <t>SKU2044</t>
  </si>
  <si>
    <t>SKU2045</t>
  </si>
  <si>
    <t>SKU2046</t>
  </si>
  <si>
    <t>SKU2047</t>
  </si>
  <si>
    <t>SKU2048</t>
  </si>
  <si>
    <t>SKU2049</t>
  </si>
  <si>
    <t>SKU2050</t>
  </si>
  <si>
    <t>SKU2051</t>
  </si>
  <si>
    <t>SKU2052</t>
  </si>
  <si>
    <t>SKU2053</t>
  </si>
  <si>
    <t>SKU2054</t>
  </si>
  <si>
    <t>SKU2055</t>
  </si>
  <si>
    <t>SKU2056</t>
  </si>
  <si>
    <t>SKU2057</t>
  </si>
  <si>
    <t>SKU2058</t>
  </si>
  <si>
    <t>SKU2059</t>
  </si>
  <si>
    <t>SKU2060</t>
  </si>
  <si>
    <t>SKU2061</t>
  </si>
  <si>
    <t>SKU2062</t>
  </si>
  <si>
    <t>SKU2063</t>
  </si>
  <si>
    <t>SKU2064</t>
  </si>
  <si>
    <t>SKU2065</t>
  </si>
  <si>
    <t>SKU2066</t>
  </si>
  <si>
    <t>SKU2067</t>
  </si>
  <si>
    <t>SKU2068</t>
  </si>
  <si>
    <t>SKU2069</t>
  </si>
  <si>
    <t>SKU2070</t>
  </si>
  <si>
    <t>SKU2071</t>
  </si>
  <si>
    <t>SKU2072</t>
  </si>
  <si>
    <t>SKU2073</t>
  </si>
  <si>
    <t>SKU2074</t>
  </si>
  <si>
    <t>SKU2075</t>
  </si>
  <si>
    <t>SKU2076</t>
  </si>
  <si>
    <t>SKU2077</t>
  </si>
  <si>
    <t>SKU2078</t>
  </si>
  <si>
    <t>SKU2079</t>
  </si>
  <si>
    <t>SKU2080</t>
  </si>
  <si>
    <t>SKU2081</t>
  </si>
  <si>
    <t>SKU2082</t>
  </si>
  <si>
    <t>SKU2083</t>
  </si>
  <si>
    <t>SKU2084</t>
  </si>
  <si>
    <t>SKU2085</t>
  </si>
  <si>
    <t>SKU2086</t>
  </si>
  <si>
    <t>SKU2087</t>
  </si>
  <si>
    <t>SKU2088</t>
  </si>
  <si>
    <t>SKU2089</t>
  </si>
  <si>
    <t>SKU2090</t>
  </si>
  <si>
    <t>SKU2091</t>
  </si>
  <si>
    <t>SKU2092</t>
  </si>
  <si>
    <t>SKU2093</t>
  </si>
  <si>
    <t>SKU2094</t>
  </si>
  <si>
    <t>SKU2095</t>
  </si>
  <si>
    <t>SKU2096</t>
  </si>
  <si>
    <t>SKU2097</t>
  </si>
  <si>
    <t>SKU2098</t>
  </si>
  <si>
    <t>SKU2099</t>
  </si>
  <si>
    <t>SKU2100</t>
  </si>
  <si>
    <t>SKU2101</t>
  </si>
  <si>
    <t>SKU2102</t>
  </si>
  <si>
    <t>SKU2103</t>
  </si>
  <si>
    <t>SKU2104</t>
  </si>
  <si>
    <t>SKU2105</t>
  </si>
  <si>
    <t>SKU2106</t>
  </si>
  <si>
    <t>SKU2107</t>
  </si>
  <si>
    <t>SKU2108</t>
  </si>
  <si>
    <t>SKU2109</t>
  </si>
  <si>
    <t>SKU2110</t>
  </si>
  <si>
    <t>SKU2111</t>
  </si>
  <si>
    <t>SKU2112</t>
  </si>
  <si>
    <t>SKU2113</t>
  </si>
  <si>
    <t>SKU2114</t>
  </si>
  <si>
    <t>SKU2115</t>
  </si>
  <si>
    <t>SKU2116</t>
  </si>
  <si>
    <t>SKU2117</t>
  </si>
  <si>
    <t>SKU2118</t>
  </si>
  <si>
    <t>SKU2119</t>
  </si>
  <si>
    <t>SKU2120</t>
  </si>
  <si>
    <t>SKU2121</t>
  </si>
  <si>
    <t>SKU2122</t>
  </si>
  <si>
    <t>SKU2123</t>
  </si>
  <si>
    <t>SKU2124</t>
  </si>
  <si>
    <t>SKU2125</t>
  </si>
  <si>
    <t>SKU2126</t>
  </si>
  <si>
    <t>SKU2127</t>
  </si>
  <si>
    <t>SKU2128</t>
  </si>
  <si>
    <t>SKU2129</t>
  </si>
  <si>
    <t>SKU2130</t>
  </si>
  <si>
    <t>SKU2131</t>
  </si>
  <si>
    <t>SKU2132</t>
  </si>
  <si>
    <t>SKU2133</t>
  </si>
  <si>
    <t>SKU2134</t>
  </si>
  <si>
    <t>SKU2135</t>
  </si>
  <si>
    <t>SKU2136</t>
  </si>
  <si>
    <t>SKU2137</t>
  </si>
  <si>
    <t>SKU2138</t>
  </si>
  <si>
    <t>SKU2139</t>
  </si>
  <si>
    <t>SKU2140</t>
  </si>
  <si>
    <t>SKU2141</t>
  </si>
  <si>
    <t>SKU2142</t>
  </si>
  <si>
    <t>SKU2143</t>
  </si>
  <si>
    <t>SKU2144</t>
  </si>
  <si>
    <t>SKU2145</t>
  </si>
  <si>
    <t>SKU2146</t>
  </si>
  <si>
    <t>SKU2147</t>
  </si>
  <si>
    <t>SKU2148</t>
  </si>
  <si>
    <t>SKU2149</t>
  </si>
  <si>
    <t>SKU2150</t>
  </si>
  <si>
    <t>SKU2151</t>
  </si>
  <si>
    <t>SKU2152</t>
  </si>
  <si>
    <t>SKU2153</t>
  </si>
  <si>
    <t>SKU2154</t>
  </si>
  <si>
    <t>SKU2155</t>
  </si>
  <si>
    <t>SKU2156</t>
  </si>
  <si>
    <t>SKU2157</t>
  </si>
  <si>
    <t>SKU2158</t>
  </si>
  <si>
    <t>SKU2159</t>
  </si>
  <si>
    <t>SKU2160</t>
  </si>
  <si>
    <t>SKU2161</t>
  </si>
  <si>
    <t>SKU2162</t>
  </si>
  <si>
    <t>SKU2163</t>
  </si>
  <si>
    <t>SKU2164</t>
  </si>
  <si>
    <t>SKU2165</t>
  </si>
  <si>
    <t>SKU2166</t>
  </si>
  <si>
    <t>SKU2167</t>
  </si>
  <si>
    <t>SKU2168</t>
  </si>
  <si>
    <t>SKU2169</t>
  </si>
  <si>
    <t>SKU2170</t>
  </si>
  <si>
    <t>SKU2171</t>
  </si>
  <si>
    <t>SKU2172</t>
  </si>
  <si>
    <t>SKU2173</t>
  </si>
  <si>
    <t>SKU2174</t>
  </si>
  <si>
    <t>SKU2175</t>
  </si>
  <si>
    <t>SKU2176</t>
  </si>
  <si>
    <t>SKU2177</t>
  </si>
  <si>
    <t>SKU2178</t>
  </si>
  <si>
    <t>SKU2179</t>
  </si>
  <si>
    <t>SKU2180</t>
  </si>
  <si>
    <t>SKU2181</t>
  </si>
  <si>
    <t>SKU2182</t>
  </si>
  <si>
    <t>SKU2183</t>
  </si>
  <si>
    <t>SKU2184</t>
  </si>
  <si>
    <t>SKU2185</t>
  </si>
  <si>
    <t>SKU2186</t>
  </si>
  <si>
    <t>SKU2187</t>
  </si>
  <si>
    <t>SKU2188</t>
  </si>
  <si>
    <t>SKU2189</t>
  </si>
  <si>
    <t>SKU2190</t>
  </si>
  <si>
    <t>SKU2191</t>
  </si>
  <si>
    <t>SKU2192</t>
  </si>
  <si>
    <t>SKU2193</t>
  </si>
  <si>
    <t>SKU2194</t>
  </si>
  <si>
    <t>SKU2195</t>
  </si>
  <si>
    <t>SKU2196</t>
  </si>
  <si>
    <t>SKU2197</t>
  </si>
  <si>
    <t>SKU2198</t>
  </si>
  <si>
    <t>SKU2199</t>
  </si>
  <si>
    <t>SKU2200</t>
  </si>
  <si>
    <t>SKU2201</t>
  </si>
  <si>
    <t>SKU2202</t>
  </si>
  <si>
    <t>SKU2203</t>
  </si>
  <si>
    <t>SKU2204</t>
  </si>
  <si>
    <t>SKU2205</t>
  </si>
  <si>
    <t>SKU2206</t>
  </si>
  <si>
    <t>SKU2207</t>
  </si>
  <si>
    <t>SKU2208</t>
  </si>
  <si>
    <t>SKU2209</t>
  </si>
  <si>
    <t>SKU2210</t>
  </si>
  <si>
    <t>SKU2211</t>
  </si>
  <si>
    <t>SKU2212</t>
  </si>
  <si>
    <t>SKU2213</t>
  </si>
  <si>
    <t>SKU2214</t>
  </si>
  <si>
    <t>SKU2215</t>
  </si>
  <si>
    <t>SKU2216</t>
  </si>
  <si>
    <t>SKU2217</t>
  </si>
  <si>
    <t>SKU2218</t>
  </si>
  <si>
    <t>SKU2219</t>
  </si>
  <si>
    <t>SKU2220</t>
  </si>
  <si>
    <t>SKU2221</t>
  </si>
  <si>
    <t>SKU2222</t>
  </si>
  <si>
    <t>SKU2223</t>
  </si>
  <si>
    <t>SKU2224</t>
  </si>
  <si>
    <t>SKU2225</t>
  </si>
  <si>
    <t>SKU2226</t>
  </si>
  <si>
    <t>SKU2227</t>
  </si>
  <si>
    <t>SKU2228</t>
  </si>
  <si>
    <t>SKU2229</t>
  </si>
  <si>
    <t>SKU2230</t>
  </si>
  <si>
    <t>SKU2231</t>
  </si>
  <si>
    <t>SKU2232</t>
  </si>
  <si>
    <t>SKU2233</t>
  </si>
  <si>
    <t>SKU2234</t>
  </si>
  <si>
    <t>SKU2235</t>
  </si>
  <si>
    <t>SKU2236</t>
  </si>
  <si>
    <t>SKU2237</t>
  </si>
  <si>
    <t>SKU2238</t>
  </si>
  <si>
    <t>SKU2239</t>
  </si>
  <si>
    <t>SKU2240</t>
  </si>
  <si>
    <t>SKU2241</t>
  </si>
  <si>
    <t>SKU2242</t>
  </si>
  <si>
    <t>SKU2243</t>
  </si>
  <si>
    <t>SKU2244</t>
  </si>
  <si>
    <t>SKU2245</t>
  </si>
  <si>
    <t>SKU2246</t>
  </si>
  <si>
    <t>SKU2247</t>
  </si>
  <si>
    <t>SKU2248</t>
  </si>
  <si>
    <t>SKU2249</t>
  </si>
  <si>
    <t>SKU2250</t>
  </si>
  <si>
    <t>SKU2251</t>
  </si>
  <si>
    <t>SKU2252</t>
  </si>
  <si>
    <t>SKU2253</t>
  </si>
  <si>
    <t>SKU2254</t>
  </si>
  <si>
    <t>SKU2255</t>
  </si>
  <si>
    <t>SKU2256</t>
  </si>
  <si>
    <t>SKU2257</t>
  </si>
  <si>
    <t>SKU2258</t>
  </si>
  <si>
    <t>SKU2259</t>
  </si>
  <si>
    <t>SKU2260</t>
  </si>
  <si>
    <t>SKU2261</t>
  </si>
  <si>
    <t>SKU2262</t>
  </si>
  <si>
    <t>SKU2263</t>
  </si>
  <si>
    <t>SKU2264</t>
  </si>
  <si>
    <t>SKU2265</t>
  </si>
  <si>
    <t>SKU2266</t>
  </si>
  <si>
    <t>SKU2267</t>
  </si>
  <si>
    <t>SKU2268</t>
  </si>
  <si>
    <t>SKU2269</t>
  </si>
  <si>
    <t>SKU2270</t>
  </si>
  <si>
    <t>SKU2271</t>
  </si>
  <si>
    <t>SKU2272</t>
  </si>
  <si>
    <t>SKU2273</t>
  </si>
  <si>
    <t>SKU2274</t>
  </si>
  <si>
    <t>SKU2275</t>
  </si>
  <si>
    <t>SKU2276</t>
  </si>
  <si>
    <t>SKU2277</t>
  </si>
  <si>
    <t>SKU2278</t>
  </si>
  <si>
    <t>SKU2279</t>
  </si>
  <si>
    <t>SKU2280</t>
  </si>
  <si>
    <t>SKU2281</t>
  </si>
  <si>
    <t>SKU2282</t>
  </si>
  <si>
    <t>SKU2283</t>
  </si>
  <si>
    <t>SKU2284</t>
  </si>
  <si>
    <t>SKU2285</t>
  </si>
  <si>
    <t>SKU2286</t>
  </si>
  <si>
    <t>SKU2287</t>
  </si>
  <si>
    <t>SKU2288</t>
  </si>
  <si>
    <t>SKU2289</t>
  </si>
  <si>
    <t>SKU2290</t>
  </si>
  <si>
    <t>SKU2291</t>
  </si>
  <si>
    <t>SKU2292</t>
  </si>
  <si>
    <t>SKU2293</t>
  </si>
  <si>
    <t>SKU2294</t>
  </si>
  <si>
    <t>SKU2295</t>
  </si>
  <si>
    <t>SKU2296</t>
  </si>
  <si>
    <t>SKU2297</t>
  </si>
  <si>
    <t>SKU2298</t>
  </si>
  <si>
    <t>SKU2299</t>
  </si>
  <si>
    <t>SKU2300</t>
  </si>
  <si>
    <t>SKU2301</t>
  </si>
  <si>
    <t>SKU2302</t>
  </si>
  <si>
    <t>SKU2303</t>
  </si>
  <si>
    <t>SKU2304</t>
  </si>
  <si>
    <t>SKU2305</t>
  </si>
  <si>
    <t>SKU2306</t>
  </si>
  <si>
    <t>SKU2307</t>
  </si>
  <si>
    <t>SKU2308</t>
  </si>
  <si>
    <t>SKU2309</t>
  </si>
  <si>
    <t>SKU2310</t>
  </si>
  <si>
    <t>SKU2311</t>
  </si>
  <si>
    <t>SKU2312</t>
  </si>
  <si>
    <t>SKU2313</t>
  </si>
  <si>
    <t>SKU2314</t>
  </si>
  <si>
    <t>SKU2315</t>
  </si>
  <si>
    <t>SKU2316</t>
  </si>
  <si>
    <t>SKU2317</t>
  </si>
  <si>
    <t>SKU2318</t>
  </si>
  <si>
    <t>SKU2319</t>
  </si>
  <si>
    <t>SKU2320</t>
  </si>
  <si>
    <t>SKU2321</t>
  </si>
  <si>
    <t>SKU2322</t>
  </si>
  <si>
    <t>SKU2323</t>
  </si>
  <si>
    <t>SKU2324</t>
  </si>
  <si>
    <t>SKU2325</t>
  </si>
  <si>
    <t>SKU2326</t>
  </si>
  <si>
    <t>SKU2327</t>
  </si>
  <si>
    <t>SKU2328</t>
  </si>
  <si>
    <t>SKU2329</t>
  </si>
  <si>
    <t>SKU2330</t>
  </si>
  <si>
    <t>SKU2331</t>
  </si>
  <si>
    <t>SKU2332</t>
  </si>
  <si>
    <t>SKU2333</t>
  </si>
  <si>
    <t>SKU2334</t>
  </si>
  <si>
    <t>SKU2335</t>
  </si>
  <si>
    <t>SKU2336</t>
  </si>
  <si>
    <t>SKU2337</t>
  </si>
  <si>
    <t>SKU2338</t>
  </si>
  <si>
    <t>SKU2339</t>
  </si>
  <si>
    <t>SKU2340</t>
  </si>
  <si>
    <t>SKU2341</t>
  </si>
  <si>
    <t>SKU2342</t>
  </si>
  <si>
    <t>SKU2343</t>
  </si>
  <si>
    <t>SKU2344</t>
  </si>
  <si>
    <t>SKU2345</t>
  </si>
  <si>
    <t>SKU2346</t>
  </si>
  <si>
    <t>SKU2347</t>
  </si>
  <si>
    <t>SKU2348</t>
  </si>
  <si>
    <t>SKU2349</t>
  </si>
  <si>
    <t>SKU2350</t>
  </si>
  <si>
    <t>SKU2351</t>
  </si>
  <si>
    <t>SKU2352</t>
  </si>
  <si>
    <t>SKU2353</t>
  </si>
  <si>
    <t>SKU2354</t>
  </si>
  <si>
    <t>SKU2355</t>
  </si>
  <si>
    <t>SKU2356</t>
  </si>
  <si>
    <t>SKU2357</t>
  </si>
  <si>
    <t>SKU2358</t>
  </si>
  <si>
    <t>SKU2359</t>
  </si>
  <si>
    <t>SKU2360</t>
  </si>
  <si>
    <t>SKU2361</t>
  </si>
  <si>
    <t>SKU2362</t>
  </si>
  <si>
    <t>SKU2363</t>
  </si>
  <si>
    <t>SKU2364</t>
  </si>
  <si>
    <t>SKU2365</t>
  </si>
  <si>
    <t>SKU2366</t>
  </si>
  <si>
    <t>SKU2367</t>
  </si>
  <si>
    <t>SKU2368</t>
  </si>
  <si>
    <t>SKU2369</t>
  </si>
  <si>
    <t>SKU2370</t>
  </si>
  <si>
    <t>SKU2371</t>
  </si>
  <si>
    <t>SKU2372</t>
  </si>
  <si>
    <t>SKU2373</t>
  </si>
  <si>
    <t>SKU2374</t>
  </si>
  <si>
    <t>SKU2375</t>
  </si>
  <si>
    <t>SKU2376</t>
  </si>
  <si>
    <t>SKU2377</t>
  </si>
  <si>
    <t>SKU2378</t>
  </si>
  <si>
    <t>SKU2379</t>
  </si>
  <si>
    <t>SKU2380</t>
  </si>
  <si>
    <t>SKU2381</t>
  </si>
  <si>
    <t>SKU2382</t>
  </si>
  <si>
    <t>SKU2383</t>
  </si>
  <si>
    <t>SKU2384</t>
  </si>
  <si>
    <t>SKU2385</t>
  </si>
  <si>
    <t>SKU2386</t>
  </si>
  <si>
    <t>SKU2387</t>
  </si>
  <si>
    <t>SKU2388</t>
  </si>
  <si>
    <t>SKU2389</t>
  </si>
  <si>
    <t>SKU2390</t>
  </si>
  <si>
    <t>SKU2391</t>
  </si>
  <si>
    <t>SKU2392</t>
  </si>
  <si>
    <t>SKU2393</t>
  </si>
  <si>
    <t>SKU2394</t>
  </si>
  <si>
    <t>SKU2395</t>
  </si>
  <si>
    <t>SKU2396</t>
  </si>
  <si>
    <t>SKU2397</t>
  </si>
  <si>
    <t>SKU2398</t>
  </si>
  <si>
    <t>SKU2399</t>
  </si>
  <si>
    <t>SKU2400</t>
  </si>
  <si>
    <t>SKU2401</t>
  </si>
  <si>
    <t>SKU2402</t>
  </si>
  <si>
    <t>SKU2403</t>
  </si>
  <si>
    <t>SKU2404</t>
  </si>
  <si>
    <t>SKU2405</t>
  </si>
  <si>
    <t>SKU2406</t>
  </si>
  <si>
    <t>SKU2407</t>
  </si>
  <si>
    <t>SKU2408</t>
  </si>
  <si>
    <t>SKU2409</t>
  </si>
  <si>
    <t>SKU2410</t>
  </si>
  <si>
    <t>SKU2411</t>
  </si>
  <si>
    <t>SKU2412</t>
  </si>
  <si>
    <t>SKU2413</t>
  </si>
  <si>
    <t>SKU2414</t>
  </si>
  <si>
    <t>SKU2415</t>
  </si>
  <si>
    <t>SKU2416</t>
  </si>
  <si>
    <t>SKU2417</t>
  </si>
  <si>
    <t>SKU2418</t>
  </si>
  <si>
    <t>SKU2419</t>
  </si>
  <si>
    <t>SKU2420</t>
  </si>
  <si>
    <t>SKU2421</t>
  </si>
  <si>
    <t>SKU2422</t>
  </si>
  <si>
    <t>SKU2423</t>
  </si>
  <si>
    <t>SKU2424</t>
  </si>
  <si>
    <t>SKU2425</t>
  </si>
  <si>
    <t>SKU2426</t>
  </si>
  <si>
    <t>SKU2427</t>
  </si>
  <si>
    <t>SKU2428</t>
  </si>
  <si>
    <t>SKU2429</t>
  </si>
  <si>
    <t>SKU2430</t>
  </si>
  <si>
    <t>SKU2431</t>
  </si>
  <si>
    <t>SKU2432</t>
  </si>
  <si>
    <t>SKU2433</t>
  </si>
  <si>
    <t>SKU2434</t>
  </si>
  <si>
    <t>SKU2435</t>
  </si>
  <si>
    <t>SKU2436</t>
  </si>
  <si>
    <t>SKU2437</t>
  </si>
  <si>
    <t>SKU2438</t>
  </si>
  <si>
    <t>SKU2439</t>
  </si>
  <si>
    <t>SKU2440</t>
  </si>
  <si>
    <t>SKU2441</t>
  </si>
  <si>
    <t>SKU2442</t>
  </si>
  <si>
    <t>SKU2443</t>
  </si>
  <si>
    <t>SKU2444</t>
  </si>
  <si>
    <t>SKU2445</t>
  </si>
  <si>
    <t>SKU2446</t>
  </si>
  <si>
    <t>SKU2447</t>
  </si>
  <si>
    <t>SKU2448</t>
  </si>
  <si>
    <t>SKU2449</t>
  </si>
  <si>
    <t>SKU2450</t>
  </si>
  <si>
    <t>SKU2451</t>
  </si>
  <si>
    <t>SKU2452</t>
  </si>
  <si>
    <t>SKU2453</t>
  </si>
  <si>
    <t>SKU2454</t>
  </si>
  <si>
    <t>SKU2455</t>
  </si>
  <si>
    <t>SKU2456</t>
  </si>
  <si>
    <t>SKU2457</t>
  </si>
  <si>
    <t>SKU2458</t>
  </si>
  <si>
    <t>SKU2459</t>
  </si>
  <si>
    <t>SKU2460</t>
  </si>
  <si>
    <t>SKU2461</t>
  </si>
  <si>
    <t>SKU2462</t>
  </si>
  <si>
    <t>SKU2463</t>
  </si>
  <si>
    <t>SKU2464</t>
  </si>
  <si>
    <t>SKU2465</t>
  </si>
  <si>
    <t>SKU2466</t>
  </si>
  <si>
    <t>SKU2467</t>
  </si>
  <si>
    <t>SKU2468</t>
  </si>
  <si>
    <t>SKU2469</t>
  </si>
  <si>
    <t>SKU2470</t>
  </si>
  <si>
    <t>SKU2471</t>
  </si>
  <si>
    <t>SKU2472</t>
  </si>
  <si>
    <t>SKU2473</t>
  </si>
  <si>
    <t>SKU2474</t>
  </si>
  <si>
    <t>SKU2475</t>
  </si>
  <si>
    <t>SKU2476</t>
  </si>
  <si>
    <t>SKU2477</t>
  </si>
  <si>
    <t>SKU2478</t>
  </si>
  <si>
    <t>SKU2479</t>
  </si>
  <si>
    <t>SKU2480</t>
  </si>
  <si>
    <t>SKU2481</t>
  </si>
  <si>
    <t>SKU2482</t>
  </si>
  <si>
    <t>SKU2483</t>
  </si>
  <si>
    <t>SKU2484</t>
  </si>
  <si>
    <t>SKU2485</t>
  </si>
  <si>
    <t>SKU2486</t>
  </si>
  <si>
    <t>SKU2487</t>
  </si>
  <si>
    <t>SKU2488</t>
  </si>
  <si>
    <t>SKU2489</t>
  </si>
  <si>
    <t>SKU2490</t>
  </si>
  <si>
    <t>SKU2491</t>
  </si>
  <si>
    <t>SKU2492</t>
  </si>
  <si>
    <t>SKU2493</t>
  </si>
  <si>
    <t>SKU2494</t>
  </si>
  <si>
    <t>SKU2495</t>
  </si>
  <si>
    <t>SKU2496</t>
  </si>
  <si>
    <t>SKU2497</t>
  </si>
  <si>
    <t>SKU2498</t>
  </si>
  <si>
    <t>SKU2499</t>
  </si>
  <si>
    <t>SKU2500</t>
  </si>
  <si>
    <t>SKU2501</t>
  </si>
  <si>
    <t>SKU2502</t>
  </si>
  <si>
    <t>SKU2503</t>
  </si>
  <si>
    <t>SKU2504</t>
  </si>
  <si>
    <t>SKU2505</t>
  </si>
  <si>
    <t>SKU2506</t>
  </si>
  <si>
    <t>SKU2507</t>
  </si>
  <si>
    <t>SKU2508</t>
  </si>
  <si>
    <t>SKU2509</t>
  </si>
  <si>
    <t>SKU2510</t>
  </si>
  <si>
    <t>SKU2511</t>
  </si>
  <si>
    <t>SKU2512</t>
  </si>
  <si>
    <t>SKU2513</t>
  </si>
  <si>
    <t>SKU2514</t>
  </si>
  <si>
    <t>SKU2515</t>
  </si>
  <si>
    <t>SKU2516</t>
  </si>
  <si>
    <t>SKU2517</t>
  </si>
  <si>
    <t>SKU2518</t>
  </si>
  <si>
    <t>SKU2519</t>
  </si>
  <si>
    <t>SKU2520</t>
  </si>
  <si>
    <t>SKU2521</t>
  </si>
  <si>
    <t>SKU2522</t>
  </si>
  <si>
    <t>SKU2523</t>
  </si>
  <si>
    <t>SKU2524</t>
  </si>
  <si>
    <t>SKU2525</t>
  </si>
  <si>
    <t>SKU2526</t>
  </si>
  <si>
    <t>SKU2527</t>
  </si>
  <si>
    <t>SKU2528</t>
  </si>
  <si>
    <t>SKU2529</t>
  </si>
  <si>
    <t>SKU2530</t>
  </si>
  <si>
    <t>SKU2531</t>
  </si>
  <si>
    <t>SKU2532</t>
  </si>
  <si>
    <t>SKU2533</t>
  </si>
  <si>
    <t>SKU2534</t>
  </si>
  <si>
    <t>SKU2535</t>
  </si>
  <si>
    <t>SKU2536</t>
  </si>
  <si>
    <t>SKU2537</t>
  </si>
  <si>
    <t>SKU2538</t>
  </si>
  <si>
    <t>SKU2539</t>
  </si>
  <si>
    <t>SKU2540</t>
  </si>
  <si>
    <t>SKU2541</t>
  </si>
  <si>
    <t>SKU2542</t>
  </si>
  <si>
    <t>SKU2543</t>
  </si>
  <si>
    <t>SKU2544</t>
  </si>
  <si>
    <t>SKU2545</t>
  </si>
  <si>
    <t>SKU2546</t>
  </si>
  <si>
    <t>SKU2547</t>
  </si>
  <si>
    <t>SKU2548</t>
  </si>
  <si>
    <t>SKU2549</t>
  </si>
  <si>
    <t>SKU2550</t>
  </si>
  <si>
    <t>SKU2551</t>
  </si>
  <si>
    <t>SKU2552</t>
  </si>
  <si>
    <t>SKU2553</t>
  </si>
  <si>
    <t>SKU2554</t>
  </si>
  <si>
    <t>SKU2555</t>
  </si>
  <si>
    <t>SKU2556</t>
  </si>
  <si>
    <t>SKU2557</t>
  </si>
  <si>
    <t>SKU2558</t>
  </si>
  <si>
    <t>SKU2559</t>
  </si>
  <si>
    <t>SKU2560</t>
  </si>
  <si>
    <t>SKU2561</t>
  </si>
  <si>
    <t>SKU2562</t>
  </si>
  <si>
    <t>SKU2563</t>
  </si>
  <si>
    <t>SKU2564</t>
  </si>
  <si>
    <t>SKU2565</t>
  </si>
  <si>
    <t>SKU2566</t>
  </si>
  <si>
    <t>SKU2567</t>
  </si>
  <si>
    <t>SKU2568</t>
  </si>
  <si>
    <t>SKU2569</t>
  </si>
  <si>
    <t>SKU2570</t>
  </si>
  <si>
    <t>SKU2571</t>
  </si>
  <si>
    <t>SKU2572</t>
  </si>
  <si>
    <t>SKU2573</t>
  </si>
  <si>
    <t>SKU2574</t>
  </si>
  <si>
    <t>SKU2575</t>
  </si>
  <si>
    <t>SKU2576</t>
  </si>
  <si>
    <t>SKU2577</t>
  </si>
  <si>
    <t>SKU2578</t>
  </si>
  <si>
    <t>SKU2579</t>
  </si>
  <si>
    <t>SKU2580</t>
  </si>
  <si>
    <t>SKU2581</t>
  </si>
  <si>
    <t>SKU2582</t>
  </si>
  <si>
    <t>SKU2583</t>
  </si>
  <si>
    <t>SKU2584</t>
  </si>
  <si>
    <t>SKU2585</t>
  </si>
  <si>
    <t>SKU2586</t>
  </si>
  <si>
    <t>SKU2587</t>
  </si>
  <si>
    <t>SKU2588</t>
  </si>
  <si>
    <t>SKU2589</t>
  </si>
  <si>
    <t>SKU2590</t>
  </si>
  <si>
    <t>SKU2591</t>
  </si>
  <si>
    <t>SKU2592</t>
  </si>
  <si>
    <t>SKU2593</t>
  </si>
  <si>
    <t>SKU2594</t>
  </si>
  <si>
    <t>SKU2595</t>
  </si>
  <si>
    <t>SKU2596</t>
  </si>
  <si>
    <t>SKU2597</t>
  </si>
  <si>
    <t>SKU2598</t>
  </si>
  <si>
    <t>SKU2599</t>
  </si>
  <si>
    <t>SKU2600</t>
  </si>
  <si>
    <t>SKU2601</t>
  </si>
  <si>
    <t>SKU2602</t>
  </si>
  <si>
    <t>SKU2603</t>
  </si>
  <si>
    <t>SKU2604</t>
  </si>
  <si>
    <t>SKU2605</t>
  </si>
  <si>
    <t>SKU2606</t>
  </si>
  <si>
    <t>SKU2607</t>
  </si>
  <si>
    <t>SKU2608</t>
  </si>
  <si>
    <t>SKU2609</t>
  </si>
  <si>
    <t>SKU2610</t>
  </si>
  <si>
    <t>SKU2611</t>
  </si>
  <si>
    <t>SKU2612</t>
  </si>
  <si>
    <t>SKU2613</t>
  </si>
  <si>
    <t>SKU2614</t>
  </si>
  <si>
    <t>SKU2615</t>
  </si>
  <si>
    <t>SKU2616</t>
  </si>
  <si>
    <t>SKU2617</t>
  </si>
  <si>
    <t>SKU2618</t>
  </si>
  <si>
    <t>SKU2619</t>
  </si>
  <si>
    <t>SKU2620</t>
  </si>
  <si>
    <t>SKU2621</t>
  </si>
  <si>
    <t>SKU2622</t>
  </si>
  <si>
    <t>SKU2623</t>
  </si>
  <si>
    <t>SKU2624</t>
  </si>
  <si>
    <t>SKU2625</t>
  </si>
  <si>
    <t>SKU2626</t>
  </si>
  <si>
    <t>SKU2627</t>
  </si>
  <si>
    <t>SKU2628</t>
  </si>
  <si>
    <t>SKU2629</t>
  </si>
  <si>
    <t>SKU2630</t>
  </si>
  <si>
    <t>SKU2631</t>
  </si>
  <si>
    <t>SKU2632</t>
  </si>
  <si>
    <t>SKU2633</t>
  </si>
  <si>
    <t>SKU2634</t>
  </si>
  <si>
    <t>SKU2635</t>
  </si>
  <si>
    <t>SKU2636</t>
  </si>
  <si>
    <t>SKU2637</t>
  </si>
  <si>
    <t>SKU2638</t>
  </si>
  <si>
    <t>SKU2639</t>
  </si>
  <si>
    <t>SKU2640</t>
  </si>
  <si>
    <t>SKU2641</t>
  </si>
  <si>
    <t>SKU2642</t>
  </si>
  <si>
    <t>SKU2643</t>
  </si>
  <si>
    <t>SKU2644</t>
  </si>
  <si>
    <t>SKU2645</t>
  </si>
  <si>
    <t>SKU2646</t>
  </si>
  <si>
    <t>SKU2647</t>
  </si>
  <si>
    <t>SKU2648</t>
  </si>
  <si>
    <t>SKU2649</t>
  </si>
  <si>
    <t>SKU2650</t>
  </si>
  <si>
    <t>SKU2651</t>
  </si>
  <si>
    <t>SKU2652</t>
  </si>
  <si>
    <t>SKU2653</t>
  </si>
  <si>
    <t>SKU2654</t>
  </si>
  <si>
    <t>SKU2655</t>
  </si>
  <si>
    <t>SKU2656</t>
  </si>
  <si>
    <t>SKU2657</t>
  </si>
  <si>
    <t>SKU2658</t>
  </si>
  <si>
    <t>SKU2659</t>
  </si>
  <si>
    <t>SKU2660</t>
  </si>
  <si>
    <t>SKU2661</t>
  </si>
  <si>
    <t>SKU2662</t>
  </si>
  <si>
    <t>SKU2663</t>
  </si>
  <si>
    <t>SKU2664</t>
  </si>
  <si>
    <t>SKU2665</t>
  </si>
  <si>
    <t>SKU2666</t>
  </si>
  <si>
    <t>SKU2667</t>
  </si>
  <si>
    <t>SKU2668</t>
  </si>
  <si>
    <t>SKU2669</t>
  </si>
  <si>
    <t>SKU2670</t>
  </si>
  <si>
    <t>SKU2671</t>
  </si>
  <si>
    <t>SKU2672</t>
  </si>
  <si>
    <t>SKU2673</t>
  </si>
  <si>
    <t>SKU2674</t>
  </si>
  <si>
    <t>SKU2675</t>
  </si>
  <si>
    <t>SKU2676</t>
  </si>
  <si>
    <t>SKU2677</t>
  </si>
  <si>
    <t>SKU2678</t>
  </si>
  <si>
    <t>SKU2679</t>
  </si>
  <si>
    <t>SKU2680</t>
  </si>
  <si>
    <t>SKU2681</t>
  </si>
  <si>
    <t>SKU2682</t>
  </si>
  <si>
    <t>SKU2683</t>
  </si>
  <si>
    <t>SKU2684</t>
  </si>
  <si>
    <t>SKU2685</t>
  </si>
  <si>
    <t>SKU2686</t>
  </si>
  <si>
    <t>SKU2687</t>
  </si>
  <si>
    <t>SKU2688</t>
  </si>
  <si>
    <t>SKU2689</t>
  </si>
  <si>
    <t>SKU2690</t>
  </si>
  <si>
    <t>SKU2691</t>
  </si>
  <si>
    <t>SKU2692</t>
  </si>
  <si>
    <t>SKU2693</t>
  </si>
  <si>
    <t>SKU2694</t>
  </si>
  <si>
    <t>SKU2695</t>
  </si>
  <si>
    <t>SKU2696</t>
  </si>
  <si>
    <t>SKU2697</t>
  </si>
  <si>
    <t>SKU2698</t>
  </si>
  <si>
    <t>SKU2699</t>
  </si>
  <si>
    <t>SKU2700</t>
  </si>
  <si>
    <t>SKU2701</t>
  </si>
  <si>
    <t>SKU2702</t>
  </si>
  <si>
    <t>SKU2703</t>
  </si>
  <si>
    <t>SKU2704</t>
  </si>
  <si>
    <t>SKU2705</t>
  </si>
  <si>
    <t>SKU2706</t>
  </si>
  <si>
    <t>SKU2707</t>
  </si>
  <si>
    <t>SKU2708</t>
  </si>
  <si>
    <t>SKU2709</t>
  </si>
  <si>
    <t>SKU2710</t>
  </si>
  <si>
    <t>SKU2711</t>
  </si>
  <si>
    <t>SKU2712</t>
  </si>
  <si>
    <t>SKU2713</t>
  </si>
  <si>
    <t>SKU2714</t>
  </si>
  <si>
    <t>SKU2715</t>
  </si>
  <si>
    <t>SKU2716</t>
  </si>
  <si>
    <t>SKU2717</t>
  </si>
  <si>
    <t>SKU2718</t>
  </si>
  <si>
    <t>SKU2719</t>
  </si>
  <si>
    <t>SKU2720</t>
  </si>
  <si>
    <t>SKU2721</t>
  </si>
  <si>
    <t>SKU2722</t>
  </si>
  <si>
    <t>SKU2723</t>
  </si>
  <si>
    <t>SKU2724</t>
  </si>
  <si>
    <t>SKU2725</t>
  </si>
  <si>
    <t>SKU2726</t>
  </si>
  <si>
    <t>SKU2727</t>
  </si>
  <si>
    <t>SKU2728</t>
  </si>
  <si>
    <t>SKU2729</t>
  </si>
  <si>
    <t>SKU2730</t>
  </si>
  <si>
    <t>SKU2731</t>
  </si>
  <si>
    <t>SKU2732</t>
  </si>
  <si>
    <t>SKU2733</t>
  </si>
  <si>
    <t>SKU2734</t>
  </si>
  <si>
    <t>SKU2735</t>
  </si>
  <si>
    <t>SKU2736</t>
  </si>
  <si>
    <t>SKU2737</t>
  </si>
  <si>
    <t>SKU2738</t>
  </si>
  <si>
    <t>SKU2739</t>
  </si>
  <si>
    <t>SKU2740</t>
  </si>
  <si>
    <t>SKU2741</t>
  </si>
  <si>
    <t>SKU2742</t>
  </si>
  <si>
    <t>SKU2743</t>
  </si>
  <si>
    <t>SKU2744</t>
  </si>
  <si>
    <t>SKU2745</t>
  </si>
  <si>
    <t>SKU2746</t>
  </si>
  <si>
    <t>SKU2747</t>
  </si>
  <si>
    <t>SKU2748</t>
  </si>
  <si>
    <t>SKU2749</t>
  </si>
  <si>
    <t>SKU2750</t>
  </si>
  <si>
    <t>SKU2751</t>
  </si>
  <si>
    <t>SKU2752</t>
  </si>
  <si>
    <t>SKU2753</t>
  </si>
  <si>
    <t>SKU2754</t>
  </si>
  <si>
    <t>SKU2755</t>
  </si>
  <si>
    <t>SKU2756</t>
  </si>
  <si>
    <t>SKU2757</t>
  </si>
  <si>
    <t>SKU2758</t>
  </si>
  <si>
    <t>SKU2759</t>
  </si>
  <si>
    <t>SKU2760</t>
  </si>
  <si>
    <t>SKU2761</t>
  </si>
  <si>
    <t>SKU2762</t>
  </si>
  <si>
    <t>SKU2763</t>
  </si>
  <si>
    <t>SKU2764</t>
  </si>
  <si>
    <t>SKU2765</t>
  </si>
  <si>
    <t>SKU2766</t>
  </si>
  <si>
    <t>SKU2767</t>
  </si>
  <si>
    <t>SKU2768</t>
  </si>
  <si>
    <t>SKU2769</t>
  </si>
  <si>
    <t>SKU2770</t>
  </si>
  <si>
    <t>SKU2771</t>
  </si>
  <si>
    <t>SKU2772</t>
  </si>
  <si>
    <t>SKU2773</t>
  </si>
  <si>
    <t>SKU2774</t>
  </si>
  <si>
    <t>SKU2775</t>
  </si>
  <si>
    <t>SKU2776</t>
  </si>
  <si>
    <t>SKU2777</t>
  </si>
  <si>
    <t>SKU2778</t>
  </si>
  <si>
    <t>SKU2779</t>
  </si>
  <si>
    <t>SKU2780</t>
  </si>
  <si>
    <t>SKU2781</t>
  </si>
  <si>
    <t>SKU2782</t>
  </si>
  <si>
    <t>SKU2783</t>
  </si>
  <si>
    <t>SKU2784</t>
  </si>
  <si>
    <t>SKU2785</t>
  </si>
  <si>
    <t>SKU2786</t>
  </si>
  <si>
    <t>SKU2787</t>
  </si>
  <si>
    <t>SKU2788</t>
  </si>
  <si>
    <t>SKU2789</t>
  </si>
  <si>
    <t>SKU2790</t>
  </si>
  <si>
    <t>SKU2791</t>
  </si>
  <si>
    <t>SKU2792</t>
  </si>
  <si>
    <t>SKU2793</t>
  </si>
  <si>
    <t>SKU2794</t>
  </si>
  <si>
    <t>SKU2795</t>
  </si>
  <si>
    <t>SKU2796</t>
  </si>
  <si>
    <t>SKU2797</t>
  </si>
  <si>
    <t>SKU2798</t>
  </si>
  <si>
    <t>SKU2799</t>
  </si>
  <si>
    <t>SKU2800</t>
  </si>
  <si>
    <t>SKU2801</t>
  </si>
  <si>
    <t>SKU2802</t>
  </si>
  <si>
    <t>SKU2803</t>
  </si>
  <si>
    <t>SKU2804</t>
  </si>
  <si>
    <t>SKU2805</t>
  </si>
  <si>
    <t>SKU2806</t>
  </si>
  <si>
    <t>SKU2807</t>
  </si>
  <si>
    <t>SKU2808</t>
  </si>
  <si>
    <t>SKU2809</t>
  </si>
  <si>
    <t>SKU2810</t>
  </si>
  <si>
    <t>SKU2811</t>
  </si>
  <si>
    <t>SKU2812</t>
  </si>
  <si>
    <t>SKU2813</t>
  </si>
  <si>
    <t>SKU2814</t>
  </si>
  <si>
    <t>SKU2815</t>
  </si>
  <si>
    <t>SKU2816</t>
  </si>
  <si>
    <t>SKU2817</t>
  </si>
  <si>
    <t>SKU2818</t>
  </si>
  <si>
    <t>SKU2819</t>
  </si>
  <si>
    <t>SKU2820</t>
  </si>
  <si>
    <t>SKU2821</t>
  </si>
  <si>
    <t>SKU2822</t>
  </si>
  <si>
    <t>SKU2823</t>
  </si>
  <si>
    <t>SKU2824</t>
  </si>
  <si>
    <t>SKU2825</t>
  </si>
  <si>
    <t>SKU2826</t>
  </si>
  <si>
    <t>SKU2827</t>
  </si>
  <si>
    <t>SKU2828</t>
  </si>
  <si>
    <t>SKU2829</t>
  </si>
  <si>
    <t>SKU2830</t>
  </si>
  <si>
    <t>SKU2831</t>
  </si>
  <si>
    <t>SKU2832</t>
  </si>
  <si>
    <t>SKU2833</t>
  </si>
  <si>
    <t>SKU2834</t>
  </si>
  <si>
    <t>SKU2835</t>
  </si>
  <si>
    <t>SKU2836</t>
  </si>
  <si>
    <t>SKU2837</t>
  </si>
  <si>
    <t>SKU2838</t>
  </si>
  <si>
    <t>SKU2839</t>
  </si>
  <si>
    <t>SKU2840</t>
  </si>
  <si>
    <t>SKU2841</t>
  </si>
  <si>
    <t>SKU2842</t>
  </si>
  <si>
    <t>SKU2843</t>
  </si>
  <si>
    <t>SKU2844</t>
  </si>
  <si>
    <t>SKU2845</t>
  </si>
  <si>
    <t>SKU2846</t>
  </si>
  <si>
    <t>SKU2847</t>
  </si>
  <si>
    <t>SKU2848</t>
  </si>
  <si>
    <t>SKU2849</t>
  </si>
  <si>
    <t>SKU2850</t>
  </si>
  <si>
    <t>SKU2851</t>
  </si>
  <si>
    <t>SKU2852</t>
  </si>
  <si>
    <t>SKU2853</t>
  </si>
  <si>
    <t>SKU2854</t>
  </si>
  <si>
    <t>SKU2855</t>
  </si>
  <si>
    <t>SKU2856</t>
  </si>
  <si>
    <t>SKU2857</t>
  </si>
  <si>
    <t>SKU2858</t>
  </si>
  <si>
    <t>SKU2859</t>
  </si>
  <si>
    <t>SKU2860</t>
  </si>
  <si>
    <t>SKU2861</t>
  </si>
  <si>
    <t>SKU2862</t>
  </si>
  <si>
    <t>SKU2863</t>
  </si>
  <si>
    <t>SKU2864</t>
  </si>
  <si>
    <t>SKU2865</t>
  </si>
  <si>
    <t>SKU2866</t>
  </si>
  <si>
    <t>SKU2867</t>
  </si>
  <si>
    <t>SKU2868</t>
  </si>
  <si>
    <t>SKU2869</t>
  </si>
  <si>
    <t>SKU2870</t>
  </si>
  <si>
    <t>SKU2871</t>
  </si>
  <si>
    <t>SKU2872</t>
  </si>
  <si>
    <t>SKU2873</t>
  </si>
  <si>
    <t>SKU2874</t>
  </si>
  <si>
    <t>SKU2875</t>
  </si>
  <si>
    <t>SKU2876</t>
  </si>
  <si>
    <t>SKU2877</t>
  </si>
  <si>
    <t>SKU2878</t>
  </si>
  <si>
    <t>SKU2879</t>
  </si>
  <si>
    <t>SKU2880</t>
  </si>
  <si>
    <t>SKU2881</t>
  </si>
  <si>
    <t>SKU2882</t>
  </si>
  <si>
    <t>SKU2883</t>
  </si>
  <si>
    <t>SKU2884</t>
  </si>
  <si>
    <t>SKU2885</t>
  </si>
  <si>
    <t>SKU2886</t>
  </si>
  <si>
    <t>SKU2887</t>
  </si>
  <si>
    <t>SKU2888</t>
  </si>
  <si>
    <t>SKU2889</t>
  </si>
  <si>
    <t>SKU2890</t>
  </si>
  <si>
    <t>SKU2891</t>
  </si>
  <si>
    <t>SKU2892</t>
  </si>
  <si>
    <t>SKU2893</t>
  </si>
  <si>
    <t>SKU2894</t>
  </si>
  <si>
    <t>SKU2895</t>
  </si>
  <si>
    <t>SKU2896</t>
  </si>
  <si>
    <t>SKU2897</t>
  </si>
  <si>
    <t>SKU2898</t>
  </si>
  <si>
    <t>SKU2899</t>
  </si>
  <si>
    <t>SKU2900</t>
  </si>
  <si>
    <t>SKU2901</t>
  </si>
  <si>
    <t>SKU2902</t>
  </si>
  <si>
    <t>SKU2903</t>
  </si>
  <si>
    <t>SKU2904</t>
  </si>
  <si>
    <t>SKU2905</t>
  </si>
  <si>
    <t>SKU2906</t>
  </si>
  <si>
    <t>SKU2907</t>
  </si>
  <si>
    <t>SKU2908</t>
  </si>
  <si>
    <t>SKU2909</t>
  </si>
  <si>
    <t>SKU2910</t>
  </si>
  <si>
    <t>SKU2911</t>
  </si>
  <si>
    <t>SKU2912</t>
  </si>
  <si>
    <t>SKU2913</t>
  </si>
  <si>
    <t>SKU2914</t>
  </si>
  <si>
    <t>SKU2915</t>
  </si>
  <si>
    <t>SKU2916</t>
  </si>
  <si>
    <t>SKU2917</t>
  </si>
  <si>
    <t>SKU2918</t>
  </si>
  <si>
    <t>SKU2919</t>
  </si>
  <si>
    <t>SKU2920</t>
  </si>
  <si>
    <t>SKU2921</t>
  </si>
  <si>
    <t>SKU2922</t>
  </si>
  <si>
    <t>SKU2923</t>
  </si>
  <si>
    <t>SKU2924</t>
  </si>
  <si>
    <t>SKU2925</t>
  </si>
  <si>
    <t>SKU2926</t>
  </si>
  <si>
    <t>SKU2927</t>
  </si>
  <si>
    <t>SKU2928</t>
  </si>
  <si>
    <t>SKU2929</t>
  </si>
  <si>
    <t>SKU2930</t>
  </si>
  <si>
    <t>SKU2931</t>
  </si>
  <si>
    <t>SKU2932</t>
  </si>
  <si>
    <t>SKU2933</t>
  </si>
  <si>
    <t>SKU2934</t>
  </si>
  <si>
    <t>SKU2935</t>
  </si>
  <si>
    <t>SKU2936</t>
  </si>
  <si>
    <t>SKU2937</t>
  </si>
  <si>
    <t>SKU2938</t>
  </si>
  <si>
    <t>SKU2939</t>
  </si>
  <si>
    <t>SKU2940</t>
  </si>
  <si>
    <t>SKU2941</t>
  </si>
  <si>
    <t>SKU2942</t>
  </si>
  <si>
    <t>SKU2943</t>
  </si>
  <si>
    <t>SKU2944</t>
  </si>
  <si>
    <t>SKU2945</t>
  </si>
  <si>
    <t>SKU2946</t>
  </si>
  <si>
    <t>SKU2947</t>
  </si>
  <si>
    <t>SKU2948</t>
  </si>
  <si>
    <t>SKU2949</t>
  </si>
  <si>
    <t>SKU2950</t>
  </si>
  <si>
    <t>SKU2951</t>
  </si>
  <si>
    <t>SKU2952</t>
  </si>
  <si>
    <t>SKU2953</t>
  </si>
  <si>
    <t>SKU2954</t>
  </si>
  <si>
    <t>SKU2955</t>
  </si>
  <si>
    <t>SKU2956</t>
  </si>
  <si>
    <t>SKU2957</t>
  </si>
  <si>
    <t>SKU2958</t>
  </si>
  <si>
    <t>SKU2959</t>
  </si>
  <si>
    <t>SKU2960</t>
  </si>
  <si>
    <t>SKU2961</t>
  </si>
  <si>
    <t>SKU2962</t>
  </si>
  <si>
    <t>SKU2963</t>
  </si>
  <si>
    <t>SKU2964</t>
  </si>
  <si>
    <t>SKU2965</t>
  </si>
  <si>
    <t>SKU2966</t>
  </si>
  <si>
    <t>SKU2967</t>
  </si>
  <si>
    <t>SKU2968</t>
  </si>
  <si>
    <t>SKU2969</t>
  </si>
  <si>
    <t>SKU2970</t>
  </si>
  <si>
    <t>SKU2971</t>
  </si>
  <si>
    <t>SKU2972</t>
  </si>
  <si>
    <t>SKU2973</t>
  </si>
  <si>
    <t>SKU2974</t>
  </si>
  <si>
    <t>SKU2975</t>
  </si>
  <si>
    <t>SKU2976</t>
  </si>
  <si>
    <t>SKU2977</t>
  </si>
  <si>
    <t>SKU2978</t>
  </si>
  <si>
    <t>SKU2979</t>
  </si>
  <si>
    <t>SKU2980</t>
  </si>
  <si>
    <t>SKU2981</t>
  </si>
  <si>
    <t>SKU2982</t>
  </si>
  <si>
    <t>SKU2983</t>
  </si>
  <si>
    <t>SKU2984</t>
  </si>
  <si>
    <t>SKU2985</t>
  </si>
  <si>
    <t>SKU2986</t>
  </si>
  <si>
    <t>SKU2987</t>
  </si>
  <si>
    <t>SKU2988</t>
  </si>
  <si>
    <t>SKU2989</t>
  </si>
  <si>
    <t>SKU2990</t>
  </si>
  <si>
    <t>SKU2991</t>
  </si>
  <si>
    <t>SKU2992</t>
  </si>
  <si>
    <t>SKU2993</t>
  </si>
  <si>
    <t>SKU2994</t>
  </si>
  <si>
    <t>SKU2995</t>
  </si>
  <si>
    <t>SKU2996</t>
  </si>
  <si>
    <t>SKU2997</t>
  </si>
  <si>
    <t>SKU2998</t>
  </si>
  <si>
    <t>SKU2999</t>
  </si>
  <si>
    <t>Latitude</t>
  </si>
  <si>
    <t>Longitude</t>
  </si>
  <si>
    <t>Location (Hub)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</si>
</sst>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0" borderId="10" xfId="0" applyBorder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AD94E-92EF-4217-ACE5-E7ACA6EBB7E0}">
  <dimension ref="A1:Z3061"/>
  <sheetViews>
    <sheetView tabSelected="1" topLeftCell="D1" workbookViewId="0">
      <selection activeCell="Q2" sqref="Q2:Q3061"/>
    </sheetView>
  </sheetViews>
  <sheetFormatPr defaultRowHeight="14.4" x14ac:dyDescent="0.3"/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3058</v>
      </c>
      <c r="Q1" t="s">
        <v>3059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</row>
    <row r="2" spans="1:26" x14ac:dyDescent="0.3">
      <c r="A2" t="s">
        <v>24</v>
      </c>
      <c r="B2" t="s">
        <v>25</v>
      </c>
      <c r="C2">
        <v>27.2637290137198</v>
      </c>
      <c r="D2">
        <v>89</v>
      </c>
      <c r="E2">
        <v>732</v>
      </c>
      <c r="F2">
        <v>17961.3446742386</v>
      </c>
      <c r="G2" t="s">
        <v>26</v>
      </c>
      <c r="H2">
        <v>51</v>
      </c>
      <c r="I2">
        <v>1</v>
      </c>
      <c r="J2">
        <v>67</v>
      </c>
      <c r="K2">
        <v>6</v>
      </c>
      <c r="L2" t="s">
        <v>27</v>
      </c>
      <c r="M2">
        <v>3.1846803682451799</v>
      </c>
      <c r="N2" t="s">
        <v>28</v>
      </c>
      <c r="O2" t="s">
        <v>29</v>
      </c>
      <c r="P2">
        <f>VLOOKUP(O2, Coordinates!$A$2:$C$6, 2, FALSE)</f>
        <v>29.760400000000001</v>
      </c>
      <c r="Q2">
        <f>VLOOKUP(O2, Coordinates!$A$2:$C$6, 3, FALSE)</f>
        <v>-95.369799999999998</v>
      </c>
      <c r="R2">
        <v>17</v>
      </c>
      <c r="S2">
        <v>219</v>
      </c>
      <c r="T2">
        <v>19</v>
      </c>
      <c r="U2">
        <v>88.894451038764203</v>
      </c>
      <c r="V2" t="s">
        <v>30</v>
      </c>
      <c r="W2">
        <v>4.2303384393772197</v>
      </c>
      <c r="X2" t="s">
        <v>31</v>
      </c>
      <c r="Y2" t="s">
        <v>32</v>
      </c>
      <c r="Z2">
        <v>447.33291960601798</v>
      </c>
    </row>
    <row r="3" spans="1:26" x14ac:dyDescent="0.3">
      <c r="A3" t="s">
        <v>33</v>
      </c>
      <c r="B3" t="s">
        <v>34</v>
      </c>
      <c r="C3">
        <v>88.229993296814001</v>
      </c>
      <c r="D3">
        <v>56</v>
      </c>
      <c r="E3">
        <v>180</v>
      </c>
      <c r="F3">
        <v>9665.0632719999994</v>
      </c>
      <c r="G3" t="s">
        <v>35</v>
      </c>
      <c r="H3">
        <v>33</v>
      </c>
      <c r="I3">
        <v>13</v>
      </c>
      <c r="J3">
        <v>22</v>
      </c>
      <c r="K3">
        <v>4</v>
      </c>
      <c r="L3" t="s">
        <v>36</v>
      </c>
      <c r="M3">
        <v>4.5606859890843898</v>
      </c>
      <c r="N3" t="s">
        <v>37</v>
      </c>
      <c r="O3" t="s">
        <v>38</v>
      </c>
      <c r="P3">
        <f>VLOOKUP(O3, Coordinates!$A$2:$C$6, 2, FALSE)</f>
        <v>25.761700000000001</v>
      </c>
      <c r="Q3">
        <f>VLOOKUP(O3, Coordinates!$A$2:$C$6, 3, FALSE)</f>
        <v>-80.191800000000001</v>
      </c>
      <c r="R3">
        <v>9</v>
      </c>
      <c r="S3">
        <v>641</v>
      </c>
      <c r="T3">
        <v>7</v>
      </c>
      <c r="U3">
        <v>77.537855387534805</v>
      </c>
      <c r="V3" t="s">
        <v>39</v>
      </c>
      <c r="W3">
        <v>0.87655007361978599</v>
      </c>
      <c r="X3" t="s">
        <v>40</v>
      </c>
      <c r="Y3" t="s">
        <v>41</v>
      </c>
      <c r="Z3">
        <v>575.385460775046</v>
      </c>
    </row>
    <row r="4" spans="1:26" x14ac:dyDescent="0.3">
      <c r="A4" t="s">
        <v>42</v>
      </c>
      <c r="B4" t="s">
        <v>43</v>
      </c>
      <c r="C4">
        <v>31.3864992561798</v>
      </c>
      <c r="D4">
        <v>94</v>
      </c>
      <c r="E4">
        <v>874</v>
      </c>
      <c r="F4">
        <v>2139.9028556247399</v>
      </c>
      <c r="G4" t="s">
        <v>35</v>
      </c>
      <c r="H4">
        <v>66</v>
      </c>
      <c r="I4">
        <v>27</v>
      </c>
      <c r="J4">
        <v>82</v>
      </c>
      <c r="K4">
        <v>8</v>
      </c>
      <c r="L4" t="s">
        <v>44</v>
      </c>
      <c r="M4">
        <v>13.4864148244829</v>
      </c>
      <c r="N4" t="s">
        <v>45</v>
      </c>
      <c r="O4" t="s">
        <v>38</v>
      </c>
      <c r="P4">
        <f>VLOOKUP(O4, Coordinates!$A$2:$C$6, 2, FALSE)</f>
        <v>25.761700000000001</v>
      </c>
      <c r="Q4">
        <f>VLOOKUP(O4, Coordinates!$A$2:$C$6, 3, FALSE)</f>
        <v>-80.191800000000001</v>
      </c>
      <c r="R4">
        <v>28</v>
      </c>
      <c r="S4">
        <v>659</v>
      </c>
      <c r="T4">
        <v>26</v>
      </c>
      <c r="U4">
        <v>63.234417445297701</v>
      </c>
      <c r="V4" t="s">
        <v>39</v>
      </c>
      <c r="W4">
        <v>3.7227450852489699</v>
      </c>
      <c r="X4" t="s">
        <v>46</v>
      </c>
      <c r="Y4" t="s">
        <v>41</v>
      </c>
      <c r="Z4">
        <v>884.80038757010595</v>
      </c>
    </row>
    <row r="5" spans="1:26" x14ac:dyDescent="0.3">
      <c r="A5" t="s">
        <v>24</v>
      </c>
      <c r="B5" t="s">
        <v>47</v>
      </c>
      <c r="C5">
        <v>24.5328259626788</v>
      </c>
      <c r="D5">
        <v>93</v>
      </c>
      <c r="E5">
        <v>257</v>
      </c>
      <c r="F5">
        <v>5674.44264516761</v>
      </c>
      <c r="G5" t="s">
        <v>48</v>
      </c>
      <c r="H5">
        <v>38</v>
      </c>
      <c r="I5">
        <v>18</v>
      </c>
      <c r="J5">
        <v>15</v>
      </c>
      <c r="K5">
        <v>5</v>
      </c>
      <c r="L5" t="s">
        <v>27</v>
      </c>
      <c r="M5">
        <v>14.559358841157</v>
      </c>
      <c r="N5" t="s">
        <v>45</v>
      </c>
      <c r="O5" t="s">
        <v>38</v>
      </c>
      <c r="P5">
        <f>VLOOKUP(O5, Coordinates!$A$2:$C$6, 2, FALSE)</f>
        <v>25.761700000000001</v>
      </c>
      <c r="Q5">
        <f>VLOOKUP(O5, Coordinates!$A$2:$C$6, 3, FALSE)</f>
        <v>-80.191800000000001</v>
      </c>
      <c r="R5">
        <v>29</v>
      </c>
      <c r="S5">
        <v>278</v>
      </c>
      <c r="T5">
        <v>14</v>
      </c>
      <c r="U5">
        <v>86.900332987002798</v>
      </c>
      <c r="V5" t="s">
        <v>39</v>
      </c>
      <c r="W5">
        <v>3.75817349534708</v>
      </c>
      <c r="X5" t="s">
        <v>46</v>
      </c>
      <c r="Y5" t="s">
        <v>32</v>
      </c>
      <c r="Z5">
        <v>806.85592568442905</v>
      </c>
    </row>
    <row r="6" spans="1:26" x14ac:dyDescent="0.3">
      <c r="A6" t="s">
        <v>49</v>
      </c>
      <c r="B6" t="s">
        <v>50</v>
      </c>
      <c r="C6">
        <v>5.0315880814464897</v>
      </c>
      <c r="D6">
        <v>84</v>
      </c>
      <c r="E6">
        <v>970</v>
      </c>
      <c r="F6">
        <v>5328.4744727587304</v>
      </c>
      <c r="G6" t="s">
        <v>48</v>
      </c>
      <c r="H6">
        <v>7</v>
      </c>
      <c r="I6">
        <v>18</v>
      </c>
      <c r="J6">
        <v>96</v>
      </c>
      <c r="K6">
        <v>5</v>
      </c>
      <c r="L6" t="s">
        <v>36</v>
      </c>
      <c r="M6">
        <v>14.279826006520601</v>
      </c>
      <c r="N6" t="s">
        <v>51</v>
      </c>
      <c r="O6" t="s">
        <v>29</v>
      </c>
      <c r="P6">
        <f>VLOOKUP(O6, Coordinates!$A$2:$C$6, 2, FALSE)</f>
        <v>29.760400000000001</v>
      </c>
      <c r="Q6">
        <f>VLOOKUP(O6, Coordinates!$A$2:$C$6, 3, FALSE)</f>
        <v>-95.369799999999998</v>
      </c>
      <c r="R6">
        <v>9</v>
      </c>
      <c r="S6">
        <v>193</v>
      </c>
      <c r="T6">
        <v>21</v>
      </c>
      <c r="U6">
        <v>33.47041995</v>
      </c>
      <c r="V6" t="s">
        <v>30</v>
      </c>
      <c r="W6">
        <v>3.6129091541824199</v>
      </c>
      <c r="X6" t="s">
        <v>52</v>
      </c>
      <c r="Y6" t="s">
        <v>32</v>
      </c>
      <c r="Z6">
        <v>994.77192679408404</v>
      </c>
    </row>
    <row r="7" spans="1:26" x14ac:dyDescent="0.3">
      <c r="A7" t="s">
        <v>42</v>
      </c>
      <c r="B7" t="s">
        <v>53</v>
      </c>
      <c r="C7">
        <v>6.6803419132594302</v>
      </c>
      <c r="D7">
        <v>85</v>
      </c>
      <c r="E7">
        <v>250</v>
      </c>
      <c r="F7">
        <v>4386.8063525949701</v>
      </c>
      <c r="G7" t="s">
        <v>54</v>
      </c>
      <c r="H7">
        <v>95</v>
      </c>
      <c r="I7">
        <v>13</v>
      </c>
      <c r="J7">
        <v>67</v>
      </c>
      <c r="K7">
        <v>9</v>
      </c>
      <c r="L7" t="s">
        <v>44</v>
      </c>
      <c r="M7">
        <v>3.7069796018074701</v>
      </c>
      <c r="N7" t="s">
        <v>45</v>
      </c>
      <c r="O7" t="s">
        <v>38</v>
      </c>
      <c r="P7">
        <f>VLOOKUP(O7, Coordinates!$A$2:$C$6, 2, FALSE)</f>
        <v>25.761700000000001</v>
      </c>
      <c r="Q7">
        <f>VLOOKUP(O7, Coordinates!$A$2:$C$6, 3, FALSE)</f>
        <v>-80.191800000000001</v>
      </c>
      <c r="R7">
        <v>27</v>
      </c>
      <c r="S7">
        <v>666</v>
      </c>
      <c r="T7">
        <v>14</v>
      </c>
      <c r="U7">
        <v>91.848361179999998</v>
      </c>
      <c r="V7" t="s">
        <v>55</v>
      </c>
      <c r="W7">
        <v>4.0351144956453204</v>
      </c>
      <c r="X7" t="s">
        <v>46</v>
      </c>
      <c r="Y7" t="s">
        <v>32</v>
      </c>
      <c r="Z7">
        <v>762.11738131063305</v>
      </c>
    </row>
    <row r="8" spans="1:26" x14ac:dyDescent="0.3">
      <c r="A8" t="s">
        <v>42</v>
      </c>
      <c r="B8" t="s">
        <v>56</v>
      </c>
      <c r="C8">
        <v>62.242550565072101</v>
      </c>
      <c r="D8">
        <v>61</v>
      </c>
      <c r="E8">
        <v>743</v>
      </c>
      <c r="F8">
        <v>4268.7021134460201</v>
      </c>
      <c r="G8" t="s">
        <v>35</v>
      </c>
      <c r="H8">
        <v>28</v>
      </c>
      <c r="I8">
        <v>22</v>
      </c>
      <c r="J8">
        <v>26</v>
      </c>
      <c r="K8">
        <v>8</v>
      </c>
      <c r="L8" t="s">
        <v>27</v>
      </c>
      <c r="M8">
        <v>13.612518915294499</v>
      </c>
      <c r="N8" t="s">
        <v>57</v>
      </c>
      <c r="O8" t="s">
        <v>58</v>
      </c>
      <c r="P8">
        <f>VLOOKUP(O8, Coordinates!$A$2:$C$6, 2, FALSE)</f>
        <v>34.052199999999999</v>
      </c>
      <c r="Q8">
        <f>VLOOKUP(O8, Coordinates!$A$2:$C$6, 3, FALSE)</f>
        <v>-118.2437</v>
      </c>
      <c r="R8">
        <v>28</v>
      </c>
      <c r="S8">
        <v>847</v>
      </c>
      <c r="T8">
        <v>18</v>
      </c>
      <c r="U8">
        <v>43.280915276919202</v>
      </c>
      <c r="V8" t="s">
        <v>30</v>
      </c>
      <c r="W8">
        <v>3.34105929778727</v>
      </c>
      <c r="X8" t="s">
        <v>52</v>
      </c>
      <c r="Y8" t="s">
        <v>32</v>
      </c>
      <c r="Z8">
        <v>293.07720598526902</v>
      </c>
    </row>
    <row r="9" spans="1:26" x14ac:dyDescent="0.3">
      <c r="A9" t="s">
        <v>24</v>
      </c>
      <c r="B9" t="s">
        <v>59</v>
      </c>
      <c r="C9">
        <v>20.637155234167999</v>
      </c>
      <c r="D9">
        <v>22</v>
      </c>
      <c r="E9">
        <v>110</v>
      </c>
      <c r="F9">
        <v>2043.0783681826299</v>
      </c>
      <c r="G9" t="s">
        <v>48</v>
      </c>
      <c r="H9">
        <v>21</v>
      </c>
      <c r="I9">
        <v>30</v>
      </c>
      <c r="J9">
        <v>82</v>
      </c>
      <c r="K9">
        <v>8</v>
      </c>
      <c r="L9" t="s">
        <v>27</v>
      </c>
      <c r="M9">
        <v>2.9810742126037102</v>
      </c>
      <c r="N9" t="s">
        <v>57</v>
      </c>
      <c r="O9" t="s">
        <v>58</v>
      </c>
      <c r="P9">
        <f>VLOOKUP(O9, Coordinates!$A$2:$C$6, 2, FALSE)</f>
        <v>34.052199999999999</v>
      </c>
      <c r="Q9">
        <f>VLOOKUP(O9, Coordinates!$A$2:$C$6, 3, FALSE)</f>
        <v>-118.2437</v>
      </c>
      <c r="R9">
        <v>11</v>
      </c>
      <c r="S9">
        <v>401</v>
      </c>
      <c r="T9">
        <v>10</v>
      </c>
      <c r="U9">
        <v>85.280682504519206</v>
      </c>
      <c r="V9" t="s">
        <v>30</v>
      </c>
      <c r="W9">
        <v>1.3946187234846401</v>
      </c>
      <c r="X9" t="s">
        <v>40</v>
      </c>
      <c r="Y9" t="s">
        <v>60</v>
      </c>
      <c r="Z9">
        <v>726.47213649578396</v>
      </c>
    </row>
    <row r="10" spans="1:26" x14ac:dyDescent="0.3">
      <c r="A10" t="s">
        <v>61</v>
      </c>
      <c r="B10" t="s">
        <v>62</v>
      </c>
      <c r="C10">
        <v>41.713779910118902</v>
      </c>
      <c r="D10">
        <v>35</v>
      </c>
      <c r="E10">
        <v>197</v>
      </c>
      <c r="F10">
        <v>7169.8475850000004</v>
      </c>
      <c r="G10" t="s">
        <v>35</v>
      </c>
      <c r="H10">
        <v>83</v>
      </c>
      <c r="I10">
        <v>14</v>
      </c>
      <c r="J10">
        <v>21</v>
      </c>
      <c r="K10">
        <v>5</v>
      </c>
      <c r="L10" t="s">
        <v>27</v>
      </c>
      <c r="M10">
        <v>8.1072429102660895</v>
      </c>
      <c r="N10" t="s">
        <v>57</v>
      </c>
      <c r="O10" t="s">
        <v>38</v>
      </c>
      <c r="P10">
        <f>VLOOKUP(O10, Coordinates!$A$2:$C$6, 2, FALSE)</f>
        <v>25.761700000000001</v>
      </c>
      <c r="Q10">
        <f>VLOOKUP(O10, Coordinates!$A$2:$C$6, 3, FALSE)</f>
        <v>-80.191800000000001</v>
      </c>
      <c r="R10">
        <v>17</v>
      </c>
      <c r="S10">
        <v>898</v>
      </c>
      <c r="T10">
        <v>3</v>
      </c>
      <c r="U10">
        <v>12.8499051666372</v>
      </c>
      <c r="V10" t="s">
        <v>30</v>
      </c>
      <c r="W10">
        <v>1.30308513984402</v>
      </c>
      <c r="X10" t="s">
        <v>31</v>
      </c>
      <c r="Y10" t="s">
        <v>60</v>
      </c>
      <c r="Z10">
        <v>654.18759498864199</v>
      </c>
    </row>
    <row r="11" spans="1:26" x14ac:dyDescent="0.3">
      <c r="A11" t="s">
        <v>49</v>
      </c>
      <c r="B11" t="s">
        <v>63</v>
      </c>
      <c r="C11">
        <v>58.621903614493803</v>
      </c>
      <c r="D11">
        <v>16</v>
      </c>
      <c r="E11">
        <v>320</v>
      </c>
      <c r="F11">
        <v>4925.9297540804</v>
      </c>
      <c r="G11" t="s">
        <v>54</v>
      </c>
      <c r="H11">
        <v>69</v>
      </c>
      <c r="I11">
        <v>11</v>
      </c>
      <c r="J11">
        <v>95</v>
      </c>
      <c r="K11">
        <v>8</v>
      </c>
      <c r="L11" t="s">
        <v>27</v>
      </c>
      <c r="M11">
        <v>10.011287141701199</v>
      </c>
      <c r="N11" t="s">
        <v>37</v>
      </c>
      <c r="O11" t="s">
        <v>38</v>
      </c>
      <c r="P11">
        <f>VLOOKUP(O11, Coordinates!$A$2:$C$6, 2, FALSE)</f>
        <v>25.761700000000001</v>
      </c>
      <c r="Q11">
        <f>VLOOKUP(O11, Coordinates!$A$2:$C$6, 3, FALSE)</f>
        <v>-80.191800000000001</v>
      </c>
      <c r="R11">
        <v>14</v>
      </c>
      <c r="S11">
        <v>517</v>
      </c>
      <c r="T11">
        <v>6</v>
      </c>
      <c r="U11">
        <v>30.895229321794801</v>
      </c>
      <c r="V11" t="s">
        <v>55</v>
      </c>
      <c r="W11">
        <v>1.62258967045171</v>
      </c>
      <c r="X11" t="s">
        <v>31</v>
      </c>
      <c r="Y11" t="s">
        <v>32</v>
      </c>
      <c r="Z11">
        <v>289.10789713400499</v>
      </c>
    </row>
    <row r="12" spans="1:26" x14ac:dyDescent="0.3">
      <c r="A12" t="s">
        <v>24</v>
      </c>
      <c r="B12" t="s">
        <v>64</v>
      </c>
      <c r="C12">
        <v>26.518744251661602</v>
      </c>
      <c r="D12">
        <v>50</v>
      </c>
      <c r="E12">
        <v>306</v>
      </c>
      <c r="F12">
        <v>7303.2621669076098</v>
      </c>
      <c r="G12" t="s">
        <v>35</v>
      </c>
      <c r="H12">
        <v>60</v>
      </c>
      <c r="I12">
        <v>7</v>
      </c>
      <c r="J12">
        <v>61</v>
      </c>
      <c r="K12">
        <v>10</v>
      </c>
      <c r="L12" t="s">
        <v>36</v>
      </c>
      <c r="M12">
        <v>7.4745362234058597</v>
      </c>
      <c r="N12" t="s">
        <v>57</v>
      </c>
      <c r="O12" t="s">
        <v>65</v>
      </c>
      <c r="P12">
        <f>VLOOKUP(O12, Coordinates!$A$2:$C$6, 2, FALSE)</f>
        <v>41.878100000000003</v>
      </c>
      <c r="Q12">
        <f>VLOOKUP(O12, Coordinates!$A$2:$C$6, 3, FALSE)</f>
        <v>-87.629800000000003</v>
      </c>
      <c r="R12">
        <v>18</v>
      </c>
      <c r="S12">
        <v>959</v>
      </c>
      <c r="T12">
        <v>29</v>
      </c>
      <c r="U12">
        <v>83.564232390666504</v>
      </c>
      <c r="V12" t="s">
        <v>55</v>
      </c>
      <c r="W12">
        <v>2.6019818325842698</v>
      </c>
      <c r="X12" t="s">
        <v>40</v>
      </c>
      <c r="Y12" t="s">
        <v>41</v>
      </c>
      <c r="Z12">
        <v>316.86565152025599</v>
      </c>
    </row>
    <row r="13" spans="1:26" x14ac:dyDescent="0.3">
      <c r="A13" t="s">
        <v>49</v>
      </c>
      <c r="B13" t="s">
        <v>66</v>
      </c>
      <c r="C13">
        <v>25.116758313220402</v>
      </c>
      <c r="D13">
        <v>43</v>
      </c>
      <c r="E13">
        <v>552</v>
      </c>
      <c r="F13">
        <v>8344.3015207186108</v>
      </c>
      <c r="G13" t="s">
        <v>54</v>
      </c>
      <c r="H13">
        <v>42</v>
      </c>
      <c r="I13">
        <v>18</v>
      </c>
      <c r="J13">
        <v>85</v>
      </c>
      <c r="K13">
        <v>7</v>
      </c>
      <c r="L13" t="s">
        <v>27</v>
      </c>
      <c r="M13">
        <v>14.3257240958353</v>
      </c>
      <c r="N13" t="s">
        <v>57</v>
      </c>
      <c r="O13" t="s">
        <v>67</v>
      </c>
      <c r="P13">
        <f>VLOOKUP(O13, Coordinates!$A$2:$C$6, 2, FALSE)</f>
        <v>40.712800000000001</v>
      </c>
      <c r="Q13">
        <f>VLOOKUP(O13, Coordinates!$A$2:$C$6, 3, FALSE)</f>
        <v>-74.006</v>
      </c>
      <c r="R13">
        <v>18</v>
      </c>
      <c r="S13">
        <v>685</v>
      </c>
      <c r="T13">
        <v>22</v>
      </c>
      <c r="U13">
        <v>70.441665697918296</v>
      </c>
      <c r="V13" t="s">
        <v>30</v>
      </c>
      <c r="W13">
        <v>4.0222696166431096</v>
      </c>
      <c r="X13" t="s">
        <v>52</v>
      </c>
      <c r="Y13" t="s">
        <v>60</v>
      </c>
      <c r="Z13">
        <v>687.50812801826305</v>
      </c>
    </row>
    <row r="14" spans="1:26" x14ac:dyDescent="0.3">
      <c r="A14" t="s">
        <v>49</v>
      </c>
      <c r="B14" t="s">
        <v>68</v>
      </c>
      <c r="C14">
        <v>51.037150766792102</v>
      </c>
      <c r="D14">
        <v>17</v>
      </c>
      <c r="E14">
        <v>958</v>
      </c>
      <c r="F14">
        <v>8223.0467333646502</v>
      </c>
      <c r="G14" t="s">
        <v>54</v>
      </c>
      <c r="H14">
        <v>48</v>
      </c>
      <c r="I14">
        <v>21</v>
      </c>
      <c r="J14">
        <v>79</v>
      </c>
      <c r="K14">
        <v>1</v>
      </c>
      <c r="L14" t="s">
        <v>27</v>
      </c>
      <c r="M14">
        <v>5.6649781232824701</v>
      </c>
      <c r="N14" t="s">
        <v>28</v>
      </c>
      <c r="O14" t="s">
        <v>58</v>
      </c>
      <c r="P14">
        <f>VLOOKUP(O14, Coordinates!$A$2:$C$6, 2, FALSE)</f>
        <v>34.052199999999999</v>
      </c>
      <c r="Q14">
        <f>VLOOKUP(O14, Coordinates!$A$2:$C$6, 3, FALSE)</f>
        <v>-118.2437</v>
      </c>
      <c r="R14">
        <v>12</v>
      </c>
      <c r="S14">
        <v>551</v>
      </c>
      <c r="T14">
        <v>23</v>
      </c>
      <c r="U14">
        <v>38.739772644570102</v>
      </c>
      <c r="V14" t="s">
        <v>39</v>
      </c>
      <c r="W14">
        <v>2.4932187544481299</v>
      </c>
      <c r="X14" t="s">
        <v>52</v>
      </c>
      <c r="Y14" t="s">
        <v>32</v>
      </c>
      <c r="Z14">
        <v>827.03679451477899</v>
      </c>
    </row>
    <row r="15" spans="1:26" x14ac:dyDescent="0.3">
      <c r="A15" t="s">
        <v>42</v>
      </c>
      <c r="B15" t="s">
        <v>69</v>
      </c>
      <c r="C15">
        <v>76.654086710000001</v>
      </c>
      <c r="D15">
        <v>80</v>
      </c>
      <c r="E15">
        <v>720</v>
      </c>
      <c r="F15">
        <v>5377.5246528000398</v>
      </c>
      <c r="H15">
        <v>28</v>
      </c>
      <c r="I15">
        <v>22</v>
      </c>
      <c r="J15">
        <v>82</v>
      </c>
      <c r="K15">
        <v>7</v>
      </c>
      <c r="L15" t="s">
        <v>27</v>
      </c>
      <c r="M15">
        <v>8.3832872829999996</v>
      </c>
      <c r="N15" t="s">
        <v>37</v>
      </c>
      <c r="O15" t="s">
        <v>29</v>
      </c>
      <c r="P15">
        <f>VLOOKUP(O15, Coordinates!$A$2:$C$6, 2, FALSE)</f>
        <v>29.760400000000001</v>
      </c>
      <c r="Q15">
        <f>VLOOKUP(O15, Coordinates!$A$2:$C$6, 3, FALSE)</f>
        <v>-95.369799999999998</v>
      </c>
      <c r="R15">
        <v>18</v>
      </c>
      <c r="S15">
        <v>516</v>
      </c>
      <c r="T15">
        <v>22</v>
      </c>
      <c r="U15">
        <v>13.722742073737599</v>
      </c>
      <c r="V15" t="s">
        <v>30</v>
      </c>
      <c r="W15">
        <v>1.49021347812037</v>
      </c>
      <c r="X15" t="s">
        <v>40</v>
      </c>
      <c r="Y15" t="s">
        <v>41</v>
      </c>
      <c r="Z15">
        <v>786.16365719999999</v>
      </c>
    </row>
    <row r="16" spans="1:26" x14ac:dyDescent="0.3">
      <c r="A16" t="s">
        <v>33</v>
      </c>
      <c r="B16" t="s">
        <v>70</v>
      </c>
      <c r="C16">
        <v>63.852286383720802</v>
      </c>
      <c r="D16">
        <v>58</v>
      </c>
      <c r="E16">
        <v>938</v>
      </c>
      <c r="F16">
        <v>3686.05595032984</v>
      </c>
      <c r="G16" t="s">
        <v>48</v>
      </c>
      <c r="H16">
        <v>80</v>
      </c>
      <c r="I16">
        <v>4</v>
      </c>
      <c r="J16">
        <v>61</v>
      </c>
      <c r="K16">
        <v>8</v>
      </c>
      <c r="L16" t="s">
        <v>27</v>
      </c>
      <c r="M16">
        <v>2.0562990967152901</v>
      </c>
      <c r="N16" t="s">
        <v>57</v>
      </c>
      <c r="O16" t="s">
        <v>29</v>
      </c>
      <c r="P16">
        <f>VLOOKUP(O16, Coordinates!$A$2:$C$6, 2, FALSE)</f>
        <v>29.760400000000001</v>
      </c>
      <c r="Q16">
        <f>VLOOKUP(O16, Coordinates!$A$2:$C$6, 3, FALSE)</f>
        <v>-95.369799999999998</v>
      </c>
      <c r="R16">
        <v>8</v>
      </c>
      <c r="S16">
        <v>923</v>
      </c>
      <c r="T16">
        <v>9</v>
      </c>
      <c r="U16">
        <v>25.648076444861399</v>
      </c>
      <c r="V16" t="s">
        <v>39</v>
      </c>
      <c r="W16">
        <v>4.4198714935592402</v>
      </c>
      <c r="X16" t="s">
        <v>46</v>
      </c>
      <c r="Y16" t="s">
        <v>60</v>
      </c>
      <c r="Z16">
        <v>645.770701481277</v>
      </c>
    </row>
    <row r="17" spans="1:26" x14ac:dyDescent="0.3">
      <c r="A17" t="s">
        <v>49</v>
      </c>
      <c r="B17" t="s">
        <v>71</v>
      </c>
      <c r="C17">
        <v>33.2487295824996</v>
      </c>
      <c r="D17">
        <v>2</v>
      </c>
      <c r="E17">
        <v>783</v>
      </c>
      <c r="F17">
        <v>6742.8345321680699</v>
      </c>
      <c r="G17" t="s">
        <v>26</v>
      </c>
      <c r="H17">
        <v>30</v>
      </c>
      <c r="I17">
        <v>17</v>
      </c>
      <c r="J17">
        <v>46</v>
      </c>
      <c r="K17">
        <v>3</v>
      </c>
      <c r="L17" t="s">
        <v>27</v>
      </c>
      <c r="M17">
        <v>12.931144120000001</v>
      </c>
      <c r="N17" t="s">
        <v>51</v>
      </c>
      <c r="O17" t="s">
        <v>38</v>
      </c>
      <c r="P17">
        <f>VLOOKUP(O17, Coordinates!$A$2:$C$6, 2, FALSE)</f>
        <v>25.761700000000001</v>
      </c>
      <c r="Q17">
        <f>VLOOKUP(O17, Coordinates!$A$2:$C$6, 3, FALSE)</f>
        <v>-80.191800000000001</v>
      </c>
      <c r="R17">
        <v>29</v>
      </c>
      <c r="S17">
        <v>221</v>
      </c>
      <c r="T17">
        <v>14</v>
      </c>
      <c r="U17">
        <v>33.3248817132393</v>
      </c>
      <c r="V17" t="s">
        <v>30</v>
      </c>
      <c r="W17">
        <v>0.27544978721182301</v>
      </c>
      <c r="X17" t="s">
        <v>46</v>
      </c>
      <c r="Y17" t="s">
        <v>60</v>
      </c>
      <c r="Z17">
        <v>943.78805878279297</v>
      </c>
    </row>
    <row r="18" spans="1:26" x14ac:dyDescent="0.3">
      <c r="A18" t="s">
        <v>72</v>
      </c>
      <c r="B18" t="s">
        <v>73</v>
      </c>
      <c r="C18">
        <v>35.793563996887201</v>
      </c>
      <c r="D18">
        <v>4</v>
      </c>
      <c r="E18">
        <v>272</v>
      </c>
      <c r="F18">
        <v>8762.2644664379895</v>
      </c>
      <c r="G18" t="s">
        <v>26</v>
      </c>
      <c r="H18">
        <v>52</v>
      </c>
      <c r="I18">
        <v>19</v>
      </c>
      <c r="J18">
        <v>12</v>
      </c>
      <c r="K18">
        <v>9</v>
      </c>
      <c r="L18" t="s">
        <v>44</v>
      </c>
      <c r="M18">
        <v>6.78708754321522</v>
      </c>
      <c r="N18" t="s">
        <v>57</v>
      </c>
      <c r="O18" t="s">
        <v>67</v>
      </c>
      <c r="P18">
        <f>VLOOKUP(O18, Coordinates!$A$2:$C$6, 2, FALSE)</f>
        <v>40.712800000000001</v>
      </c>
      <c r="Q18">
        <f>VLOOKUP(O18, Coordinates!$A$2:$C$6, 3, FALSE)</f>
        <v>-74.006</v>
      </c>
      <c r="R18">
        <v>8</v>
      </c>
      <c r="S18">
        <v>156</v>
      </c>
      <c r="T18">
        <v>21</v>
      </c>
      <c r="U18">
        <v>90.050285930783005</v>
      </c>
      <c r="V18" t="s">
        <v>30</v>
      </c>
      <c r="W18">
        <v>3.9854574194904</v>
      </c>
      <c r="X18" t="s">
        <v>46</v>
      </c>
      <c r="Y18" t="s">
        <v>32</v>
      </c>
      <c r="Z18">
        <v>757.94098272613996</v>
      </c>
    </row>
    <row r="19" spans="1:26" x14ac:dyDescent="0.3">
      <c r="A19" t="s">
        <v>42</v>
      </c>
      <c r="B19" t="s">
        <v>74</v>
      </c>
      <c r="C19">
        <v>21.213152062249801</v>
      </c>
      <c r="D19">
        <v>85</v>
      </c>
      <c r="E19">
        <v>174</v>
      </c>
      <c r="F19">
        <v>3124.0713729134</v>
      </c>
      <c r="G19" t="s">
        <v>48</v>
      </c>
      <c r="H19">
        <v>33</v>
      </c>
      <c r="I19">
        <v>14</v>
      </c>
      <c r="J19">
        <v>17</v>
      </c>
      <c r="K19">
        <v>8</v>
      </c>
      <c r="L19" t="s">
        <v>36</v>
      </c>
      <c r="M19">
        <v>10.807449618287899</v>
      </c>
      <c r="N19" t="s">
        <v>37</v>
      </c>
      <c r="O19" t="s">
        <v>58</v>
      </c>
      <c r="P19">
        <f>VLOOKUP(O19, Coordinates!$A$2:$C$6, 2, FALSE)</f>
        <v>34.052199999999999</v>
      </c>
      <c r="Q19">
        <f>VLOOKUP(O19, Coordinates!$A$2:$C$6, 3, FALSE)</f>
        <v>-118.2437</v>
      </c>
      <c r="R19">
        <v>26</v>
      </c>
      <c r="S19">
        <v>884</v>
      </c>
      <c r="T19">
        <v>21</v>
      </c>
      <c r="U19">
        <v>28.335210412702001</v>
      </c>
      <c r="V19" t="s">
        <v>55</v>
      </c>
      <c r="W19">
        <v>3.9219087896092701</v>
      </c>
      <c r="X19" t="s">
        <v>40</v>
      </c>
      <c r="Y19" t="s">
        <v>41</v>
      </c>
      <c r="Z19">
        <v>587.72436042348704</v>
      </c>
    </row>
    <row r="20" spans="1:26" x14ac:dyDescent="0.3">
      <c r="A20" t="s">
        <v>61</v>
      </c>
      <c r="B20" t="s">
        <v>75</v>
      </c>
      <c r="C20">
        <v>12.089832362022699</v>
      </c>
      <c r="D20">
        <v>39</v>
      </c>
      <c r="E20">
        <v>555</v>
      </c>
      <c r="F20">
        <v>7574.6318860000001</v>
      </c>
      <c r="G20" t="s">
        <v>35</v>
      </c>
      <c r="H20">
        <v>37</v>
      </c>
      <c r="I20">
        <v>10</v>
      </c>
      <c r="J20">
        <v>19</v>
      </c>
      <c r="K20">
        <v>2</v>
      </c>
      <c r="L20" t="s">
        <v>44</v>
      </c>
      <c r="M20">
        <v>10.551438834691799</v>
      </c>
      <c r="N20" t="s">
        <v>45</v>
      </c>
      <c r="O20" t="s">
        <v>38</v>
      </c>
      <c r="P20">
        <f>VLOOKUP(O20, Coordinates!$A$2:$C$6, 2, FALSE)</f>
        <v>25.761700000000001</v>
      </c>
      <c r="Q20">
        <f>VLOOKUP(O20, Coordinates!$A$2:$C$6, 3, FALSE)</f>
        <v>-80.191800000000001</v>
      </c>
      <c r="R20">
        <v>27</v>
      </c>
      <c r="S20">
        <v>238</v>
      </c>
      <c r="T20">
        <v>24</v>
      </c>
      <c r="U20">
        <v>79.20612466</v>
      </c>
      <c r="V20" t="s">
        <v>39</v>
      </c>
      <c r="W20">
        <v>3.7801205629104402</v>
      </c>
      <c r="X20" t="s">
        <v>31</v>
      </c>
      <c r="Y20" t="s">
        <v>32</v>
      </c>
      <c r="Z20">
        <v>834.58449575448697</v>
      </c>
    </row>
    <row r="21" spans="1:26" x14ac:dyDescent="0.3">
      <c r="A21" t="s">
        <v>33</v>
      </c>
      <c r="B21" t="s">
        <v>76</v>
      </c>
      <c r="C21">
        <v>79.356123870694105</v>
      </c>
      <c r="D21">
        <v>98</v>
      </c>
      <c r="E21">
        <v>833</v>
      </c>
      <c r="F21">
        <v>1362.9271574885499</v>
      </c>
      <c r="G21" t="s">
        <v>48</v>
      </c>
      <c r="H21">
        <v>4</v>
      </c>
      <c r="I21">
        <v>23</v>
      </c>
      <c r="J21">
        <v>56</v>
      </c>
      <c r="K21">
        <v>6</v>
      </c>
      <c r="L21" t="s">
        <v>36</v>
      </c>
      <c r="M21">
        <v>10.4676804996794</v>
      </c>
      <c r="N21" t="s">
        <v>28</v>
      </c>
      <c r="O21" t="s">
        <v>67</v>
      </c>
      <c r="P21">
        <f>VLOOKUP(O21, Coordinates!$A$2:$C$6, 2, FALSE)</f>
        <v>40.712800000000001</v>
      </c>
      <c r="Q21">
        <f>VLOOKUP(O21, Coordinates!$A$2:$C$6, 3, FALSE)</f>
        <v>-74.006</v>
      </c>
      <c r="R21">
        <v>8</v>
      </c>
      <c r="S21">
        <v>298</v>
      </c>
      <c r="T21">
        <v>8</v>
      </c>
      <c r="U21">
        <v>47.083027955541397</v>
      </c>
      <c r="V21" t="s">
        <v>30</v>
      </c>
      <c r="W21">
        <v>0.991475912601398</v>
      </c>
      <c r="X21" t="s">
        <v>31</v>
      </c>
      <c r="Y21" t="s">
        <v>60</v>
      </c>
      <c r="Z21">
        <v>361.43558134899001</v>
      </c>
    </row>
    <row r="22" spans="1:26" x14ac:dyDescent="0.3">
      <c r="A22" t="s">
        <v>72</v>
      </c>
      <c r="B22" t="s">
        <v>77</v>
      </c>
      <c r="C22">
        <v>30.6004580111987</v>
      </c>
      <c r="D22">
        <v>94</v>
      </c>
      <c r="E22">
        <v>655</v>
      </c>
      <c r="F22">
        <v>18038.969997601602</v>
      </c>
      <c r="G22" t="s">
        <v>35</v>
      </c>
      <c r="H22">
        <v>100</v>
      </c>
      <c r="I22">
        <v>29</v>
      </c>
      <c r="J22">
        <v>50</v>
      </c>
      <c r="K22">
        <v>4</v>
      </c>
      <c r="L22" t="s">
        <v>27</v>
      </c>
      <c r="M22">
        <v>8.0971359026041707</v>
      </c>
      <c r="N22" t="s">
        <v>28</v>
      </c>
      <c r="O22" t="s">
        <v>58</v>
      </c>
      <c r="P22">
        <f>VLOOKUP(O22, Coordinates!$A$2:$C$6, 2, FALSE)</f>
        <v>34.052199999999999</v>
      </c>
      <c r="Q22">
        <f>VLOOKUP(O22, Coordinates!$A$2:$C$6, 3, FALSE)</f>
        <v>-118.2437</v>
      </c>
      <c r="R22">
        <v>28</v>
      </c>
      <c r="S22">
        <v>820</v>
      </c>
      <c r="T22">
        <v>1</v>
      </c>
      <c r="U22">
        <v>91.844702472766201</v>
      </c>
      <c r="V22" t="s">
        <v>55</v>
      </c>
      <c r="W22">
        <v>4.3735028074779798</v>
      </c>
      <c r="X22" t="s">
        <v>31</v>
      </c>
      <c r="Y22" t="s">
        <v>41</v>
      </c>
      <c r="Z22">
        <v>337.14347023057798</v>
      </c>
    </row>
    <row r="23" spans="1:26" x14ac:dyDescent="0.3">
      <c r="A23" t="s">
        <v>72</v>
      </c>
      <c r="B23" t="s">
        <v>78</v>
      </c>
      <c r="C23">
        <v>35.512889268988701</v>
      </c>
      <c r="D23">
        <v>6</v>
      </c>
      <c r="E23">
        <v>296</v>
      </c>
      <c r="F23">
        <v>9460.63370125859</v>
      </c>
      <c r="G23" t="s">
        <v>54</v>
      </c>
      <c r="H23">
        <v>3</v>
      </c>
      <c r="I23">
        <v>6</v>
      </c>
      <c r="J23">
        <v>73</v>
      </c>
      <c r="K23">
        <v>3</v>
      </c>
      <c r="L23" t="s">
        <v>36</v>
      </c>
      <c r="M23">
        <v>4.8852630676697597</v>
      </c>
      <c r="N23" t="s">
        <v>37</v>
      </c>
      <c r="O23" t="s">
        <v>29</v>
      </c>
      <c r="P23">
        <f>VLOOKUP(O23, Coordinates!$A$2:$C$6, 2, FALSE)</f>
        <v>29.760400000000001</v>
      </c>
      <c r="Q23">
        <f>VLOOKUP(O23, Coordinates!$A$2:$C$6, 3, FALSE)</f>
        <v>-95.369799999999998</v>
      </c>
      <c r="R23">
        <v>20</v>
      </c>
      <c r="S23">
        <v>884</v>
      </c>
      <c r="T23">
        <v>3</v>
      </c>
      <c r="U23">
        <v>89.458224741604994</v>
      </c>
      <c r="V23" t="s">
        <v>55</v>
      </c>
      <c r="W23">
        <v>2.7943564678016202</v>
      </c>
      <c r="X23" t="s">
        <v>52</v>
      </c>
      <c r="Y23" t="s">
        <v>60</v>
      </c>
      <c r="Z23">
        <v>974.30958562552996</v>
      </c>
    </row>
    <row r="24" spans="1:26" x14ac:dyDescent="0.3">
      <c r="A24" t="s">
        <v>61</v>
      </c>
      <c r="B24" t="s">
        <v>79</v>
      </c>
      <c r="C24">
        <v>70.703715279085301</v>
      </c>
      <c r="D24">
        <v>81</v>
      </c>
      <c r="E24">
        <v>568</v>
      </c>
      <c r="F24">
        <v>2376.4886782788299</v>
      </c>
      <c r="G24" t="s">
        <v>48</v>
      </c>
      <c r="H24">
        <v>1</v>
      </c>
      <c r="I24">
        <v>18</v>
      </c>
      <c r="J24">
        <v>51</v>
      </c>
      <c r="K24">
        <v>6</v>
      </c>
      <c r="L24" t="s">
        <v>27</v>
      </c>
      <c r="M24">
        <v>9.7513238199999996</v>
      </c>
      <c r="N24" t="s">
        <v>57</v>
      </c>
      <c r="O24" t="s">
        <v>29</v>
      </c>
      <c r="P24">
        <f>VLOOKUP(O24, Coordinates!$A$2:$C$6, 2, FALSE)</f>
        <v>29.760400000000001</v>
      </c>
      <c r="Q24">
        <f>VLOOKUP(O24, Coordinates!$A$2:$C$6, 3, FALSE)</f>
        <v>-95.369799999999998</v>
      </c>
      <c r="R24">
        <v>15</v>
      </c>
      <c r="S24">
        <v>460</v>
      </c>
      <c r="T24">
        <v>29</v>
      </c>
      <c r="U24">
        <v>50.203165414978002</v>
      </c>
      <c r="V24" t="s">
        <v>39</v>
      </c>
      <c r="W24">
        <v>0.23005678815707301</v>
      </c>
      <c r="X24" t="s">
        <v>40</v>
      </c>
      <c r="Y24" t="s">
        <v>32</v>
      </c>
      <c r="Z24">
        <v>954.83953046138299</v>
      </c>
    </row>
    <row r="25" spans="1:26" x14ac:dyDescent="0.3">
      <c r="A25" t="s">
        <v>33</v>
      </c>
      <c r="B25" t="s">
        <v>80</v>
      </c>
      <c r="C25">
        <v>63.714909057282597</v>
      </c>
      <c r="D25">
        <v>89</v>
      </c>
      <c r="E25">
        <v>803</v>
      </c>
      <c r="F25">
        <v>1620.9100783941301</v>
      </c>
      <c r="G25" t="s">
        <v>26</v>
      </c>
      <c r="H25">
        <v>11</v>
      </c>
      <c r="I25">
        <v>25</v>
      </c>
      <c r="J25">
        <v>52</v>
      </c>
      <c r="K25">
        <v>10</v>
      </c>
      <c r="L25" t="s">
        <v>27</v>
      </c>
      <c r="M25">
        <v>14.465081053357</v>
      </c>
      <c r="N25" t="s">
        <v>51</v>
      </c>
      <c r="O25" t="s">
        <v>38</v>
      </c>
      <c r="P25">
        <f>VLOOKUP(O25, Coordinates!$A$2:$C$6, 2, FALSE)</f>
        <v>25.761700000000001</v>
      </c>
      <c r="Q25">
        <f>VLOOKUP(O25, Coordinates!$A$2:$C$6, 3, FALSE)</f>
        <v>-80.191800000000001</v>
      </c>
      <c r="R25">
        <v>8</v>
      </c>
      <c r="S25">
        <v>749</v>
      </c>
      <c r="T25">
        <v>22</v>
      </c>
      <c r="U25">
        <v>93.489231927915498</v>
      </c>
      <c r="V25" t="s">
        <v>55</v>
      </c>
      <c r="W25">
        <v>4.4541625823357096</v>
      </c>
      <c r="X25" t="s">
        <v>46</v>
      </c>
      <c r="Y25" t="s">
        <v>32</v>
      </c>
      <c r="Z25">
        <v>892.46455367574299</v>
      </c>
    </row>
    <row r="26" spans="1:26" x14ac:dyDescent="0.3">
      <c r="A26" t="s">
        <v>42</v>
      </c>
      <c r="B26" t="s">
        <v>81</v>
      </c>
      <c r="C26">
        <v>65.153014471278993</v>
      </c>
      <c r="D26">
        <v>69</v>
      </c>
      <c r="E26">
        <v>929</v>
      </c>
      <c r="F26">
        <v>9962.2213100192603</v>
      </c>
      <c r="G26" t="s">
        <v>35</v>
      </c>
      <c r="H26">
        <v>2</v>
      </c>
      <c r="I26">
        <v>29</v>
      </c>
      <c r="J26">
        <v>18</v>
      </c>
      <c r="K26">
        <v>9</v>
      </c>
      <c r="L26" t="s">
        <v>44</v>
      </c>
      <c r="M26">
        <v>12.675289583248301</v>
      </c>
      <c r="N26" t="s">
        <v>57</v>
      </c>
      <c r="O26" t="s">
        <v>67</v>
      </c>
      <c r="P26">
        <f>VLOOKUP(O26, Coordinates!$A$2:$C$6, 2, FALSE)</f>
        <v>40.712800000000001</v>
      </c>
      <c r="Q26">
        <f>VLOOKUP(O26, Coordinates!$A$2:$C$6, 3, FALSE)</f>
        <v>-74.006</v>
      </c>
      <c r="R26">
        <v>14</v>
      </c>
      <c r="S26">
        <v>509</v>
      </c>
      <c r="T26">
        <v>6</v>
      </c>
      <c r="U26">
        <v>36.915678839501197</v>
      </c>
      <c r="V26" t="s">
        <v>30</v>
      </c>
      <c r="W26">
        <v>1.74502992177836</v>
      </c>
      <c r="X26" t="s">
        <v>31</v>
      </c>
      <c r="Y26" t="s">
        <v>60</v>
      </c>
      <c r="Z26">
        <v>292.932187217445</v>
      </c>
    </row>
    <row r="27" spans="1:26" x14ac:dyDescent="0.3">
      <c r="A27" t="s">
        <v>82</v>
      </c>
      <c r="B27" t="s">
        <v>83</v>
      </c>
      <c r="C27">
        <v>26.744987460428199</v>
      </c>
      <c r="D27">
        <v>69</v>
      </c>
      <c r="E27">
        <v>145</v>
      </c>
      <c r="F27">
        <v>3599.2897295868001</v>
      </c>
      <c r="G27" t="s">
        <v>48</v>
      </c>
      <c r="H27">
        <v>69</v>
      </c>
      <c r="I27">
        <v>11</v>
      </c>
      <c r="J27">
        <v>23</v>
      </c>
      <c r="K27">
        <v>2</v>
      </c>
      <c r="L27" t="s">
        <v>44</v>
      </c>
      <c r="M27">
        <v>2.5227552417528698</v>
      </c>
      <c r="N27" t="s">
        <v>57</v>
      </c>
      <c r="O27" t="s">
        <v>29</v>
      </c>
      <c r="P27">
        <f>VLOOKUP(O27, Coordinates!$A$2:$C$6, 2, FALSE)</f>
        <v>29.760400000000001</v>
      </c>
      <c r="Q27">
        <f>VLOOKUP(O27, Coordinates!$A$2:$C$6, 3, FALSE)</f>
        <v>-95.369799999999998</v>
      </c>
      <c r="R27">
        <v>13</v>
      </c>
      <c r="S27">
        <v>745</v>
      </c>
      <c r="T27">
        <v>1</v>
      </c>
      <c r="U27">
        <v>46.056363391375498</v>
      </c>
      <c r="V27" t="s">
        <v>30</v>
      </c>
      <c r="W27">
        <v>1.71078276905013</v>
      </c>
      <c r="X27" t="s">
        <v>31</v>
      </c>
      <c r="Y27" t="s">
        <v>32</v>
      </c>
      <c r="Z27">
        <v>628.92008537236995</v>
      </c>
    </row>
    <row r="28" spans="1:26" x14ac:dyDescent="0.3">
      <c r="A28" t="s">
        <v>33</v>
      </c>
      <c r="B28" t="s">
        <v>84</v>
      </c>
      <c r="C28">
        <v>27.101326163454601</v>
      </c>
      <c r="D28">
        <v>20</v>
      </c>
      <c r="E28">
        <v>819</v>
      </c>
      <c r="F28">
        <v>2343.4121140232201</v>
      </c>
      <c r="G28" t="s">
        <v>48</v>
      </c>
      <c r="H28">
        <v>4</v>
      </c>
      <c r="I28">
        <v>28</v>
      </c>
      <c r="J28">
        <v>100</v>
      </c>
      <c r="K28">
        <v>10</v>
      </c>
      <c r="L28" t="s">
        <v>44</v>
      </c>
      <c r="M28">
        <v>1.3246236222117</v>
      </c>
      <c r="N28" t="s">
        <v>51</v>
      </c>
      <c r="O28" t="s">
        <v>67</v>
      </c>
      <c r="P28">
        <f>VLOOKUP(O28, Coordinates!$A$2:$C$6, 2, FALSE)</f>
        <v>40.712800000000001</v>
      </c>
      <c r="Q28">
        <f>VLOOKUP(O28, Coordinates!$A$2:$C$6, 3, FALSE)</f>
        <v>-74.006</v>
      </c>
      <c r="R28">
        <v>23</v>
      </c>
      <c r="S28">
        <v>948</v>
      </c>
      <c r="T28">
        <v>18</v>
      </c>
      <c r="U28">
        <v>45.665502046071502</v>
      </c>
      <c r="V28" t="s">
        <v>30</v>
      </c>
      <c r="W28">
        <v>3.2164396857993598</v>
      </c>
      <c r="X28" t="s">
        <v>31</v>
      </c>
      <c r="Y28" t="s">
        <v>32</v>
      </c>
      <c r="Z28">
        <v>581.5450803</v>
      </c>
    </row>
    <row r="29" spans="1:26" x14ac:dyDescent="0.3">
      <c r="A29" t="s">
        <v>61</v>
      </c>
      <c r="B29" t="s">
        <v>85</v>
      </c>
      <c r="C29">
        <v>25.976249829635702</v>
      </c>
      <c r="D29">
        <v>64</v>
      </c>
      <c r="E29">
        <v>429</v>
      </c>
      <c r="F29">
        <v>3168.9663219632598</v>
      </c>
      <c r="G29" t="s">
        <v>35</v>
      </c>
      <c r="H29">
        <v>20</v>
      </c>
      <c r="I29">
        <v>8</v>
      </c>
      <c r="J29">
        <v>13</v>
      </c>
      <c r="K29">
        <v>10</v>
      </c>
      <c r="L29" t="s">
        <v>36</v>
      </c>
      <c r="M29">
        <v>7.9855989961860798</v>
      </c>
      <c r="N29" t="s">
        <v>28</v>
      </c>
      <c r="O29" t="s">
        <v>38</v>
      </c>
      <c r="P29">
        <f>VLOOKUP(O29, Coordinates!$A$2:$C$6, 2, FALSE)</f>
        <v>25.761700000000001</v>
      </c>
      <c r="Q29">
        <f>VLOOKUP(O29, Coordinates!$A$2:$C$6, 3, FALSE)</f>
        <v>-80.191800000000001</v>
      </c>
      <c r="R29">
        <v>8</v>
      </c>
      <c r="S29">
        <v>627</v>
      </c>
      <c r="T29">
        <v>10</v>
      </c>
      <c r="U29">
        <v>59.147094908317897</v>
      </c>
      <c r="V29" t="s">
        <v>30</v>
      </c>
      <c r="W29">
        <v>3.3065547139928699</v>
      </c>
      <c r="X29" t="s">
        <v>52</v>
      </c>
      <c r="Y29" t="s">
        <v>60</v>
      </c>
      <c r="Z29">
        <v>282.79763715155298</v>
      </c>
    </row>
    <row r="30" spans="1:26" x14ac:dyDescent="0.3">
      <c r="A30" t="s">
        <v>72</v>
      </c>
      <c r="B30" t="s">
        <v>86</v>
      </c>
      <c r="C30">
        <v>28.2471159324962</v>
      </c>
      <c r="D30">
        <v>16</v>
      </c>
      <c r="E30">
        <v>318</v>
      </c>
      <c r="F30">
        <v>8084.3245798804301</v>
      </c>
      <c r="G30" t="s">
        <v>54</v>
      </c>
      <c r="H30">
        <v>60</v>
      </c>
      <c r="I30">
        <v>10</v>
      </c>
      <c r="J30">
        <v>11</v>
      </c>
      <c r="K30">
        <v>10</v>
      </c>
      <c r="L30" t="s">
        <v>36</v>
      </c>
      <c r="M30">
        <v>11.8616109240063</v>
      </c>
      <c r="N30" t="s">
        <v>57</v>
      </c>
      <c r="O30" t="s">
        <v>65</v>
      </c>
      <c r="P30">
        <f>VLOOKUP(O30, Coordinates!$A$2:$C$6, 2, FALSE)</f>
        <v>41.878100000000003</v>
      </c>
      <c r="Q30">
        <f>VLOOKUP(O30, Coordinates!$A$2:$C$6, 3, FALSE)</f>
        <v>-87.629800000000003</v>
      </c>
      <c r="R30">
        <v>17</v>
      </c>
      <c r="S30">
        <v>714</v>
      </c>
      <c r="T30">
        <v>23</v>
      </c>
      <c r="U30">
        <v>93.758550746759795</v>
      </c>
      <c r="V30" t="s">
        <v>30</v>
      </c>
      <c r="W30">
        <v>1.76658060414207</v>
      </c>
      <c r="X30" t="s">
        <v>52</v>
      </c>
      <c r="Y30" t="s">
        <v>41</v>
      </c>
      <c r="Z30">
        <v>503.00935382502001</v>
      </c>
    </row>
    <row r="31" spans="1:26" x14ac:dyDescent="0.3">
      <c r="A31" t="s">
        <v>42</v>
      </c>
      <c r="B31" t="s">
        <v>87</v>
      </c>
      <c r="C31">
        <v>67.293748893357304</v>
      </c>
      <c r="D31">
        <v>51</v>
      </c>
      <c r="E31">
        <v>188</v>
      </c>
      <c r="F31">
        <v>5681.4420072195599</v>
      </c>
      <c r="G31" t="s">
        <v>54</v>
      </c>
      <c r="H31">
        <v>34</v>
      </c>
      <c r="I31">
        <v>23</v>
      </c>
      <c r="J31">
        <v>94</v>
      </c>
      <c r="K31">
        <v>5</v>
      </c>
      <c r="L31" t="s">
        <v>44</v>
      </c>
      <c r="M31">
        <v>5.3946357443409001</v>
      </c>
      <c r="N31" t="s">
        <v>45</v>
      </c>
      <c r="O31" t="s">
        <v>38</v>
      </c>
      <c r="P31">
        <f>VLOOKUP(O31, Coordinates!$A$2:$C$6, 2, FALSE)</f>
        <v>25.761700000000001</v>
      </c>
      <c r="Q31">
        <f>VLOOKUP(O31, Coordinates!$A$2:$C$6, 3, FALSE)</f>
        <v>-80.191800000000001</v>
      </c>
      <c r="R31">
        <v>27</v>
      </c>
      <c r="S31">
        <v>342</v>
      </c>
      <c r="T31">
        <v>17</v>
      </c>
      <c r="U31">
        <v>32.331252613804097</v>
      </c>
      <c r="V31" t="s">
        <v>55</v>
      </c>
      <c r="W31">
        <v>4.2525922120714803</v>
      </c>
      <c r="X31" t="s">
        <v>46</v>
      </c>
      <c r="Y31" t="s">
        <v>60</v>
      </c>
      <c r="Z31">
        <v>518.63126990398598</v>
      </c>
    </row>
    <row r="32" spans="1:26" x14ac:dyDescent="0.3">
      <c r="A32" t="s">
        <v>33</v>
      </c>
      <c r="B32" t="s">
        <v>88</v>
      </c>
      <c r="C32">
        <v>85.561509098693094</v>
      </c>
      <c r="D32">
        <v>37</v>
      </c>
      <c r="E32">
        <v>668</v>
      </c>
      <c r="F32">
        <v>4283.3628667707098</v>
      </c>
      <c r="G32" t="s">
        <v>54</v>
      </c>
      <c r="H32">
        <v>47</v>
      </c>
      <c r="I32">
        <v>28</v>
      </c>
      <c r="J32">
        <v>10</v>
      </c>
      <c r="K32">
        <v>6</v>
      </c>
      <c r="L32" t="s">
        <v>44</v>
      </c>
      <c r="M32">
        <v>10.8173358906591</v>
      </c>
      <c r="N32" t="s">
        <v>45</v>
      </c>
      <c r="O32" t="s">
        <v>38</v>
      </c>
      <c r="P32">
        <f>VLOOKUP(O32, Coordinates!$A$2:$C$6, 2, FALSE)</f>
        <v>25.761700000000001</v>
      </c>
      <c r="Q32">
        <f>VLOOKUP(O32, Coordinates!$A$2:$C$6, 3, FALSE)</f>
        <v>-80.191800000000001</v>
      </c>
      <c r="R32">
        <v>29</v>
      </c>
      <c r="S32">
        <v>189</v>
      </c>
      <c r="T32">
        <v>26</v>
      </c>
      <c r="U32">
        <v>81.422582537540606</v>
      </c>
      <c r="V32" t="s">
        <v>39</v>
      </c>
      <c r="W32">
        <v>4.4956242284717298</v>
      </c>
      <c r="X32" t="s">
        <v>31</v>
      </c>
      <c r="Y32" t="s">
        <v>60</v>
      </c>
      <c r="Z32">
        <v>316.56037483129501</v>
      </c>
    </row>
    <row r="33" spans="1:26" x14ac:dyDescent="0.3">
      <c r="A33" t="s">
        <v>82</v>
      </c>
      <c r="B33" t="s">
        <v>89</v>
      </c>
      <c r="C33">
        <v>73.8101596192828</v>
      </c>
      <c r="D33">
        <v>73</v>
      </c>
      <c r="E33">
        <v>717</v>
      </c>
      <c r="F33">
        <v>8860.5231211829705</v>
      </c>
      <c r="G33" t="s">
        <v>54</v>
      </c>
      <c r="H33">
        <v>14</v>
      </c>
      <c r="I33">
        <v>11</v>
      </c>
      <c r="J33">
        <v>84</v>
      </c>
      <c r="K33">
        <v>4</v>
      </c>
      <c r="L33" t="s">
        <v>27</v>
      </c>
      <c r="M33">
        <v>14.046897699343299</v>
      </c>
      <c r="N33" t="s">
        <v>37</v>
      </c>
      <c r="O33" t="s">
        <v>38</v>
      </c>
      <c r="P33">
        <f>VLOOKUP(O33, Coordinates!$A$2:$C$6, 2, FALSE)</f>
        <v>25.761700000000001</v>
      </c>
      <c r="Q33">
        <f>VLOOKUP(O33, Coordinates!$A$2:$C$6, 3, FALSE)</f>
        <v>-80.191800000000001</v>
      </c>
      <c r="R33">
        <v>6</v>
      </c>
      <c r="S33">
        <v>615</v>
      </c>
      <c r="T33">
        <v>21</v>
      </c>
      <c r="U33">
        <v>54.687335920911302</v>
      </c>
      <c r="V33" t="s">
        <v>30</v>
      </c>
      <c r="W33">
        <v>3.1258958233762</v>
      </c>
      <c r="X33" t="s">
        <v>31</v>
      </c>
      <c r="Y33" t="s">
        <v>41</v>
      </c>
      <c r="Z33">
        <v>959.392738344328</v>
      </c>
    </row>
    <row r="34" spans="1:26" x14ac:dyDescent="0.3">
      <c r="A34" t="s">
        <v>82</v>
      </c>
      <c r="B34" t="s">
        <v>90</v>
      </c>
      <c r="C34">
        <v>80.248895210000001</v>
      </c>
      <c r="D34">
        <v>69</v>
      </c>
      <c r="E34">
        <v>132</v>
      </c>
      <c r="F34">
        <v>4554.9124349412896</v>
      </c>
      <c r="G34" t="s">
        <v>35</v>
      </c>
      <c r="H34">
        <v>70</v>
      </c>
      <c r="I34">
        <v>3</v>
      </c>
      <c r="J34">
        <v>74</v>
      </c>
      <c r="K34">
        <v>7</v>
      </c>
      <c r="L34" t="s">
        <v>36</v>
      </c>
      <c r="M34">
        <v>7.4257830970853602</v>
      </c>
      <c r="N34" t="s">
        <v>37</v>
      </c>
      <c r="O34" t="s">
        <v>65</v>
      </c>
      <c r="P34">
        <f>VLOOKUP(O34, Coordinates!$A$2:$C$6, 2, FALSE)</f>
        <v>41.878100000000003</v>
      </c>
      <c r="Q34">
        <f>VLOOKUP(O34, Coordinates!$A$2:$C$6, 3, FALSE)</f>
        <v>-87.629800000000003</v>
      </c>
      <c r="R34">
        <v>17</v>
      </c>
      <c r="S34">
        <v>161</v>
      </c>
      <c r="T34">
        <v>1</v>
      </c>
      <c r="U34">
        <v>10.6339198166926</v>
      </c>
      <c r="V34" t="s">
        <v>30</v>
      </c>
      <c r="W34">
        <v>4.3011118252948597</v>
      </c>
      <c r="X34" t="s">
        <v>31</v>
      </c>
      <c r="Y34" t="s">
        <v>32</v>
      </c>
      <c r="Z34">
        <v>543.44349247745197</v>
      </c>
    </row>
    <row r="35" spans="1:26" x14ac:dyDescent="0.3">
      <c r="A35" t="s">
        <v>49</v>
      </c>
      <c r="B35" t="s">
        <v>91</v>
      </c>
      <c r="C35">
        <v>43.455850763093899</v>
      </c>
      <c r="D35">
        <v>42</v>
      </c>
      <c r="E35">
        <v>291</v>
      </c>
      <c r="F35">
        <v>4015.0771296192602</v>
      </c>
      <c r="G35" t="s">
        <v>26</v>
      </c>
      <c r="H35">
        <v>14</v>
      </c>
      <c r="I35">
        <v>15</v>
      </c>
      <c r="J35">
        <v>55</v>
      </c>
      <c r="K35">
        <v>2</v>
      </c>
      <c r="L35" t="s">
        <v>27</v>
      </c>
      <c r="M35">
        <v>4.4182351872287002</v>
      </c>
      <c r="N35" t="s">
        <v>51</v>
      </c>
      <c r="O35" t="s">
        <v>29</v>
      </c>
      <c r="P35">
        <f>VLOOKUP(O35, Coordinates!$A$2:$C$6, 2, FALSE)</f>
        <v>29.760400000000001</v>
      </c>
      <c r="Q35">
        <f>VLOOKUP(O35, Coordinates!$A$2:$C$6, 3, FALSE)</f>
        <v>-95.369799999999998</v>
      </c>
      <c r="R35">
        <v>4</v>
      </c>
      <c r="S35">
        <v>311</v>
      </c>
      <c r="T35">
        <v>22</v>
      </c>
      <c r="U35">
        <v>63.220656998501198</v>
      </c>
      <c r="V35" t="s">
        <v>30</v>
      </c>
      <c r="W35">
        <v>2.42219993682532</v>
      </c>
      <c r="X35" t="s">
        <v>52</v>
      </c>
      <c r="Y35" t="s">
        <v>41</v>
      </c>
      <c r="Z35">
        <v>572.40267727630203</v>
      </c>
    </row>
    <row r="36" spans="1:26" x14ac:dyDescent="0.3">
      <c r="A36" t="s">
        <v>49</v>
      </c>
      <c r="B36" t="s">
        <v>92</v>
      </c>
      <c r="C36">
        <v>67.137200560339807</v>
      </c>
      <c r="D36">
        <v>57</v>
      </c>
      <c r="E36">
        <v>827</v>
      </c>
      <c r="F36">
        <v>2865.5427030000001</v>
      </c>
      <c r="G36" t="s">
        <v>48</v>
      </c>
      <c r="H36">
        <v>5</v>
      </c>
      <c r="I36">
        <v>8</v>
      </c>
      <c r="J36">
        <v>68</v>
      </c>
      <c r="K36">
        <v>7</v>
      </c>
      <c r="L36" t="s">
        <v>36</v>
      </c>
      <c r="M36">
        <v>13.848610069123399</v>
      </c>
      <c r="N36" t="s">
        <v>51</v>
      </c>
      <c r="O36" t="s">
        <v>58</v>
      </c>
      <c r="P36">
        <f>VLOOKUP(O36, Coordinates!$A$2:$C$6, 2, FALSE)</f>
        <v>34.052199999999999</v>
      </c>
      <c r="Q36">
        <f>VLOOKUP(O36, Coordinates!$A$2:$C$6, 3, FALSE)</f>
        <v>-118.2437</v>
      </c>
      <c r="R36">
        <v>25</v>
      </c>
      <c r="S36">
        <v>347</v>
      </c>
      <c r="T36">
        <v>23</v>
      </c>
      <c r="U36">
        <v>81.825349737622204</v>
      </c>
      <c r="V36" t="s">
        <v>39</v>
      </c>
      <c r="W36">
        <v>3.2284803978410999</v>
      </c>
      <c r="X36" t="s">
        <v>46</v>
      </c>
      <c r="Y36" t="s">
        <v>60</v>
      </c>
      <c r="Z36">
        <v>638.72100292194295</v>
      </c>
    </row>
    <row r="37" spans="1:26" x14ac:dyDescent="0.3">
      <c r="A37" t="s">
        <v>24</v>
      </c>
      <c r="B37" t="s">
        <v>93</v>
      </c>
      <c r="C37">
        <v>36.865085326076802</v>
      </c>
      <c r="D37">
        <v>66</v>
      </c>
      <c r="E37">
        <v>257</v>
      </c>
      <c r="F37">
        <v>8526.8942360000001</v>
      </c>
      <c r="G37" t="s">
        <v>48</v>
      </c>
      <c r="H37">
        <v>80</v>
      </c>
      <c r="I37">
        <v>20</v>
      </c>
      <c r="J37">
        <v>84</v>
      </c>
      <c r="K37">
        <v>2</v>
      </c>
      <c r="L37" t="s">
        <v>44</v>
      </c>
      <c r="M37">
        <v>7.6116954960519996</v>
      </c>
      <c r="N37" t="s">
        <v>37</v>
      </c>
      <c r="O37" t="s">
        <v>38</v>
      </c>
      <c r="P37">
        <f>VLOOKUP(O37, Coordinates!$A$2:$C$6, 2, FALSE)</f>
        <v>25.761700000000001</v>
      </c>
      <c r="Q37">
        <f>VLOOKUP(O37, Coordinates!$A$2:$C$6, 3, FALSE)</f>
        <v>-80.191800000000001</v>
      </c>
      <c r="R37">
        <v>7</v>
      </c>
      <c r="S37">
        <v>803</v>
      </c>
      <c r="T37">
        <v>8</v>
      </c>
      <c r="U37">
        <v>90.597469833986494</v>
      </c>
      <c r="V37" t="s">
        <v>30</v>
      </c>
      <c r="W37">
        <v>0.27204413907937502</v>
      </c>
      <c r="X37" t="s">
        <v>40</v>
      </c>
      <c r="Y37" t="s">
        <v>41</v>
      </c>
      <c r="Z37">
        <v>898.25719515295498</v>
      </c>
    </row>
    <row r="38" spans="1:26" x14ac:dyDescent="0.3">
      <c r="A38" t="s">
        <v>61</v>
      </c>
      <c r="B38" t="s">
        <v>94</v>
      </c>
      <c r="C38">
        <v>54.92293909</v>
      </c>
      <c r="D38">
        <v>9</v>
      </c>
      <c r="E38">
        <v>782</v>
      </c>
      <c r="F38">
        <v>3850.1592041523299</v>
      </c>
      <c r="H38">
        <v>67</v>
      </c>
      <c r="I38">
        <v>18</v>
      </c>
      <c r="J38">
        <v>16</v>
      </c>
      <c r="K38">
        <v>1</v>
      </c>
      <c r="L38" t="s">
        <v>36</v>
      </c>
      <c r="M38">
        <v>6.7097502929999999</v>
      </c>
      <c r="N38" t="s">
        <v>57</v>
      </c>
      <c r="O38" t="s">
        <v>58</v>
      </c>
      <c r="P38">
        <f>VLOOKUP(O38, Coordinates!$A$2:$C$6, 2, FALSE)</f>
        <v>34.052199999999999</v>
      </c>
      <c r="Q38">
        <f>VLOOKUP(O38, Coordinates!$A$2:$C$6, 3, FALSE)</f>
        <v>-118.2437</v>
      </c>
      <c r="R38">
        <v>17</v>
      </c>
      <c r="S38">
        <v>596</v>
      </c>
      <c r="T38">
        <v>29</v>
      </c>
      <c r="U38">
        <v>13.408390842573301</v>
      </c>
      <c r="V38" t="s">
        <v>30</v>
      </c>
      <c r="W38">
        <v>4.4726145009999998</v>
      </c>
      <c r="X38" t="s">
        <v>52</v>
      </c>
      <c r="Y38" t="s">
        <v>32</v>
      </c>
      <c r="Z38">
        <v>579.97871583053495</v>
      </c>
    </row>
    <row r="39" spans="1:26" x14ac:dyDescent="0.3">
      <c r="A39" t="s">
        <v>33</v>
      </c>
      <c r="B39" t="s">
        <v>95</v>
      </c>
      <c r="C39">
        <v>50.755310420811902</v>
      </c>
      <c r="D39">
        <v>100</v>
      </c>
      <c r="E39">
        <v>704</v>
      </c>
      <c r="F39">
        <v>7095.7356336832599</v>
      </c>
      <c r="G39" t="s">
        <v>35</v>
      </c>
      <c r="H39">
        <v>21</v>
      </c>
      <c r="I39">
        <v>27</v>
      </c>
      <c r="J39">
        <v>75</v>
      </c>
      <c r="K39">
        <v>5</v>
      </c>
      <c r="L39" t="s">
        <v>36</v>
      </c>
      <c r="M39">
        <v>5.9470620015729301</v>
      </c>
      <c r="N39" t="s">
        <v>28</v>
      </c>
      <c r="O39" t="s">
        <v>65</v>
      </c>
      <c r="P39">
        <f>VLOOKUP(O39, Coordinates!$A$2:$C$6, 2, FALSE)</f>
        <v>41.878100000000003</v>
      </c>
      <c r="Q39">
        <f>VLOOKUP(O39, Coordinates!$A$2:$C$6, 3, FALSE)</f>
        <v>-87.629800000000003</v>
      </c>
      <c r="R39">
        <v>29</v>
      </c>
      <c r="S39">
        <v>155</v>
      </c>
      <c r="T39">
        <v>12</v>
      </c>
      <c r="U39">
        <v>82.646079008564996</v>
      </c>
      <c r="V39" t="s">
        <v>55</v>
      </c>
      <c r="W39">
        <v>1.6360790660335101</v>
      </c>
      <c r="X39" t="s">
        <v>31</v>
      </c>
      <c r="Y39" t="s">
        <v>41</v>
      </c>
      <c r="Z39">
        <v>586.86918809999997</v>
      </c>
    </row>
    <row r="40" spans="1:26" x14ac:dyDescent="0.3">
      <c r="A40" t="s">
        <v>33</v>
      </c>
      <c r="B40" t="s">
        <v>96</v>
      </c>
      <c r="C40">
        <v>21.8042787886661</v>
      </c>
      <c r="D40">
        <v>86</v>
      </c>
      <c r="E40">
        <v>390</v>
      </c>
      <c r="F40">
        <v>3606.2443420365398</v>
      </c>
      <c r="G40" t="s">
        <v>26</v>
      </c>
      <c r="H40">
        <v>31</v>
      </c>
      <c r="I40">
        <v>21</v>
      </c>
      <c r="J40">
        <v>24</v>
      </c>
      <c r="K40">
        <v>2</v>
      </c>
      <c r="L40" t="s">
        <v>27</v>
      </c>
      <c r="M40">
        <v>6.9222373341433796</v>
      </c>
      <c r="N40" t="s">
        <v>45</v>
      </c>
      <c r="O40" t="s">
        <v>38</v>
      </c>
      <c r="P40">
        <f>VLOOKUP(O40, Coordinates!$A$2:$C$6, 2, FALSE)</f>
        <v>25.761700000000001</v>
      </c>
      <c r="Q40">
        <f>VLOOKUP(O40, Coordinates!$A$2:$C$6, 3, FALSE)</f>
        <v>-80.191800000000001</v>
      </c>
      <c r="R40">
        <v>29</v>
      </c>
      <c r="S40">
        <v>558</v>
      </c>
      <c r="T40">
        <v>19</v>
      </c>
      <c r="U40">
        <v>97.864904437446398</v>
      </c>
      <c r="V40" t="s">
        <v>39</v>
      </c>
      <c r="W40">
        <v>4.5468508646315602</v>
      </c>
      <c r="X40" t="s">
        <v>46</v>
      </c>
      <c r="Y40" t="s">
        <v>41</v>
      </c>
      <c r="Z40">
        <v>316.17400158358203</v>
      </c>
    </row>
    <row r="41" spans="1:26" x14ac:dyDescent="0.3">
      <c r="A41" t="s">
        <v>24</v>
      </c>
      <c r="B41" t="s">
        <v>97</v>
      </c>
      <c r="C41">
        <v>23.0070880016061</v>
      </c>
      <c r="D41">
        <v>64</v>
      </c>
      <c r="E41">
        <v>234</v>
      </c>
      <c r="F41">
        <v>4845.2927331382498</v>
      </c>
      <c r="G41" t="s">
        <v>26</v>
      </c>
      <c r="H41">
        <v>21</v>
      </c>
      <c r="I41">
        <v>1</v>
      </c>
      <c r="J41">
        <v>81</v>
      </c>
      <c r="K41">
        <v>8</v>
      </c>
      <c r="L41" t="s">
        <v>44</v>
      </c>
      <c r="M41">
        <v>10.431209958553</v>
      </c>
      <c r="N41" t="s">
        <v>51</v>
      </c>
      <c r="O41" t="s">
        <v>67</v>
      </c>
      <c r="P41">
        <f>VLOOKUP(O41, Coordinates!$A$2:$C$6, 2, FALSE)</f>
        <v>40.712800000000001</v>
      </c>
      <c r="Q41">
        <f>VLOOKUP(O41, Coordinates!$A$2:$C$6, 3, FALSE)</f>
        <v>-74.006</v>
      </c>
      <c r="R41">
        <v>22</v>
      </c>
      <c r="S41">
        <v>388</v>
      </c>
      <c r="T41">
        <v>14</v>
      </c>
      <c r="U41">
        <v>84.01209704</v>
      </c>
      <c r="V41" t="s">
        <v>39</v>
      </c>
      <c r="W41">
        <v>4.5802581565661997</v>
      </c>
      <c r="X41" t="s">
        <v>46</v>
      </c>
      <c r="Y41" t="s">
        <v>60</v>
      </c>
      <c r="Z41">
        <v>642.53547220885298</v>
      </c>
    </row>
    <row r="42" spans="1:26" x14ac:dyDescent="0.3">
      <c r="A42" t="s">
        <v>72</v>
      </c>
      <c r="B42" t="s">
        <v>98</v>
      </c>
      <c r="C42">
        <v>36.400673461315797</v>
      </c>
      <c r="D42">
        <v>86</v>
      </c>
      <c r="E42">
        <v>275</v>
      </c>
      <c r="F42">
        <v>9009.1666816756606</v>
      </c>
      <c r="G42" t="s">
        <v>48</v>
      </c>
      <c r="H42">
        <v>26</v>
      </c>
      <c r="I42">
        <v>29</v>
      </c>
      <c r="J42">
        <v>56</v>
      </c>
      <c r="K42">
        <v>8</v>
      </c>
      <c r="L42" t="s">
        <v>44</v>
      </c>
      <c r="M42">
        <v>7.0720747810821498</v>
      </c>
      <c r="N42" t="s">
        <v>37</v>
      </c>
      <c r="O42" t="s">
        <v>58</v>
      </c>
      <c r="P42">
        <f>VLOOKUP(O42, Coordinates!$A$2:$C$6, 2, FALSE)</f>
        <v>34.052199999999999</v>
      </c>
      <c r="Q42">
        <f>VLOOKUP(O42, Coordinates!$A$2:$C$6, 3, FALSE)</f>
        <v>-118.2437</v>
      </c>
      <c r="R42">
        <v>22</v>
      </c>
      <c r="S42">
        <v>642</v>
      </c>
      <c r="T42">
        <v>30</v>
      </c>
      <c r="U42">
        <v>87.3350697215552</v>
      </c>
      <c r="V42" t="s">
        <v>39</v>
      </c>
      <c r="W42">
        <v>4.0526289218234304</v>
      </c>
      <c r="X42" t="s">
        <v>40</v>
      </c>
      <c r="Y42" t="s">
        <v>41</v>
      </c>
      <c r="Z42">
        <v>443.03457842878203</v>
      </c>
    </row>
    <row r="43" spans="1:26" x14ac:dyDescent="0.3">
      <c r="A43" t="s">
        <v>72</v>
      </c>
      <c r="B43" t="s">
        <v>99</v>
      </c>
      <c r="C43">
        <v>29.520005727180401</v>
      </c>
      <c r="D43">
        <v>22</v>
      </c>
      <c r="E43">
        <v>775</v>
      </c>
      <c r="F43">
        <v>20590.203994708299</v>
      </c>
      <c r="G43" t="s">
        <v>54</v>
      </c>
      <c r="H43">
        <v>14</v>
      </c>
      <c r="I43">
        <v>24</v>
      </c>
      <c r="J43">
        <v>99</v>
      </c>
      <c r="K43">
        <v>1</v>
      </c>
      <c r="L43" t="s">
        <v>44</v>
      </c>
      <c r="M43">
        <v>5.5391344398290796</v>
      </c>
      <c r="N43" t="s">
        <v>45</v>
      </c>
      <c r="O43" t="s">
        <v>38</v>
      </c>
      <c r="P43">
        <f>VLOOKUP(O43, Coordinates!$A$2:$C$6, 2, FALSE)</f>
        <v>25.761700000000001</v>
      </c>
      <c r="Q43">
        <f>VLOOKUP(O43, Coordinates!$A$2:$C$6, 3, FALSE)</f>
        <v>-80.191800000000001</v>
      </c>
      <c r="R43">
        <v>25</v>
      </c>
      <c r="S43">
        <v>569</v>
      </c>
      <c r="T43">
        <v>19</v>
      </c>
      <c r="U43">
        <v>85.087343996389393</v>
      </c>
      <c r="V43" t="s">
        <v>55</v>
      </c>
      <c r="W43">
        <v>4.2991670152540697</v>
      </c>
      <c r="X43" t="s">
        <v>31</v>
      </c>
      <c r="Y43" t="s">
        <v>60</v>
      </c>
      <c r="Z43">
        <v>682.1033463</v>
      </c>
    </row>
    <row r="44" spans="1:26" x14ac:dyDescent="0.3">
      <c r="A44" t="s">
        <v>24</v>
      </c>
      <c r="B44" t="s">
        <v>100</v>
      </c>
      <c r="C44">
        <v>34.920073454784699</v>
      </c>
      <c r="D44">
        <v>34</v>
      </c>
      <c r="E44">
        <v>815</v>
      </c>
      <c r="F44">
        <v>25613.8738790846</v>
      </c>
      <c r="G44" t="s">
        <v>48</v>
      </c>
      <c r="H44">
        <v>43</v>
      </c>
      <c r="I44">
        <v>30</v>
      </c>
      <c r="J44">
        <v>49</v>
      </c>
      <c r="K44">
        <v>4</v>
      </c>
      <c r="L44" t="s">
        <v>27</v>
      </c>
      <c r="M44">
        <v>11.410927317836</v>
      </c>
      <c r="N44" t="s">
        <v>51</v>
      </c>
      <c r="O44" t="s">
        <v>65</v>
      </c>
      <c r="P44">
        <f>VLOOKUP(O44, Coordinates!$A$2:$C$6, 2, FALSE)</f>
        <v>41.878100000000003</v>
      </c>
      <c r="Q44">
        <f>VLOOKUP(O44, Coordinates!$A$2:$C$6, 3, FALSE)</f>
        <v>-87.629800000000003</v>
      </c>
      <c r="R44">
        <v>18</v>
      </c>
      <c r="S44">
        <v>488</v>
      </c>
      <c r="T44">
        <v>27</v>
      </c>
      <c r="U44">
        <v>85.926465938717499</v>
      </c>
      <c r="V44" t="s">
        <v>30</v>
      </c>
      <c r="W44">
        <v>3.5180391403504201</v>
      </c>
      <c r="X44" t="s">
        <v>52</v>
      </c>
      <c r="Y44" t="s">
        <v>32</v>
      </c>
      <c r="Z44">
        <v>370.67172087623402</v>
      </c>
    </row>
    <row r="45" spans="1:26" x14ac:dyDescent="0.3">
      <c r="A45" t="s">
        <v>72</v>
      </c>
      <c r="B45" t="s">
        <v>101</v>
      </c>
      <c r="C45">
        <v>24.8084427469555</v>
      </c>
      <c r="D45">
        <v>55</v>
      </c>
      <c r="E45">
        <v>419</v>
      </c>
      <c r="F45">
        <v>9355.2637598769397</v>
      </c>
      <c r="G45" t="s">
        <v>48</v>
      </c>
      <c r="H45">
        <v>85</v>
      </c>
      <c r="I45">
        <v>8</v>
      </c>
      <c r="J45">
        <v>51</v>
      </c>
      <c r="K45">
        <v>9</v>
      </c>
      <c r="L45" t="s">
        <v>27</v>
      </c>
      <c r="M45">
        <v>3.8415999783415402</v>
      </c>
      <c r="N45" t="s">
        <v>51</v>
      </c>
      <c r="O45" t="s">
        <v>58</v>
      </c>
      <c r="P45">
        <f>VLOOKUP(O45, Coordinates!$A$2:$C$6, 2, FALSE)</f>
        <v>34.052199999999999</v>
      </c>
      <c r="Q45">
        <f>VLOOKUP(O45, Coordinates!$A$2:$C$6, 3, FALSE)</f>
        <v>-118.2437</v>
      </c>
      <c r="R45">
        <v>6</v>
      </c>
      <c r="S45">
        <v>520</v>
      </c>
      <c r="T45">
        <v>17</v>
      </c>
      <c r="U45">
        <v>92.913997280000004</v>
      </c>
      <c r="V45" t="s">
        <v>30</v>
      </c>
      <c r="W45">
        <v>4.6045255798248803</v>
      </c>
      <c r="X45" t="s">
        <v>52</v>
      </c>
      <c r="Y45" t="s">
        <v>41</v>
      </c>
      <c r="Z45">
        <v>744.155532765423</v>
      </c>
    </row>
    <row r="46" spans="1:26" x14ac:dyDescent="0.3">
      <c r="A46" t="s">
        <v>49</v>
      </c>
      <c r="B46" t="s">
        <v>102</v>
      </c>
      <c r="C46">
        <v>80.082084906714002</v>
      </c>
      <c r="D46">
        <v>29</v>
      </c>
      <c r="E46">
        <v>202</v>
      </c>
      <c r="F46">
        <v>4395.2678714412496</v>
      </c>
      <c r="G46" t="s">
        <v>26</v>
      </c>
      <c r="H46">
        <v>91</v>
      </c>
      <c r="I46">
        <v>3</v>
      </c>
      <c r="J46">
        <v>60</v>
      </c>
      <c r="K46">
        <v>5</v>
      </c>
      <c r="L46" t="s">
        <v>27</v>
      </c>
      <c r="M46">
        <v>3.8270721449724299</v>
      </c>
      <c r="N46" t="s">
        <v>57</v>
      </c>
      <c r="O46" t="s">
        <v>29</v>
      </c>
      <c r="P46">
        <f>VLOOKUP(O46, Coordinates!$A$2:$C$6, 2, FALSE)</f>
        <v>29.760400000000001</v>
      </c>
      <c r="Q46">
        <f>VLOOKUP(O46, Coordinates!$A$2:$C$6, 3, FALSE)</f>
        <v>-95.369799999999998</v>
      </c>
      <c r="R46">
        <v>30</v>
      </c>
      <c r="S46">
        <v>612</v>
      </c>
      <c r="T46">
        <v>28</v>
      </c>
      <c r="U46">
        <v>90.121988119999997</v>
      </c>
      <c r="V46" t="s">
        <v>39</v>
      </c>
      <c r="W46">
        <v>4.0604659007339698</v>
      </c>
      <c r="X46" t="s">
        <v>52</v>
      </c>
      <c r="Y46" t="s">
        <v>41</v>
      </c>
      <c r="Z46">
        <v>657.01250601057302</v>
      </c>
    </row>
    <row r="47" spans="1:26" x14ac:dyDescent="0.3">
      <c r="A47" t="s">
        <v>33</v>
      </c>
      <c r="B47" t="s">
        <v>103</v>
      </c>
      <c r="C47">
        <v>60.304081829097299</v>
      </c>
      <c r="D47">
        <v>38</v>
      </c>
      <c r="E47">
        <v>327</v>
      </c>
      <c r="F47">
        <v>6976.6670907984999</v>
      </c>
      <c r="G47" t="s">
        <v>35</v>
      </c>
      <c r="H47">
        <v>8</v>
      </c>
      <c r="I47">
        <v>1</v>
      </c>
      <c r="J47">
        <v>44</v>
      </c>
      <c r="K47">
        <v>10</v>
      </c>
      <c r="L47" t="s">
        <v>36</v>
      </c>
      <c r="M47">
        <v>10.750097511685301</v>
      </c>
      <c r="N47" t="s">
        <v>51</v>
      </c>
      <c r="O47" t="s">
        <v>65</v>
      </c>
      <c r="P47">
        <f>VLOOKUP(O47, Coordinates!$A$2:$C$6, 2, FALSE)</f>
        <v>41.878100000000003</v>
      </c>
      <c r="Q47">
        <f>VLOOKUP(O47, Coordinates!$A$2:$C$6, 3, FALSE)</f>
        <v>-87.629800000000003</v>
      </c>
      <c r="R47">
        <v>10</v>
      </c>
      <c r="S47">
        <v>809</v>
      </c>
      <c r="T47">
        <v>16</v>
      </c>
      <c r="U47">
        <v>80.724972249999993</v>
      </c>
      <c r="V47" t="s">
        <v>30</v>
      </c>
      <c r="W47">
        <v>3.0492953026857799</v>
      </c>
      <c r="X47" t="s">
        <v>31</v>
      </c>
      <c r="Y47" t="s">
        <v>60</v>
      </c>
      <c r="Z47">
        <v>527.03557527354894</v>
      </c>
    </row>
    <row r="48" spans="1:26" x14ac:dyDescent="0.3">
      <c r="A48" t="s">
        <v>24</v>
      </c>
      <c r="B48" t="s">
        <v>104</v>
      </c>
      <c r="C48">
        <v>29.723140144350001</v>
      </c>
      <c r="D48">
        <v>97</v>
      </c>
      <c r="E48">
        <v>60</v>
      </c>
      <c r="F48">
        <v>1605.0495677949</v>
      </c>
      <c r="G48" t="s">
        <v>26</v>
      </c>
      <c r="H48">
        <v>33</v>
      </c>
      <c r="I48">
        <v>20</v>
      </c>
      <c r="J48">
        <v>50</v>
      </c>
      <c r="K48">
        <v>6</v>
      </c>
      <c r="L48" t="s">
        <v>36</v>
      </c>
      <c r="M48">
        <v>13.133891422652599</v>
      </c>
      <c r="N48" t="s">
        <v>28</v>
      </c>
      <c r="O48" t="s">
        <v>67</v>
      </c>
      <c r="P48">
        <f>VLOOKUP(O48, Coordinates!$A$2:$C$6, 2, FALSE)</f>
        <v>40.712800000000001</v>
      </c>
      <c r="Q48">
        <f>VLOOKUP(O48, Coordinates!$A$2:$C$6, 3, FALSE)</f>
        <v>-74.006</v>
      </c>
      <c r="R48">
        <v>18</v>
      </c>
      <c r="S48">
        <v>656</v>
      </c>
      <c r="T48">
        <v>19</v>
      </c>
      <c r="U48">
        <v>81.017170325780896</v>
      </c>
      <c r="V48" t="s">
        <v>30</v>
      </c>
      <c r="W48">
        <v>3.2935135310481298</v>
      </c>
      <c r="X48" t="s">
        <v>31</v>
      </c>
      <c r="Y48" t="s">
        <v>60</v>
      </c>
      <c r="Z48">
        <v>187.00519035791899</v>
      </c>
    </row>
    <row r="49" spans="1:26" x14ac:dyDescent="0.3">
      <c r="A49" t="s">
        <v>33</v>
      </c>
      <c r="B49" t="s">
        <v>105</v>
      </c>
      <c r="C49">
        <v>23.0210105765943</v>
      </c>
      <c r="D49">
        <v>18</v>
      </c>
      <c r="E49">
        <v>905</v>
      </c>
      <c r="F49">
        <v>2143.30218375908</v>
      </c>
      <c r="G49" t="s">
        <v>48</v>
      </c>
      <c r="H49">
        <v>0</v>
      </c>
      <c r="I49">
        <v>30</v>
      </c>
      <c r="J49">
        <v>94</v>
      </c>
      <c r="K49">
        <v>3</v>
      </c>
      <c r="L49" t="s">
        <v>27</v>
      </c>
      <c r="M49">
        <v>4.3769517529598101</v>
      </c>
      <c r="N49" t="s">
        <v>51</v>
      </c>
      <c r="O49" t="s">
        <v>67</v>
      </c>
      <c r="P49">
        <f>VLOOKUP(O49, Coordinates!$A$2:$C$6, 2, FALSE)</f>
        <v>40.712800000000001</v>
      </c>
      <c r="Q49">
        <f>VLOOKUP(O49, Coordinates!$A$2:$C$6, 3, FALSE)</f>
        <v>-74.006</v>
      </c>
      <c r="R49">
        <v>24</v>
      </c>
      <c r="S49">
        <v>658</v>
      </c>
      <c r="T49">
        <v>5</v>
      </c>
      <c r="U49">
        <v>15.8898252092548</v>
      </c>
      <c r="V49" t="s">
        <v>30</v>
      </c>
      <c r="W49">
        <v>0.73634212082605899</v>
      </c>
      <c r="X49" t="s">
        <v>31</v>
      </c>
      <c r="Y49" t="s">
        <v>32</v>
      </c>
      <c r="Z49">
        <v>664.27134513511498</v>
      </c>
    </row>
    <row r="50" spans="1:26" x14ac:dyDescent="0.3">
      <c r="A50" t="s">
        <v>82</v>
      </c>
      <c r="B50" t="s">
        <v>106</v>
      </c>
      <c r="C50">
        <v>63.800078335733502</v>
      </c>
      <c r="D50">
        <v>71</v>
      </c>
      <c r="E50">
        <v>207</v>
      </c>
      <c r="F50">
        <v>1526.8294007204499</v>
      </c>
      <c r="G50" t="s">
        <v>54</v>
      </c>
      <c r="H50">
        <v>72</v>
      </c>
      <c r="I50">
        <v>16</v>
      </c>
      <c r="J50">
        <v>66</v>
      </c>
      <c r="K50">
        <v>5</v>
      </c>
      <c r="L50" t="s">
        <v>27</v>
      </c>
      <c r="M50">
        <v>3.6757496496700099</v>
      </c>
      <c r="N50" t="s">
        <v>28</v>
      </c>
      <c r="O50" t="s">
        <v>67</v>
      </c>
      <c r="P50">
        <f>VLOOKUP(O50, Coordinates!$A$2:$C$6, 2, FALSE)</f>
        <v>40.712800000000001</v>
      </c>
      <c r="Q50">
        <f>VLOOKUP(O50, Coordinates!$A$2:$C$6, 3, FALSE)</f>
        <v>-74.006</v>
      </c>
      <c r="R50">
        <v>7</v>
      </c>
      <c r="S50">
        <v>833</v>
      </c>
      <c r="T50">
        <v>22</v>
      </c>
      <c r="U50">
        <v>57.317014460668901</v>
      </c>
      <c r="V50" t="s">
        <v>30</v>
      </c>
      <c r="W50">
        <v>2.3508383988529902</v>
      </c>
      <c r="X50" t="s">
        <v>52</v>
      </c>
      <c r="Y50" t="s">
        <v>60</v>
      </c>
      <c r="Z50">
        <v>873.35106272502503</v>
      </c>
    </row>
    <row r="51" spans="1:26" x14ac:dyDescent="0.3">
      <c r="A51" t="s">
        <v>49</v>
      </c>
      <c r="B51" t="s">
        <v>107</v>
      </c>
      <c r="C51">
        <v>35.73253751659</v>
      </c>
      <c r="D51">
        <v>65</v>
      </c>
      <c r="E51">
        <v>787</v>
      </c>
      <c r="F51">
        <v>3748.72148688476</v>
      </c>
      <c r="G51" t="s">
        <v>54</v>
      </c>
      <c r="H51">
        <v>14</v>
      </c>
      <c r="I51">
        <v>9</v>
      </c>
      <c r="J51">
        <v>47</v>
      </c>
      <c r="K51">
        <v>1</v>
      </c>
      <c r="L51" t="s">
        <v>44</v>
      </c>
      <c r="M51">
        <v>10.3842823380705</v>
      </c>
      <c r="N51" t="s">
        <v>57</v>
      </c>
      <c r="O51" t="s">
        <v>58</v>
      </c>
      <c r="P51">
        <f>VLOOKUP(O51, Coordinates!$A$2:$C$6, 2, FALSE)</f>
        <v>34.052199999999999</v>
      </c>
      <c r="Q51">
        <f>VLOOKUP(O51, Coordinates!$A$2:$C$6, 3, FALSE)</f>
        <v>-118.2437</v>
      </c>
      <c r="R51">
        <v>14</v>
      </c>
      <c r="S51">
        <v>897</v>
      </c>
      <c r="T51">
        <v>19</v>
      </c>
      <c r="U51">
        <v>21.665711786042099</v>
      </c>
      <c r="V51" t="s">
        <v>55</v>
      </c>
      <c r="W51">
        <v>1.50498823841833</v>
      </c>
      <c r="X51" t="s">
        <v>31</v>
      </c>
      <c r="Y51" t="s">
        <v>60</v>
      </c>
      <c r="Z51">
        <v>253.96695638665301</v>
      </c>
    </row>
    <row r="52" spans="1:26" x14ac:dyDescent="0.3">
      <c r="A52" t="s">
        <v>42</v>
      </c>
      <c r="B52" t="s">
        <v>108</v>
      </c>
      <c r="C52">
        <v>84.258819765702896</v>
      </c>
      <c r="D52">
        <v>97</v>
      </c>
      <c r="E52">
        <v>625</v>
      </c>
      <c r="F52">
        <v>2418.9492411721699</v>
      </c>
      <c r="G52" t="s">
        <v>35</v>
      </c>
      <c r="H52">
        <v>61</v>
      </c>
      <c r="I52">
        <v>17</v>
      </c>
      <c r="J52">
        <v>81</v>
      </c>
      <c r="K52">
        <v>8</v>
      </c>
      <c r="L52" t="s">
        <v>36</v>
      </c>
      <c r="M52">
        <v>9.6912353048241293</v>
      </c>
      <c r="N52" t="s">
        <v>28</v>
      </c>
      <c r="O52" t="s">
        <v>65</v>
      </c>
      <c r="P52">
        <f>VLOOKUP(O52, Coordinates!$A$2:$C$6, 2, FALSE)</f>
        <v>41.878100000000003</v>
      </c>
      <c r="Q52">
        <f>VLOOKUP(O52, Coordinates!$A$2:$C$6, 3, FALSE)</f>
        <v>-87.629800000000003</v>
      </c>
      <c r="R52">
        <v>22</v>
      </c>
      <c r="S52">
        <v>180</v>
      </c>
      <c r="T52">
        <v>4</v>
      </c>
      <c r="U52">
        <v>51.493081524143598</v>
      </c>
      <c r="V52" t="s">
        <v>30</v>
      </c>
      <c r="W52">
        <v>2.15985317249958</v>
      </c>
      <c r="X52" t="s">
        <v>31</v>
      </c>
      <c r="Y52" t="s">
        <v>32</v>
      </c>
      <c r="Z52">
        <v>176.24751879485399</v>
      </c>
    </row>
    <row r="53" spans="1:26" x14ac:dyDescent="0.3">
      <c r="A53" t="s">
        <v>49</v>
      </c>
      <c r="B53" t="s">
        <v>109</v>
      </c>
      <c r="C53">
        <v>64.783386571019903</v>
      </c>
      <c r="D53">
        <v>1</v>
      </c>
      <c r="E53">
        <v>632</v>
      </c>
      <c r="F53">
        <v>2566.0940321451098</v>
      </c>
      <c r="G53" t="s">
        <v>35</v>
      </c>
      <c r="H53">
        <v>44</v>
      </c>
      <c r="I53">
        <v>27</v>
      </c>
      <c r="J53">
        <v>17</v>
      </c>
      <c r="K53">
        <v>6</v>
      </c>
      <c r="L53" t="s">
        <v>36</v>
      </c>
      <c r="M53">
        <v>7.2615328512745698</v>
      </c>
      <c r="N53" t="s">
        <v>45</v>
      </c>
      <c r="O53" t="s">
        <v>38</v>
      </c>
      <c r="P53">
        <f>VLOOKUP(O53, Coordinates!$A$2:$C$6, 2, FALSE)</f>
        <v>25.761700000000001</v>
      </c>
      <c r="Q53">
        <f>VLOOKUP(O53, Coordinates!$A$2:$C$6, 3, FALSE)</f>
        <v>-80.191800000000001</v>
      </c>
      <c r="R53">
        <v>26</v>
      </c>
      <c r="S53">
        <v>543</v>
      </c>
      <c r="T53">
        <v>5</v>
      </c>
      <c r="U53">
        <v>95.916726870801995</v>
      </c>
      <c r="V53" t="s">
        <v>55</v>
      </c>
      <c r="W53">
        <v>4.2826985627238399</v>
      </c>
      <c r="X53" t="s">
        <v>31</v>
      </c>
      <c r="Y53" t="s">
        <v>60</v>
      </c>
      <c r="Z53">
        <v>135.611905169625</v>
      </c>
    </row>
    <row r="54" spans="1:26" x14ac:dyDescent="0.3">
      <c r="A54" t="s">
        <v>24</v>
      </c>
      <c r="B54" t="s">
        <v>110</v>
      </c>
      <c r="C54">
        <v>34.655845567623601</v>
      </c>
      <c r="D54">
        <v>88</v>
      </c>
      <c r="E54">
        <v>608</v>
      </c>
      <c r="F54">
        <v>18963.678694603601</v>
      </c>
      <c r="G54" t="s">
        <v>35</v>
      </c>
      <c r="H54">
        <v>83</v>
      </c>
      <c r="I54">
        <v>16</v>
      </c>
      <c r="J54">
        <v>83</v>
      </c>
      <c r="K54">
        <v>2</v>
      </c>
      <c r="L54" t="s">
        <v>44</v>
      </c>
      <c r="M54">
        <v>2.3420489578765902</v>
      </c>
      <c r="N54" t="s">
        <v>51</v>
      </c>
      <c r="O54" t="s">
        <v>65</v>
      </c>
      <c r="P54">
        <f>VLOOKUP(O54, Coordinates!$A$2:$C$6, 2, FALSE)</f>
        <v>41.878100000000003</v>
      </c>
      <c r="Q54">
        <f>VLOOKUP(O54, Coordinates!$A$2:$C$6, 3, FALSE)</f>
        <v>-87.629800000000003</v>
      </c>
      <c r="R54">
        <v>10</v>
      </c>
      <c r="S54">
        <v>891</v>
      </c>
      <c r="T54">
        <v>5</v>
      </c>
      <c r="U54">
        <v>75.261895891257396</v>
      </c>
      <c r="V54" t="s">
        <v>39</v>
      </c>
      <c r="W54">
        <v>0.74575546800000003</v>
      </c>
      <c r="X54" t="s">
        <v>40</v>
      </c>
      <c r="Y54" t="s">
        <v>60</v>
      </c>
      <c r="Z54">
        <v>128.63686402805899</v>
      </c>
    </row>
    <row r="55" spans="1:26" x14ac:dyDescent="0.3">
      <c r="A55" t="s">
        <v>42</v>
      </c>
      <c r="B55" t="s">
        <v>111</v>
      </c>
      <c r="C55">
        <v>11.1385845851881</v>
      </c>
      <c r="D55">
        <v>4</v>
      </c>
      <c r="E55">
        <v>142</v>
      </c>
      <c r="F55">
        <v>1142.54263850386</v>
      </c>
      <c r="G55" t="s">
        <v>48</v>
      </c>
      <c r="H55">
        <v>71</v>
      </c>
      <c r="I55">
        <v>23</v>
      </c>
      <c r="J55">
        <v>72</v>
      </c>
      <c r="K55">
        <v>4</v>
      </c>
      <c r="L55" t="s">
        <v>44</v>
      </c>
      <c r="M55">
        <v>2.2849960337462201</v>
      </c>
      <c r="N55" t="s">
        <v>37</v>
      </c>
      <c r="O55" t="s">
        <v>58</v>
      </c>
      <c r="P55">
        <f>VLOOKUP(O55, Coordinates!$A$2:$C$6, 2, FALSE)</f>
        <v>34.052199999999999</v>
      </c>
      <c r="Q55">
        <f>VLOOKUP(O55, Coordinates!$A$2:$C$6, 3, FALSE)</f>
        <v>-118.2437</v>
      </c>
      <c r="R55">
        <v>22</v>
      </c>
      <c r="S55">
        <v>386</v>
      </c>
      <c r="T55">
        <v>25</v>
      </c>
      <c r="U55">
        <v>54.002144243416602</v>
      </c>
      <c r="V55" t="s">
        <v>39</v>
      </c>
      <c r="W55">
        <v>8.6879817999999998E-2</v>
      </c>
      <c r="X55" t="s">
        <v>40</v>
      </c>
      <c r="Y55" t="s">
        <v>60</v>
      </c>
      <c r="Z55">
        <v>857.86225604031802</v>
      </c>
    </row>
    <row r="56" spans="1:26" x14ac:dyDescent="0.3">
      <c r="A56" t="s">
        <v>82</v>
      </c>
      <c r="B56" t="s">
        <v>112</v>
      </c>
      <c r="D56">
        <v>4</v>
      </c>
      <c r="E56">
        <v>426</v>
      </c>
      <c r="F56">
        <v>6020.2911320000003</v>
      </c>
      <c r="G56" t="s">
        <v>48</v>
      </c>
      <c r="H56">
        <v>57</v>
      </c>
      <c r="I56">
        <v>6</v>
      </c>
      <c r="J56">
        <v>96</v>
      </c>
      <c r="K56">
        <v>4</v>
      </c>
      <c r="L56" t="s">
        <v>44</v>
      </c>
      <c r="M56">
        <v>11.882785046620899</v>
      </c>
      <c r="N56" t="s">
        <v>37</v>
      </c>
      <c r="O56" t="s">
        <v>29</v>
      </c>
      <c r="P56">
        <f>VLOOKUP(O56, Coordinates!$A$2:$C$6, 2, FALSE)</f>
        <v>29.760400000000001</v>
      </c>
      <c r="Q56">
        <f>VLOOKUP(O56, Coordinates!$A$2:$C$6, 3, FALSE)</f>
        <v>-95.369799999999998</v>
      </c>
      <c r="R56">
        <v>25</v>
      </c>
      <c r="S56">
        <v>383</v>
      </c>
      <c r="T56">
        <v>24</v>
      </c>
      <c r="U56">
        <v>44.583366706126199</v>
      </c>
      <c r="V56" t="s">
        <v>39</v>
      </c>
      <c r="W56">
        <v>1.9846220161636401</v>
      </c>
      <c r="X56" t="s">
        <v>31</v>
      </c>
      <c r="Y56" t="s">
        <v>60</v>
      </c>
      <c r="Z56">
        <v>754.853446431061</v>
      </c>
    </row>
    <row r="57" spans="1:26" x14ac:dyDescent="0.3">
      <c r="A57" t="s">
        <v>24</v>
      </c>
      <c r="B57" t="s">
        <v>113</v>
      </c>
      <c r="C57">
        <v>29.6751041991546</v>
      </c>
      <c r="D57">
        <v>82</v>
      </c>
      <c r="E57">
        <v>819</v>
      </c>
      <c r="F57">
        <v>21873.519305196802</v>
      </c>
      <c r="G57" t="s">
        <v>35</v>
      </c>
      <c r="H57">
        <v>91</v>
      </c>
      <c r="I57">
        <v>30</v>
      </c>
      <c r="J57">
        <v>13</v>
      </c>
      <c r="K57">
        <v>9</v>
      </c>
      <c r="L57" t="s">
        <v>27</v>
      </c>
      <c r="M57">
        <v>7.3247676435395901</v>
      </c>
      <c r="N57" t="s">
        <v>28</v>
      </c>
      <c r="O57" t="s">
        <v>29</v>
      </c>
      <c r="P57">
        <f>VLOOKUP(O57, Coordinates!$A$2:$C$6, 2, FALSE)</f>
        <v>29.760400000000001</v>
      </c>
      <c r="Q57">
        <f>VLOOKUP(O57, Coordinates!$A$2:$C$6, 3, FALSE)</f>
        <v>-95.369799999999998</v>
      </c>
      <c r="R57">
        <v>9</v>
      </c>
      <c r="S57">
        <v>590</v>
      </c>
      <c r="T57">
        <v>1</v>
      </c>
      <c r="U57">
        <v>88.912936003268598</v>
      </c>
      <c r="V57" t="s">
        <v>30</v>
      </c>
      <c r="W57">
        <v>1.6109215724402799</v>
      </c>
      <c r="X57" t="s">
        <v>31</v>
      </c>
      <c r="Y57" t="s">
        <v>32</v>
      </c>
      <c r="Z57">
        <v>282.06850141624199</v>
      </c>
    </row>
    <row r="58" spans="1:26" x14ac:dyDescent="0.3">
      <c r="A58" t="s">
        <v>61</v>
      </c>
      <c r="B58" t="s">
        <v>114</v>
      </c>
      <c r="C58">
        <v>30.2558579821597</v>
      </c>
      <c r="D58">
        <v>27</v>
      </c>
      <c r="E58">
        <v>61</v>
      </c>
      <c r="F58">
        <v>5558.9499991769198</v>
      </c>
      <c r="G58" t="s">
        <v>54</v>
      </c>
      <c r="H58">
        <v>18</v>
      </c>
      <c r="I58">
        <v>23</v>
      </c>
      <c r="J58">
        <v>57</v>
      </c>
      <c r="K58">
        <v>9</v>
      </c>
      <c r="L58" t="s">
        <v>27</v>
      </c>
      <c r="M58">
        <v>13.0115392773818</v>
      </c>
      <c r="N58" t="s">
        <v>57</v>
      </c>
      <c r="O58" t="s">
        <v>29</v>
      </c>
      <c r="P58">
        <f>VLOOKUP(O58, Coordinates!$A$2:$C$6, 2, FALSE)</f>
        <v>29.760400000000001</v>
      </c>
      <c r="Q58">
        <f>VLOOKUP(O58, Coordinates!$A$2:$C$6, 3, FALSE)</f>
        <v>-95.369799999999998</v>
      </c>
      <c r="R58">
        <v>26</v>
      </c>
      <c r="S58">
        <v>487</v>
      </c>
      <c r="T58">
        <v>18</v>
      </c>
      <c r="U58">
        <v>27.446043758640201</v>
      </c>
      <c r="V58" t="s">
        <v>30</v>
      </c>
      <c r="W58">
        <v>2.1021602985085299</v>
      </c>
      <c r="X58" t="s">
        <v>52</v>
      </c>
      <c r="Y58" t="s">
        <v>32</v>
      </c>
      <c r="Z58">
        <v>925.40577683453103</v>
      </c>
    </row>
    <row r="59" spans="1:26" x14ac:dyDescent="0.3">
      <c r="A59" t="s">
        <v>33</v>
      </c>
      <c r="B59" t="s">
        <v>115</v>
      </c>
      <c r="C59">
        <v>66.378561728938195</v>
      </c>
      <c r="D59">
        <v>43</v>
      </c>
      <c r="E59">
        <v>566</v>
      </c>
      <c r="F59">
        <v>6065.4721349314204</v>
      </c>
      <c r="G59" t="s">
        <v>54</v>
      </c>
      <c r="H59">
        <v>15</v>
      </c>
      <c r="I59">
        <v>7</v>
      </c>
      <c r="J59">
        <v>61</v>
      </c>
      <c r="K59">
        <v>5</v>
      </c>
      <c r="L59" t="s">
        <v>27</v>
      </c>
      <c r="M59">
        <v>9.0462711215440699</v>
      </c>
      <c r="N59" t="s">
        <v>28</v>
      </c>
      <c r="O59" t="s">
        <v>58</v>
      </c>
      <c r="P59">
        <f>VLOOKUP(O59, Coordinates!$A$2:$C$6, 2, FALSE)</f>
        <v>34.052199999999999</v>
      </c>
      <c r="Q59">
        <f>VLOOKUP(O59, Coordinates!$A$2:$C$6, 3, FALSE)</f>
        <v>-118.2437</v>
      </c>
      <c r="R59">
        <v>10</v>
      </c>
      <c r="S59">
        <v>800</v>
      </c>
      <c r="T59">
        <v>28</v>
      </c>
      <c r="U59">
        <v>33.394536109999997</v>
      </c>
      <c r="V59" t="s">
        <v>55</v>
      </c>
      <c r="W59">
        <v>4.6561046018449002</v>
      </c>
      <c r="X59" t="s">
        <v>46</v>
      </c>
      <c r="Y59" t="s">
        <v>60</v>
      </c>
      <c r="Z59">
        <v>221.80583260755</v>
      </c>
    </row>
    <row r="60" spans="1:26" x14ac:dyDescent="0.3">
      <c r="A60" t="s">
        <v>82</v>
      </c>
      <c r="B60" t="s">
        <v>116</v>
      </c>
      <c r="C60">
        <v>52.436714322968697</v>
      </c>
      <c r="D60">
        <v>59</v>
      </c>
      <c r="E60">
        <v>75</v>
      </c>
      <c r="F60">
        <v>3820.3092501155002</v>
      </c>
      <c r="H60">
        <v>74</v>
      </c>
      <c r="I60">
        <v>24</v>
      </c>
      <c r="J60">
        <v>47</v>
      </c>
      <c r="K60">
        <v>3</v>
      </c>
      <c r="L60" t="s">
        <v>27</v>
      </c>
      <c r="M60">
        <v>9.6623339770468508</v>
      </c>
      <c r="N60" t="s">
        <v>28</v>
      </c>
      <c r="O60" t="s">
        <v>67</v>
      </c>
      <c r="P60">
        <f>VLOOKUP(O60, Coordinates!$A$2:$C$6, 2, FALSE)</f>
        <v>40.712800000000001</v>
      </c>
      <c r="Q60">
        <f>VLOOKUP(O60, Coordinates!$A$2:$C$6, 3, FALSE)</f>
        <v>-74.006</v>
      </c>
      <c r="R60">
        <v>2</v>
      </c>
      <c r="S60">
        <v>650</v>
      </c>
      <c r="T60">
        <v>15</v>
      </c>
      <c r="U60">
        <v>87.289106622760897</v>
      </c>
      <c r="V60" t="s">
        <v>30</v>
      </c>
      <c r="W60">
        <v>3.5354205060742099</v>
      </c>
      <c r="X60" t="s">
        <v>31</v>
      </c>
      <c r="Y60" t="s">
        <v>41</v>
      </c>
      <c r="Z60">
        <v>436.74646310000003</v>
      </c>
    </row>
    <row r="61" spans="1:26" x14ac:dyDescent="0.3">
      <c r="A61" t="s">
        <v>33</v>
      </c>
      <c r="B61" t="s">
        <v>117</v>
      </c>
      <c r="C61">
        <v>30.271831410511101</v>
      </c>
      <c r="D61">
        <v>32</v>
      </c>
      <c r="E61">
        <v>915</v>
      </c>
      <c r="F61">
        <v>3655.9797416585602</v>
      </c>
      <c r="G61" t="s">
        <v>48</v>
      </c>
      <c r="H61">
        <v>7</v>
      </c>
      <c r="I61">
        <v>16</v>
      </c>
      <c r="J61">
        <v>96</v>
      </c>
      <c r="K61">
        <v>1</v>
      </c>
      <c r="L61" t="s">
        <v>27</v>
      </c>
      <c r="M61">
        <v>14.0787221867197</v>
      </c>
      <c r="N61" t="s">
        <v>28</v>
      </c>
      <c r="O61" t="s">
        <v>58</v>
      </c>
      <c r="P61">
        <f>VLOOKUP(O61, Coordinates!$A$2:$C$6, 2, FALSE)</f>
        <v>34.052199999999999</v>
      </c>
      <c r="Q61">
        <f>VLOOKUP(O61, Coordinates!$A$2:$C$6, 3, FALSE)</f>
        <v>-118.2437</v>
      </c>
      <c r="R61">
        <v>3</v>
      </c>
      <c r="S61">
        <v>694</v>
      </c>
      <c r="T61">
        <v>21</v>
      </c>
      <c r="U61">
        <v>83.020260147430406</v>
      </c>
      <c r="V61" t="s">
        <v>30</v>
      </c>
      <c r="W61">
        <v>1.6372938729958</v>
      </c>
      <c r="X61" t="s">
        <v>52</v>
      </c>
      <c r="Y61" t="s">
        <v>32</v>
      </c>
      <c r="Z61">
        <v>506.89747429285899</v>
      </c>
    </row>
    <row r="62" spans="1:26" x14ac:dyDescent="0.3">
      <c r="A62" t="s">
        <v>72</v>
      </c>
      <c r="B62" t="s">
        <v>118</v>
      </c>
      <c r="C62">
        <v>29.162042639999999</v>
      </c>
      <c r="D62">
        <v>33</v>
      </c>
      <c r="E62">
        <v>918</v>
      </c>
      <c r="F62">
        <v>24093.679630999701</v>
      </c>
      <c r="G62" t="s">
        <v>26</v>
      </c>
      <c r="H62">
        <v>32</v>
      </c>
      <c r="I62">
        <v>8</v>
      </c>
      <c r="J62">
        <v>14</v>
      </c>
      <c r="K62">
        <v>6</v>
      </c>
      <c r="L62" t="s">
        <v>36</v>
      </c>
      <c r="M62">
        <v>3.3046225165521301</v>
      </c>
      <c r="N62" t="s">
        <v>45</v>
      </c>
      <c r="O62" t="s">
        <v>38</v>
      </c>
      <c r="P62">
        <f>VLOOKUP(O62, Coordinates!$A$2:$C$6, 2, FALSE)</f>
        <v>25.761700000000001</v>
      </c>
      <c r="Q62">
        <f>VLOOKUP(O62, Coordinates!$A$2:$C$6, 3, FALSE)</f>
        <v>-80.191800000000001</v>
      </c>
      <c r="R62">
        <v>30</v>
      </c>
      <c r="S62">
        <v>507</v>
      </c>
      <c r="T62">
        <v>28</v>
      </c>
      <c r="U62">
        <v>78.620273644715596</v>
      </c>
      <c r="V62" t="s">
        <v>39</v>
      </c>
      <c r="W62">
        <v>4.2122166931242102</v>
      </c>
      <c r="X62" t="s">
        <v>52</v>
      </c>
      <c r="Y62" t="s">
        <v>41</v>
      </c>
      <c r="Z62">
        <v>168.306176552019</v>
      </c>
    </row>
    <row r="63" spans="1:26" x14ac:dyDescent="0.3">
      <c r="A63" t="s">
        <v>61</v>
      </c>
      <c r="B63" t="s">
        <v>119</v>
      </c>
      <c r="C63">
        <v>17.0839774553077</v>
      </c>
      <c r="D63">
        <v>28</v>
      </c>
      <c r="E63">
        <v>598</v>
      </c>
      <c r="F63">
        <v>8841.4928930904098</v>
      </c>
      <c r="G63" t="s">
        <v>54</v>
      </c>
      <c r="H63">
        <v>73</v>
      </c>
      <c r="I63">
        <v>10</v>
      </c>
      <c r="J63">
        <v>94</v>
      </c>
      <c r="K63">
        <v>8</v>
      </c>
      <c r="L63" t="s">
        <v>36</v>
      </c>
      <c r="M63">
        <v>8.6023392101579397</v>
      </c>
      <c r="N63" t="s">
        <v>45</v>
      </c>
      <c r="O63" t="s">
        <v>38</v>
      </c>
      <c r="P63">
        <f>VLOOKUP(O63, Coordinates!$A$2:$C$6, 2, FALSE)</f>
        <v>25.761700000000001</v>
      </c>
      <c r="Q63">
        <f>VLOOKUP(O63, Coordinates!$A$2:$C$6, 3, FALSE)</f>
        <v>-80.191800000000001</v>
      </c>
      <c r="R63">
        <v>28</v>
      </c>
      <c r="S63">
        <v>426</v>
      </c>
      <c r="T63">
        <v>19</v>
      </c>
      <c r="U63">
        <v>79.382764838610598</v>
      </c>
      <c r="V63" t="s">
        <v>39</v>
      </c>
      <c r="W63">
        <v>3.8678978211470301</v>
      </c>
      <c r="X63" t="s">
        <v>46</v>
      </c>
      <c r="Y63" t="s">
        <v>60</v>
      </c>
      <c r="Z63">
        <v>412.72678167585002</v>
      </c>
    </row>
    <row r="64" spans="1:26" x14ac:dyDescent="0.3">
      <c r="A64" t="s">
        <v>61</v>
      </c>
      <c r="B64" t="s">
        <v>120</v>
      </c>
      <c r="C64">
        <v>87.142737253339604</v>
      </c>
      <c r="D64">
        <v>55</v>
      </c>
      <c r="E64">
        <v>376</v>
      </c>
      <c r="F64">
        <v>2733.2346921267499</v>
      </c>
      <c r="G64" t="s">
        <v>54</v>
      </c>
      <c r="H64">
        <v>17</v>
      </c>
      <c r="I64">
        <v>14</v>
      </c>
      <c r="J64">
        <v>79</v>
      </c>
      <c r="K64">
        <v>1</v>
      </c>
      <c r="L64" t="s">
        <v>36</v>
      </c>
      <c r="M64">
        <v>1.8139403995244801</v>
      </c>
      <c r="N64" t="s">
        <v>28</v>
      </c>
      <c r="O64" t="s">
        <v>65</v>
      </c>
      <c r="P64">
        <f>VLOOKUP(O64, Coordinates!$A$2:$C$6, 2, FALSE)</f>
        <v>41.878100000000003</v>
      </c>
      <c r="Q64">
        <f>VLOOKUP(O64, Coordinates!$A$2:$C$6, 3, FALSE)</f>
        <v>-87.629800000000003</v>
      </c>
      <c r="R64">
        <v>23</v>
      </c>
      <c r="S64">
        <v>275</v>
      </c>
      <c r="T64">
        <v>23</v>
      </c>
      <c r="U64">
        <v>51.349374411542101</v>
      </c>
      <c r="V64" t="s">
        <v>30</v>
      </c>
      <c r="W64">
        <v>3.28788125754751</v>
      </c>
      <c r="X64" t="s">
        <v>52</v>
      </c>
      <c r="Y64" t="s">
        <v>60</v>
      </c>
      <c r="Z64">
        <v>191.69262716742301</v>
      </c>
    </row>
    <row r="65" spans="1:26" x14ac:dyDescent="0.3">
      <c r="A65" t="s">
        <v>82</v>
      </c>
      <c r="B65" t="s">
        <v>121</v>
      </c>
      <c r="C65">
        <v>28.130406998462298</v>
      </c>
      <c r="D65">
        <v>100</v>
      </c>
      <c r="E65">
        <v>621</v>
      </c>
      <c r="F65">
        <v>1878.5688448163401</v>
      </c>
      <c r="G65" t="s">
        <v>54</v>
      </c>
      <c r="H65">
        <v>34</v>
      </c>
      <c r="I65">
        <v>11</v>
      </c>
      <c r="J65">
        <v>90</v>
      </c>
      <c r="K65">
        <v>1</v>
      </c>
      <c r="L65" t="s">
        <v>44</v>
      </c>
      <c r="M65">
        <v>6.0249506703496598</v>
      </c>
      <c r="N65" t="s">
        <v>57</v>
      </c>
      <c r="O65" t="s">
        <v>58</v>
      </c>
      <c r="P65">
        <f>VLOOKUP(O65, Coordinates!$A$2:$C$6, 2, FALSE)</f>
        <v>34.052199999999999</v>
      </c>
      <c r="Q65">
        <f>VLOOKUP(O65, Coordinates!$A$2:$C$6, 3, FALSE)</f>
        <v>-118.2437</v>
      </c>
      <c r="R65">
        <v>11</v>
      </c>
      <c r="S65">
        <v>620</v>
      </c>
      <c r="T65">
        <v>14</v>
      </c>
      <c r="U65">
        <v>75.6001695278987</v>
      </c>
      <c r="V65" t="s">
        <v>30</v>
      </c>
      <c r="W65">
        <v>2.41811341938917</v>
      </c>
      <c r="X65" t="s">
        <v>46</v>
      </c>
      <c r="Y65" t="s">
        <v>32</v>
      </c>
      <c r="Z65">
        <v>810.79695167798604</v>
      </c>
    </row>
    <row r="66" spans="1:26" x14ac:dyDescent="0.3">
      <c r="A66" t="s">
        <v>61</v>
      </c>
      <c r="B66" t="s">
        <v>122</v>
      </c>
      <c r="C66">
        <v>66.912511550000005</v>
      </c>
      <c r="D66">
        <v>60</v>
      </c>
      <c r="E66">
        <v>604</v>
      </c>
      <c r="F66">
        <v>9080.1622575282308</v>
      </c>
      <c r="G66" t="s">
        <v>35</v>
      </c>
      <c r="H66">
        <v>42</v>
      </c>
      <c r="I66">
        <v>2</v>
      </c>
      <c r="J66">
        <v>98</v>
      </c>
      <c r="K66">
        <v>7</v>
      </c>
      <c r="L66" t="s">
        <v>36</v>
      </c>
      <c r="M66">
        <v>3.0733789972168699</v>
      </c>
      <c r="N66" t="s">
        <v>51</v>
      </c>
      <c r="O66" t="s">
        <v>38</v>
      </c>
      <c r="P66">
        <f>VLOOKUP(O66, Coordinates!$A$2:$C$6, 2, FALSE)</f>
        <v>25.761700000000001</v>
      </c>
      <c r="Q66">
        <f>VLOOKUP(O66, Coordinates!$A$2:$C$6, 3, FALSE)</f>
        <v>-80.191800000000001</v>
      </c>
      <c r="R66">
        <v>10</v>
      </c>
      <c r="S66">
        <v>889</v>
      </c>
      <c r="T66">
        <v>27</v>
      </c>
      <c r="U66">
        <v>44.848433610000001</v>
      </c>
      <c r="V66" t="s">
        <v>30</v>
      </c>
      <c r="W66">
        <v>1.0638038731107999</v>
      </c>
      <c r="X66" t="s">
        <v>31</v>
      </c>
      <c r="Y66" t="s">
        <v>41</v>
      </c>
      <c r="Z66">
        <v>142.14529783984801</v>
      </c>
    </row>
    <row r="67" spans="1:26" x14ac:dyDescent="0.3">
      <c r="A67" t="s">
        <v>42</v>
      </c>
      <c r="B67" t="s">
        <v>123</v>
      </c>
      <c r="C67">
        <v>82.01516316</v>
      </c>
      <c r="D67">
        <v>70</v>
      </c>
      <c r="E67">
        <v>518</v>
      </c>
      <c r="F67">
        <v>4149.0591728265799</v>
      </c>
      <c r="G67" t="s">
        <v>48</v>
      </c>
      <c r="H67">
        <v>49</v>
      </c>
      <c r="I67">
        <v>12</v>
      </c>
      <c r="J67">
        <v>33</v>
      </c>
      <c r="K67">
        <v>7</v>
      </c>
      <c r="L67" t="s">
        <v>44</v>
      </c>
      <c r="M67">
        <v>3.62970347198398</v>
      </c>
      <c r="N67" t="s">
        <v>37</v>
      </c>
      <c r="O67" t="s">
        <v>38</v>
      </c>
      <c r="P67">
        <f>VLOOKUP(O67, Coordinates!$A$2:$C$6, 2, FALSE)</f>
        <v>25.761700000000001</v>
      </c>
      <c r="Q67">
        <f>VLOOKUP(O67, Coordinates!$A$2:$C$6, 3, FALSE)</f>
        <v>-80.191800000000001</v>
      </c>
      <c r="R67">
        <v>12</v>
      </c>
      <c r="S67">
        <v>482</v>
      </c>
      <c r="T67">
        <v>6</v>
      </c>
      <c r="U67">
        <v>19.063862217053199</v>
      </c>
      <c r="V67" t="s">
        <v>30</v>
      </c>
      <c r="W67">
        <v>0.142776304182651</v>
      </c>
      <c r="X67" t="s">
        <v>40</v>
      </c>
      <c r="Y67" t="s">
        <v>32</v>
      </c>
      <c r="Z67">
        <v>115.42291307939</v>
      </c>
    </row>
    <row r="68" spans="1:26" x14ac:dyDescent="0.3">
      <c r="A68" t="s">
        <v>61</v>
      </c>
      <c r="B68" t="s">
        <v>124</v>
      </c>
      <c r="C68">
        <v>63.337724562549901</v>
      </c>
      <c r="D68">
        <v>62</v>
      </c>
      <c r="E68">
        <v>876</v>
      </c>
      <c r="F68">
        <v>5961.8565159653199</v>
      </c>
      <c r="G68" t="s">
        <v>35</v>
      </c>
      <c r="H68">
        <v>2</v>
      </c>
      <c r="I68">
        <v>28</v>
      </c>
      <c r="J68">
        <v>95</v>
      </c>
      <c r="K68">
        <v>2</v>
      </c>
      <c r="L68" t="s">
        <v>36</v>
      </c>
      <c r="M68">
        <v>14.0871260808473</v>
      </c>
      <c r="N68" t="s">
        <v>45</v>
      </c>
      <c r="O68" t="s">
        <v>38</v>
      </c>
      <c r="P68">
        <f>VLOOKUP(O68, Coordinates!$A$2:$C$6, 2, FALSE)</f>
        <v>25.761700000000001</v>
      </c>
      <c r="Q68">
        <f>VLOOKUP(O68, Coordinates!$A$2:$C$6, 3, FALSE)</f>
        <v>-80.191800000000001</v>
      </c>
      <c r="R68">
        <v>26</v>
      </c>
      <c r="S68">
        <v>357</v>
      </c>
      <c r="T68">
        <v>18</v>
      </c>
      <c r="U68">
        <v>45.403717748400297</v>
      </c>
      <c r="V68" t="s">
        <v>39</v>
      </c>
      <c r="W68">
        <v>4.4813642474959501</v>
      </c>
      <c r="X68" t="s">
        <v>46</v>
      </c>
      <c r="Y68" t="s">
        <v>32</v>
      </c>
      <c r="Z68">
        <v>759.24881495756495</v>
      </c>
    </row>
    <row r="69" spans="1:26" x14ac:dyDescent="0.3">
      <c r="A69" t="s">
        <v>33</v>
      </c>
      <c r="B69" t="s">
        <v>125</v>
      </c>
      <c r="C69">
        <v>86.658697006459803</v>
      </c>
      <c r="D69">
        <v>80</v>
      </c>
      <c r="E69">
        <v>815</v>
      </c>
      <c r="F69">
        <v>4235.8883006800297</v>
      </c>
      <c r="G69" t="s">
        <v>35</v>
      </c>
      <c r="H69">
        <v>1</v>
      </c>
      <c r="I69">
        <v>24</v>
      </c>
      <c r="J69">
        <v>86</v>
      </c>
      <c r="K69">
        <v>3</v>
      </c>
      <c r="L69" t="s">
        <v>27</v>
      </c>
      <c r="M69">
        <v>9.5495553948683298</v>
      </c>
      <c r="N69" t="s">
        <v>51</v>
      </c>
      <c r="O69" t="s">
        <v>67</v>
      </c>
      <c r="P69">
        <f>VLOOKUP(O69, Coordinates!$A$2:$C$6, 2, FALSE)</f>
        <v>40.712800000000001</v>
      </c>
      <c r="Q69">
        <f>VLOOKUP(O69, Coordinates!$A$2:$C$6, 3, FALSE)</f>
        <v>-74.006</v>
      </c>
      <c r="R69">
        <v>14</v>
      </c>
      <c r="S69">
        <v>446</v>
      </c>
      <c r="T69">
        <v>8</v>
      </c>
      <c r="U69">
        <v>24.279673980513699</v>
      </c>
      <c r="V69" t="s">
        <v>30</v>
      </c>
      <c r="W69">
        <v>2.285852496</v>
      </c>
      <c r="X69" t="s">
        <v>31</v>
      </c>
      <c r="Y69" t="s">
        <v>32</v>
      </c>
      <c r="Z69">
        <v>802.76348467155196</v>
      </c>
    </row>
    <row r="70" spans="1:26" x14ac:dyDescent="0.3">
      <c r="A70" t="s">
        <v>33</v>
      </c>
      <c r="B70" t="s">
        <v>126</v>
      </c>
      <c r="C70">
        <v>42.277403545204997</v>
      </c>
      <c r="D70">
        <v>34</v>
      </c>
      <c r="E70">
        <v>998</v>
      </c>
      <c r="F70">
        <v>2132.22102711446</v>
      </c>
      <c r="G70" t="s">
        <v>26</v>
      </c>
      <c r="H70">
        <v>58</v>
      </c>
      <c r="I70">
        <v>20</v>
      </c>
      <c r="J70">
        <v>26</v>
      </c>
      <c r="K70">
        <v>2</v>
      </c>
      <c r="L70" t="s">
        <v>36</v>
      </c>
      <c r="M70">
        <v>13.490213860000001</v>
      </c>
      <c r="N70" t="s">
        <v>45</v>
      </c>
      <c r="O70" t="s">
        <v>38</v>
      </c>
      <c r="P70">
        <f>VLOOKUP(O70, Coordinates!$A$2:$C$6, 2, FALSE)</f>
        <v>25.761700000000001</v>
      </c>
      <c r="Q70">
        <f>VLOOKUP(O70, Coordinates!$A$2:$C$6, 3, FALSE)</f>
        <v>-80.191800000000001</v>
      </c>
      <c r="R70">
        <v>27</v>
      </c>
      <c r="S70">
        <v>371</v>
      </c>
      <c r="T70">
        <v>5</v>
      </c>
      <c r="U70">
        <v>45.176651256925801</v>
      </c>
      <c r="V70" t="s">
        <v>39</v>
      </c>
      <c r="W70">
        <v>4.4855437836912602</v>
      </c>
      <c r="X70" t="s">
        <v>31</v>
      </c>
      <c r="Y70" t="s">
        <v>60</v>
      </c>
      <c r="Z70">
        <v>546.06701136364302</v>
      </c>
    </row>
    <row r="71" spans="1:26" x14ac:dyDescent="0.3">
      <c r="A71" t="s">
        <v>24</v>
      </c>
      <c r="B71" t="s">
        <v>127</v>
      </c>
      <c r="C71">
        <v>36.213222370706902</v>
      </c>
      <c r="D71">
        <v>87</v>
      </c>
      <c r="E71">
        <v>47</v>
      </c>
      <c r="F71">
        <v>1531.8193062809</v>
      </c>
      <c r="G71" t="s">
        <v>35</v>
      </c>
      <c r="H71">
        <v>27</v>
      </c>
      <c r="I71">
        <v>20</v>
      </c>
      <c r="J71">
        <v>87</v>
      </c>
      <c r="K71">
        <v>6</v>
      </c>
      <c r="L71" t="s">
        <v>27</v>
      </c>
      <c r="M71">
        <v>7.2092825814704904</v>
      </c>
      <c r="N71" t="s">
        <v>45</v>
      </c>
      <c r="O71" t="s">
        <v>38</v>
      </c>
      <c r="P71">
        <f>VLOOKUP(O71, Coordinates!$A$2:$C$6, 2, FALSE)</f>
        <v>25.761700000000001</v>
      </c>
      <c r="Q71">
        <f>VLOOKUP(O71, Coordinates!$A$2:$C$6, 3, FALSE)</f>
        <v>-80.191800000000001</v>
      </c>
      <c r="R71">
        <v>28</v>
      </c>
      <c r="S71">
        <v>360</v>
      </c>
      <c r="T71">
        <v>22</v>
      </c>
      <c r="U71">
        <v>78.084648325825299</v>
      </c>
      <c r="V71" t="s">
        <v>55</v>
      </c>
      <c r="W71">
        <v>3.8837075135607502</v>
      </c>
      <c r="X71" t="s">
        <v>40</v>
      </c>
      <c r="Y71" t="s">
        <v>41</v>
      </c>
      <c r="Z71">
        <v>386.08533015722998</v>
      </c>
    </row>
    <row r="72" spans="1:26" x14ac:dyDescent="0.3">
      <c r="A72" t="s">
        <v>33</v>
      </c>
      <c r="B72" t="s">
        <v>128</v>
      </c>
      <c r="C72">
        <v>17.648775396919198</v>
      </c>
      <c r="D72">
        <v>88</v>
      </c>
      <c r="E72">
        <v>670</v>
      </c>
      <c r="F72">
        <v>5726.2676659266599</v>
      </c>
      <c r="G72" t="s">
        <v>26</v>
      </c>
      <c r="H72">
        <v>45</v>
      </c>
      <c r="I72">
        <v>13</v>
      </c>
      <c r="J72">
        <v>99</v>
      </c>
      <c r="K72">
        <v>8</v>
      </c>
      <c r="L72" t="s">
        <v>27</v>
      </c>
      <c r="M72">
        <v>9.3670068532873607</v>
      </c>
      <c r="N72" t="s">
        <v>45</v>
      </c>
      <c r="O72" t="s">
        <v>38</v>
      </c>
      <c r="P72">
        <f>VLOOKUP(O72, Coordinates!$A$2:$C$6, 2, FALSE)</f>
        <v>25.761700000000001</v>
      </c>
      <c r="Q72">
        <f>VLOOKUP(O72, Coordinates!$A$2:$C$6, 3, FALSE)</f>
        <v>-80.191800000000001</v>
      </c>
      <c r="R72">
        <v>25</v>
      </c>
      <c r="S72">
        <v>495</v>
      </c>
      <c r="T72">
        <v>8</v>
      </c>
      <c r="U72">
        <v>63.924460036113203</v>
      </c>
      <c r="V72" t="s">
        <v>39</v>
      </c>
      <c r="W72">
        <v>4.5508535340794003</v>
      </c>
      <c r="X72" t="s">
        <v>52</v>
      </c>
      <c r="Y72" t="s">
        <v>60</v>
      </c>
      <c r="Z72">
        <v>312.80781626664401</v>
      </c>
    </row>
    <row r="73" spans="1:26" x14ac:dyDescent="0.3">
      <c r="A73" t="s">
        <v>24</v>
      </c>
      <c r="B73" t="s">
        <v>129</v>
      </c>
      <c r="C73">
        <v>23.246980414187501</v>
      </c>
      <c r="D73">
        <v>56</v>
      </c>
      <c r="E73">
        <v>843</v>
      </c>
      <c r="F73">
        <v>17637.4840402441</v>
      </c>
      <c r="G73" t="s">
        <v>35</v>
      </c>
      <c r="H73">
        <v>63</v>
      </c>
      <c r="I73">
        <v>15</v>
      </c>
      <c r="J73">
        <v>92</v>
      </c>
      <c r="K73">
        <v>8</v>
      </c>
      <c r="L73" t="s">
        <v>36</v>
      </c>
      <c r="M73">
        <v>1.44932317070096</v>
      </c>
      <c r="N73" t="s">
        <v>28</v>
      </c>
      <c r="O73" t="s">
        <v>38</v>
      </c>
      <c r="P73">
        <f>VLOOKUP(O73, Coordinates!$A$2:$C$6, 2, FALSE)</f>
        <v>25.761700000000001</v>
      </c>
      <c r="Q73">
        <f>VLOOKUP(O73, Coordinates!$A$2:$C$6, 3, FALSE)</f>
        <v>-80.191800000000001</v>
      </c>
      <c r="R73">
        <v>13</v>
      </c>
      <c r="S73">
        <v>791</v>
      </c>
      <c r="T73">
        <v>29</v>
      </c>
      <c r="U73">
        <v>94.849524162053001</v>
      </c>
      <c r="V73" t="s">
        <v>55</v>
      </c>
      <c r="W73">
        <v>3.9806202734176299</v>
      </c>
      <c r="X73" t="s">
        <v>46</v>
      </c>
      <c r="Y73" t="s">
        <v>60</v>
      </c>
      <c r="Z73">
        <v>205.32510984424201</v>
      </c>
    </row>
    <row r="74" spans="1:26" x14ac:dyDescent="0.3">
      <c r="A74" t="s">
        <v>33</v>
      </c>
      <c r="B74" t="s">
        <v>130</v>
      </c>
      <c r="C74">
        <v>67.575753889707102</v>
      </c>
      <c r="D74">
        <v>13</v>
      </c>
      <c r="E74">
        <v>938</v>
      </c>
      <c r="F74">
        <v>5066.8214019999996</v>
      </c>
      <c r="G74" t="s">
        <v>54</v>
      </c>
      <c r="H74">
        <v>69</v>
      </c>
      <c r="I74">
        <v>27</v>
      </c>
      <c r="J74">
        <v>35</v>
      </c>
      <c r="K74">
        <v>1</v>
      </c>
      <c r="L74" t="s">
        <v>36</v>
      </c>
      <c r="M74">
        <v>7.5730312518406704</v>
      </c>
      <c r="N74" t="s">
        <v>28</v>
      </c>
      <c r="O74" t="s">
        <v>29</v>
      </c>
      <c r="P74">
        <f>VLOOKUP(O74, Coordinates!$A$2:$C$6, 2, FALSE)</f>
        <v>29.760400000000001</v>
      </c>
      <c r="Q74">
        <f>VLOOKUP(O74, Coordinates!$A$2:$C$6, 3, FALSE)</f>
        <v>-95.369799999999998</v>
      </c>
      <c r="R74">
        <v>30</v>
      </c>
      <c r="S74">
        <v>253</v>
      </c>
      <c r="T74">
        <v>6</v>
      </c>
      <c r="U74">
        <v>73.503069704126005</v>
      </c>
      <c r="V74" t="s">
        <v>30</v>
      </c>
      <c r="W74">
        <v>4.9667641177557602</v>
      </c>
      <c r="X74" t="s">
        <v>46</v>
      </c>
      <c r="Y74" t="s">
        <v>60</v>
      </c>
      <c r="Z74">
        <v>535.80715250000003</v>
      </c>
    </row>
    <row r="75" spans="1:26" x14ac:dyDescent="0.3">
      <c r="A75" t="s">
        <v>42</v>
      </c>
      <c r="B75" t="s">
        <v>131</v>
      </c>
      <c r="C75">
        <v>94.568958434259798</v>
      </c>
      <c r="D75">
        <v>56</v>
      </c>
      <c r="E75">
        <v>610</v>
      </c>
      <c r="F75">
        <v>8172.5275361408103</v>
      </c>
      <c r="G75" t="s">
        <v>48</v>
      </c>
      <c r="H75">
        <v>46</v>
      </c>
      <c r="I75">
        <v>26</v>
      </c>
      <c r="J75">
        <v>12</v>
      </c>
      <c r="K75">
        <v>9</v>
      </c>
      <c r="L75" t="s">
        <v>27</v>
      </c>
      <c r="M75">
        <v>8.89679342681303</v>
      </c>
      <c r="N75" t="s">
        <v>45</v>
      </c>
      <c r="O75" t="s">
        <v>38</v>
      </c>
      <c r="P75">
        <f>VLOOKUP(O75, Coordinates!$A$2:$C$6, 2, FALSE)</f>
        <v>25.761700000000001</v>
      </c>
      <c r="Q75">
        <f>VLOOKUP(O75, Coordinates!$A$2:$C$6, 3, FALSE)</f>
        <v>-80.191800000000001</v>
      </c>
      <c r="R75">
        <v>26</v>
      </c>
      <c r="S75">
        <v>626</v>
      </c>
      <c r="T75">
        <v>10</v>
      </c>
      <c r="U75">
        <v>56.093201294288399</v>
      </c>
      <c r="V75" t="s">
        <v>39</v>
      </c>
      <c r="W75">
        <v>4.7870079968540802</v>
      </c>
      <c r="X75" t="s">
        <v>52</v>
      </c>
      <c r="Y75" t="s">
        <v>32</v>
      </c>
      <c r="Z75">
        <v>541.98021876084601</v>
      </c>
    </row>
    <row r="76" spans="1:26" x14ac:dyDescent="0.3">
      <c r="A76" t="s">
        <v>24</v>
      </c>
      <c r="B76" t="s">
        <v>132</v>
      </c>
      <c r="C76">
        <v>29.502033716742101</v>
      </c>
      <c r="D76">
        <v>18</v>
      </c>
      <c r="E76">
        <v>814</v>
      </c>
      <c r="F76">
        <v>21613.1899008853</v>
      </c>
      <c r="G76" t="s">
        <v>35</v>
      </c>
      <c r="H76">
        <v>13</v>
      </c>
      <c r="I76">
        <v>12</v>
      </c>
      <c r="J76">
        <v>11</v>
      </c>
      <c r="K76">
        <v>8</v>
      </c>
      <c r="L76" t="s">
        <v>44</v>
      </c>
      <c r="M76">
        <v>1.2348879997176201</v>
      </c>
      <c r="N76" t="s">
        <v>45</v>
      </c>
      <c r="O76" t="s">
        <v>38</v>
      </c>
      <c r="P76">
        <f>VLOOKUP(O76, Coordinates!$A$2:$C$6, 2, FALSE)</f>
        <v>25.761700000000001</v>
      </c>
      <c r="Q76">
        <f>VLOOKUP(O76, Coordinates!$A$2:$C$6, 3, FALSE)</f>
        <v>-80.191800000000001</v>
      </c>
      <c r="R76">
        <v>27</v>
      </c>
      <c r="S76">
        <v>166</v>
      </c>
      <c r="T76">
        <v>3</v>
      </c>
      <c r="U76">
        <v>80.335505129236694</v>
      </c>
      <c r="V76" t="s">
        <v>39</v>
      </c>
      <c r="W76">
        <v>4.3920640994535596</v>
      </c>
      <c r="X76" t="s">
        <v>40</v>
      </c>
      <c r="Y76" t="s">
        <v>60</v>
      </c>
      <c r="Z76">
        <v>510.36467608292998</v>
      </c>
    </row>
    <row r="77" spans="1:26" x14ac:dyDescent="0.3">
      <c r="A77" t="s">
        <v>49</v>
      </c>
      <c r="B77" t="s">
        <v>133</v>
      </c>
      <c r="C77">
        <v>12.259601646614801</v>
      </c>
      <c r="D77">
        <v>54</v>
      </c>
      <c r="E77">
        <v>137</v>
      </c>
      <c r="F77">
        <v>1872.2559436029501</v>
      </c>
      <c r="G77" t="s">
        <v>26</v>
      </c>
      <c r="H77">
        <v>6</v>
      </c>
      <c r="I77">
        <v>13</v>
      </c>
      <c r="J77">
        <v>11</v>
      </c>
      <c r="K77">
        <v>9</v>
      </c>
      <c r="L77" t="s">
        <v>44</v>
      </c>
      <c r="M77">
        <v>12.052848475530901</v>
      </c>
      <c r="N77" t="s">
        <v>37</v>
      </c>
      <c r="O77" t="s">
        <v>67</v>
      </c>
      <c r="P77">
        <f>VLOOKUP(O77, Coordinates!$A$2:$C$6, 2, FALSE)</f>
        <v>40.712800000000001</v>
      </c>
      <c r="Q77">
        <f>VLOOKUP(O77, Coordinates!$A$2:$C$6, 3, FALSE)</f>
        <v>-74.006</v>
      </c>
      <c r="R77">
        <v>1</v>
      </c>
      <c r="S77">
        <v>940</v>
      </c>
      <c r="T77">
        <v>13</v>
      </c>
      <c r="U77">
        <v>18.1922891815348</v>
      </c>
      <c r="V77" t="s">
        <v>55</v>
      </c>
      <c r="W77">
        <v>4.5476825077491503</v>
      </c>
      <c r="X77" t="s">
        <v>46</v>
      </c>
      <c r="Y77" t="s">
        <v>60</v>
      </c>
      <c r="Z77">
        <v>800.43633896345705</v>
      </c>
    </row>
    <row r="78" spans="1:26" x14ac:dyDescent="0.3">
      <c r="A78" t="s">
        <v>72</v>
      </c>
      <c r="B78" t="s">
        <v>134</v>
      </c>
      <c r="C78">
        <v>36.447491658129699</v>
      </c>
      <c r="D78">
        <v>77</v>
      </c>
      <c r="E78">
        <v>399</v>
      </c>
      <c r="F78">
        <v>13088.2942544343</v>
      </c>
      <c r="G78" t="s">
        <v>48</v>
      </c>
      <c r="H78">
        <v>73</v>
      </c>
      <c r="I78">
        <v>8</v>
      </c>
      <c r="J78">
        <v>31</v>
      </c>
      <c r="K78">
        <v>9</v>
      </c>
      <c r="L78" t="s">
        <v>36</v>
      </c>
      <c r="M78">
        <v>5.1359217798724703</v>
      </c>
      <c r="N78" t="s">
        <v>51</v>
      </c>
      <c r="O78" t="s">
        <v>67</v>
      </c>
      <c r="P78">
        <f>VLOOKUP(O78, Coordinates!$A$2:$C$6, 2, FALSE)</f>
        <v>40.712800000000001</v>
      </c>
      <c r="Q78">
        <f>VLOOKUP(O78, Coordinates!$A$2:$C$6, 3, FALSE)</f>
        <v>-74.006</v>
      </c>
      <c r="R78">
        <v>27</v>
      </c>
      <c r="S78">
        <v>798</v>
      </c>
      <c r="T78">
        <v>7</v>
      </c>
      <c r="U78">
        <v>79.075355189999996</v>
      </c>
      <c r="V78" t="s">
        <v>30</v>
      </c>
      <c r="W78">
        <v>1.69072064208454</v>
      </c>
      <c r="X78" t="s">
        <v>46</v>
      </c>
      <c r="Y78" t="s">
        <v>60</v>
      </c>
      <c r="Z78">
        <v>189.79917420302601</v>
      </c>
    </row>
    <row r="79" spans="1:26" x14ac:dyDescent="0.3">
      <c r="A79" t="s">
        <v>82</v>
      </c>
      <c r="B79" t="s">
        <v>135</v>
      </c>
      <c r="C79">
        <v>93.380294059593197</v>
      </c>
      <c r="D79">
        <v>43</v>
      </c>
      <c r="E79">
        <v>69</v>
      </c>
      <c r="G79" t="s">
        <v>26</v>
      </c>
      <c r="H79">
        <v>78</v>
      </c>
      <c r="I79">
        <v>16</v>
      </c>
      <c r="J79">
        <v>80</v>
      </c>
      <c r="K79">
        <v>6</v>
      </c>
      <c r="L79" t="s">
        <v>27</v>
      </c>
      <c r="M79">
        <v>7.3348190494507799</v>
      </c>
      <c r="N79" t="s">
        <v>51</v>
      </c>
      <c r="O79" t="s">
        <v>38</v>
      </c>
      <c r="P79">
        <f>VLOOKUP(O79, Coordinates!$A$2:$C$6, 2, FALSE)</f>
        <v>25.761700000000001</v>
      </c>
      <c r="Q79">
        <f>VLOOKUP(O79, Coordinates!$A$2:$C$6, 3, FALSE)</f>
        <v>-80.191800000000001</v>
      </c>
      <c r="R79">
        <v>15</v>
      </c>
      <c r="S79">
        <v>447</v>
      </c>
      <c r="T79">
        <v>30</v>
      </c>
      <c r="U79">
        <v>70.515718981303493</v>
      </c>
      <c r="V79" t="s">
        <v>55</v>
      </c>
      <c r="W79">
        <v>5.6026964999999998E-2</v>
      </c>
      <c r="X79" t="s">
        <v>52</v>
      </c>
      <c r="Y79" t="s">
        <v>60</v>
      </c>
      <c r="Z79">
        <v>703.00902159988902</v>
      </c>
    </row>
    <row r="80" spans="1:26" x14ac:dyDescent="0.3">
      <c r="A80" t="s">
        <v>33</v>
      </c>
      <c r="B80" t="s">
        <v>136</v>
      </c>
      <c r="C80">
        <v>29.0405511160745</v>
      </c>
      <c r="D80">
        <v>39</v>
      </c>
      <c r="E80">
        <v>294</v>
      </c>
      <c r="F80">
        <v>8134.3306520267597</v>
      </c>
      <c r="G80" t="s">
        <v>54</v>
      </c>
      <c r="H80">
        <v>30</v>
      </c>
      <c r="I80">
        <v>30</v>
      </c>
      <c r="J80">
        <v>13</v>
      </c>
      <c r="K80">
        <v>3</v>
      </c>
      <c r="L80" t="s">
        <v>44</v>
      </c>
      <c r="M80">
        <v>8.4988239942675392</v>
      </c>
      <c r="N80" t="s">
        <v>57</v>
      </c>
      <c r="O80" t="s">
        <v>58</v>
      </c>
      <c r="P80">
        <f>VLOOKUP(O80, Coordinates!$A$2:$C$6, 2, FALSE)</f>
        <v>34.052199999999999</v>
      </c>
      <c r="Q80">
        <f>VLOOKUP(O80, Coordinates!$A$2:$C$6, 3, FALSE)</f>
        <v>-118.2437</v>
      </c>
      <c r="R80">
        <v>7</v>
      </c>
      <c r="S80">
        <v>162</v>
      </c>
      <c r="T80">
        <v>4</v>
      </c>
      <c r="U80">
        <v>95.556389267143004</v>
      </c>
      <c r="V80" t="s">
        <v>55</v>
      </c>
      <c r="W80">
        <v>4.9348863583784901</v>
      </c>
      <c r="X80" t="s">
        <v>31</v>
      </c>
      <c r="Y80" t="s">
        <v>60</v>
      </c>
      <c r="Z80">
        <v>461.41059060998998</v>
      </c>
    </row>
    <row r="81" spans="1:26" x14ac:dyDescent="0.3">
      <c r="A81" t="s">
        <v>61</v>
      </c>
      <c r="B81" t="s">
        <v>137</v>
      </c>
      <c r="C81">
        <v>79.211190259757302</v>
      </c>
      <c r="D81">
        <v>61</v>
      </c>
      <c r="E81">
        <v>380</v>
      </c>
      <c r="F81">
        <v>6662.0582077084</v>
      </c>
      <c r="G81" t="s">
        <v>35</v>
      </c>
      <c r="H81">
        <v>92</v>
      </c>
      <c r="I81">
        <v>29</v>
      </c>
      <c r="J81">
        <v>47</v>
      </c>
      <c r="K81">
        <v>1</v>
      </c>
      <c r="L81" t="s">
        <v>36</v>
      </c>
      <c r="M81">
        <v>14.890760143798</v>
      </c>
      <c r="N81" t="s">
        <v>57</v>
      </c>
      <c r="O81" t="s">
        <v>67</v>
      </c>
      <c r="P81">
        <f>VLOOKUP(O81, Coordinates!$A$2:$C$6, 2, FALSE)</f>
        <v>40.712800000000001</v>
      </c>
      <c r="Q81">
        <f>VLOOKUP(O81, Coordinates!$A$2:$C$6, 3, FALSE)</f>
        <v>-74.006</v>
      </c>
      <c r="R81">
        <v>11</v>
      </c>
      <c r="S81">
        <v>455</v>
      </c>
      <c r="T81">
        <v>13</v>
      </c>
      <c r="U81">
        <v>43.439668033928697</v>
      </c>
      <c r="V81" t="s">
        <v>30</v>
      </c>
      <c r="W81">
        <v>2.4523403883551098</v>
      </c>
      <c r="X81" t="s">
        <v>40</v>
      </c>
      <c r="Y81" t="s">
        <v>60</v>
      </c>
      <c r="Z81">
        <v>316.85489787200697</v>
      </c>
    </row>
    <row r="82" spans="1:26" x14ac:dyDescent="0.3">
      <c r="A82" t="s">
        <v>33</v>
      </c>
      <c r="B82" t="s">
        <v>138</v>
      </c>
      <c r="C82">
        <v>83.387558613226801</v>
      </c>
      <c r="D82">
        <v>42</v>
      </c>
      <c r="E82">
        <v>773</v>
      </c>
      <c r="F82">
        <v>2373.9234808670499</v>
      </c>
      <c r="G82" t="s">
        <v>48</v>
      </c>
      <c r="H82">
        <v>80</v>
      </c>
      <c r="I82">
        <v>29</v>
      </c>
      <c r="J82">
        <v>93</v>
      </c>
      <c r="K82">
        <v>8</v>
      </c>
      <c r="L82" t="s">
        <v>36</v>
      </c>
      <c r="M82">
        <v>-10</v>
      </c>
      <c r="N82" t="s">
        <v>57</v>
      </c>
      <c r="O82" t="s">
        <v>38</v>
      </c>
      <c r="P82">
        <f>VLOOKUP(O82, Coordinates!$A$2:$C$6, 2, FALSE)</f>
        <v>25.761700000000001</v>
      </c>
      <c r="Q82">
        <f>VLOOKUP(O82, Coordinates!$A$2:$C$6, 3, FALSE)</f>
        <v>-80.191800000000001</v>
      </c>
      <c r="R82">
        <v>17</v>
      </c>
      <c r="S82">
        <v>380</v>
      </c>
      <c r="T82">
        <v>6</v>
      </c>
      <c r="U82">
        <v>37.489417274094599</v>
      </c>
      <c r="V82" t="s">
        <v>39</v>
      </c>
      <c r="W82">
        <v>3.9283879658116301</v>
      </c>
      <c r="X82" t="s">
        <v>31</v>
      </c>
      <c r="Y82" t="s">
        <v>41</v>
      </c>
      <c r="Z82">
        <v>713.43470069062596</v>
      </c>
    </row>
    <row r="83" spans="1:26" x14ac:dyDescent="0.3">
      <c r="A83" t="s">
        <v>61</v>
      </c>
      <c r="B83" t="s">
        <v>139</v>
      </c>
      <c r="C83">
        <v>52.067949828793203</v>
      </c>
      <c r="D83">
        <v>81</v>
      </c>
      <c r="E83">
        <v>471</v>
      </c>
      <c r="F83">
        <v>7391.5593993114398</v>
      </c>
      <c r="G83" t="s">
        <v>54</v>
      </c>
      <c r="H83">
        <v>50</v>
      </c>
      <c r="I83">
        <v>3</v>
      </c>
      <c r="J83">
        <v>79</v>
      </c>
      <c r="K83">
        <v>10</v>
      </c>
      <c r="L83" t="s">
        <v>27</v>
      </c>
      <c r="M83">
        <v>8.7739138711429696</v>
      </c>
      <c r="N83" t="s">
        <v>28</v>
      </c>
      <c r="O83" t="s">
        <v>65</v>
      </c>
      <c r="P83">
        <f>VLOOKUP(O83, Coordinates!$A$2:$C$6, 2, FALSE)</f>
        <v>41.878100000000003</v>
      </c>
      <c r="Q83">
        <f>VLOOKUP(O83, Coordinates!$A$2:$C$6, 3, FALSE)</f>
        <v>-87.629800000000003</v>
      </c>
      <c r="R83">
        <v>5</v>
      </c>
      <c r="S83">
        <v>140</v>
      </c>
      <c r="T83">
        <v>16</v>
      </c>
      <c r="U83">
        <v>25.515409979228998</v>
      </c>
      <c r="V83" t="s">
        <v>55</v>
      </c>
      <c r="W83">
        <v>4.0624556880464704</v>
      </c>
      <c r="X83" t="s">
        <v>31</v>
      </c>
      <c r="Y83" t="s">
        <v>32</v>
      </c>
      <c r="Z83">
        <v>277.91010899999998</v>
      </c>
    </row>
    <row r="84" spans="1:26" x14ac:dyDescent="0.3">
      <c r="A84" t="s">
        <v>72</v>
      </c>
      <c r="B84" t="s">
        <v>140</v>
      </c>
      <c r="C84">
        <v>36.905069747056601</v>
      </c>
      <c r="D84">
        <v>79</v>
      </c>
      <c r="E84">
        <v>902</v>
      </c>
      <c r="F84">
        <v>29959.535620660601</v>
      </c>
      <c r="G84" t="s">
        <v>35</v>
      </c>
      <c r="H84">
        <v>28</v>
      </c>
      <c r="I84">
        <v>28</v>
      </c>
      <c r="J84">
        <v>82</v>
      </c>
      <c r="K84">
        <v>3</v>
      </c>
      <c r="L84" t="s">
        <v>44</v>
      </c>
      <c r="M84">
        <v>8.4283180410000007</v>
      </c>
      <c r="N84" t="s">
        <v>28</v>
      </c>
      <c r="O84" t="s">
        <v>58</v>
      </c>
      <c r="P84">
        <f>VLOOKUP(O84, Coordinates!$A$2:$C$6, 2, FALSE)</f>
        <v>34.052199999999999</v>
      </c>
      <c r="Q84">
        <f>VLOOKUP(O84, Coordinates!$A$2:$C$6, 3, FALSE)</f>
        <v>-118.2437</v>
      </c>
      <c r="R84">
        <v>9</v>
      </c>
      <c r="S84">
        <v>639</v>
      </c>
      <c r="T84">
        <v>22</v>
      </c>
      <c r="U84">
        <v>78.819665534258206</v>
      </c>
      <c r="V84" t="s">
        <v>30</v>
      </c>
      <c r="W84">
        <v>1.9875833854001399</v>
      </c>
      <c r="X84" t="s">
        <v>52</v>
      </c>
      <c r="Y84" t="s">
        <v>60</v>
      </c>
      <c r="Z84">
        <v>307.82529422433601</v>
      </c>
    </row>
    <row r="85" spans="1:26" x14ac:dyDescent="0.3">
      <c r="A85" t="s">
        <v>72</v>
      </c>
      <c r="B85" t="s">
        <v>141</v>
      </c>
      <c r="C85">
        <v>22.365468960510398</v>
      </c>
      <c r="D85">
        <v>18</v>
      </c>
      <c r="E85">
        <v>217</v>
      </c>
      <c r="F85">
        <v>4367.9760879876803</v>
      </c>
      <c r="G85" t="s">
        <v>35</v>
      </c>
      <c r="H85">
        <v>14</v>
      </c>
      <c r="I85">
        <v>29</v>
      </c>
      <c r="J85">
        <v>61</v>
      </c>
      <c r="K85">
        <v>7</v>
      </c>
      <c r="L85" t="s">
        <v>36</v>
      </c>
      <c r="M85">
        <v>1.9647357384445501</v>
      </c>
      <c r="N85" t="s">
        <v>37</v>
      </c>
      <c r="O85" t="s">
        <v>65</v>
      </c>
      <c r="P85">
        <f>VLOOKUP(O85, Coordinates!$A$2:$C$6, 2, FALSE)</f>
        <v>41.878100000000003</v>
      </c>
      <c r="Q85">
        <f>VLOOKUP(O85, Coordinates!$A$2:$C$6, 3, FALSE)</f>
        <v>-87.629800000000003</v>
      </c>
      <c r="R85">
        <v>26</v>
      </c>
      <c r="S85">
        <v>466</v>
      </c>
      <c r="T85">
        <v>27</v>
      </c>
      <c r="U85">
        <v>83.247070801448402</v>
      </c>
      <c r="V85" t="s">
        <v>30</v>
      </c>
      <c r="W85">
        <v>2.70636523361159</v>
      </c>
      <c r="X85" t="s">
        <v>46</v>
      </c>
      <c r="Y85" t="s">
        <v>32</v>
      </c>
      <c r="Z85">
        <v>998.69108837246597</v>
      </c>
    </row>
    <row r="86" spans="1:26" x14ac:dyDescent="0.3">
      <c r="A86" t="s">
        <v>72</v>
      </c>
      <c r="B86" t="s">
        <v>142</v>
      </c>
      <c r="C86">
        <v>37.003058279999998</v>
      </c>
      <c r="D86">
        <v>23</v>
      </c>
      <c r="E86">
        <v>152</v>
      </c>
      <c r="F86">
        <v>5062.0183732740097</v>
      </c>
      <c r="G86" t="s">
        <v>26</v>
      </c>
      <c r="H86">
        <v>89</v>
      </c>
      <c r="I86">
        <v>13</v>
      </c>
      <c r="J86">
        <v>40</v>
      </c>
      <c r="K86">
        <v>10</v>
      </c>
      <c r="L86" t="s">
        <v>44</v>
      </c>
      <c r="M86">
        <v>9.8751370427317404</v>
      </c>
      <c r="N86" t="s">
        <v>28</v>
      </c>
      <c r="O86" t="s">
        <v>29</v>
      </c>
      <c r="P86">
        <f>VLOOKUP(O86, Coordinates!$A$2:$C$6, 2, FALSE)</f>
        <v>29.760400000000001</v>
      </c>
      <c r="Q86">
        <f>VLOOKUP(O86, Coordinates!$A$2:$C$6, 3, FALSE)</f>
        <v>-95.369799999999998</v>
      </c>
      <c r="R86">
        <v>16</v>
      </c>
      <c r="S86">
        <v>376</v>
      </c>
      <c r="T86">
        <v>21</v>
      </c>
      <c r="U86">
        <v>83.188356525408594</v>
      </c>
      <c r="V86" t="s">
        <v>30</v>
      </c>
      <c r="W86">
        <v>2.6995776303133798</v>
      </c>
      <c r="X86" t="s">
        <v>52</v>
      </c>
      <c r="Y86" t="s">
        <v>41</v>
      </c>
      <c r="Z86">
        <v>899.80185348708505</v>
      </c>
    </row>
    <row r="87" spans="1:26" x14ac:dyDescent="0.3">
      <c r="A87" t="s">
        <v>61</v>
      </c>
      <c r="B87" t="s">
        <v>143</v>
      </c>
      <c r="C87">
        <v>89.492137032240194</v>
      </c>
      <c r="D87">
        <v>54</v>
      </c>
      <c r="E87">
        <v>577</v>
      </c>
      <c r="F87">
        <v>3996.5522230000001</v>
      </c>
      <c r="G87" t="s">
        <v>26</v>
      </c>
      <c r="H87">
        <v>75</v>
      </c>
      <c r="I87">
        <v>12</v>
      </c>
      <c r="J87">
        <v>35</v>
      </c>
      <c r="K87">
        <v>6</v>
      </c>
      <c r="L87" t="s">
        <v>36</v>
      </c>
      <c r="M87">
        <v>5.0159620745133404</v>
      </c>
      <c r="N87" t="s">
        <v>57</v>
      </c>
      <c r="O87" t="s">
        <v>29</v>
      </c>
      <c r="P87">
        <f>VLOOKUP(O87, Coordinates!$A$2:$C$6, 2, FALSE)</f>
        <v>29.760400000000001</v>
      </c>
      <c r="Q87">
        <f>VLOOKUP(O87, Coordinates!$A$2:$C$6, 3, FALSE)</f>
        <v>-95.369799999999998</v>
      </c>
      <c r="R87">
        <v>11</v>
      </c>
      <c r="S87">
        <v>320</v>
      </c>
      <c r="T87">
        <v>29</v>
      </c>
      <c r="U87">
        <v>35.585794313257701</v>
      </c>
      <c r="V87" t="s">
        <v>30</v>
      </c>
      <c r="W87">
        <v>1.10108004672125</v>
      </c>
      <c r="X87" t="s">
        <v>31</v>
      </c>
      <c r="Y87" t="s">
        <v>41</v>
      </c>
      <c r="Z87">
        <v>727.42520656591296</v>
      </c>
    </row>
    <row r="88" spans="1:26" x14ac:dyDescent="0.3">
      <c r="A88" t="s">
        <v>33</v>
      </c>
      <c r="B88" t="s">
        <v>144</v>
      </c>
      <c r="C88">
        <v>47.808867390000003</v>
      </c>
      <c r="D88">
        <v>30</v>
      </c>
      <c r="E88">
        <v>475</v>
      </c>
      <c r="F88">
        <v>7024.7085782827899</v>
      </c>
      <c r="G88" t="s">
        <v>54</v>
      </c>
      <c r="H88">
        <v>24</v>
      </c>
      <c r="I88">
        <v>19</v>
      </c>
      <c r="J88">
        <v>45</v>
      </c>
      <c r="K88">
        <v>3</v>
      </c>
      <c r="L88" t="s">
        <v>36</v>
      </c>
      <c r="M88">
        <v>2.45275152630468</v>
      </c>
      <c r="N88" t="s">
        <v>45</v>
      </c>
      <c r="O88" t="s">
        <v>38</v>
      </c>
      <c r="P88">
        <f>VLOOKUP(O88, Coordinates!$A$2:$C$6, 2, FALSE)</f>
        <v>25.761700000000001</v>
      </c>
      <c r="Q88">
        <f>VLOOKUP(O88, Coordinates!$A$2:$C$6, 3, FALSE)</f>
        <v>-80.191800000000001</v>
      </c>
      <c r="R88">
        <v>28</v>
      </c>
      <c r="S88">
        <v>828</v>
      </c>
      <c r="T88">
        <v>1</v>
      </c>
      <c r="U88">
        <v>24.1967904991651</v>
      </c>
      <c r="V88" t="s">
        <v>55</v>
      </c>
      <c r="W88">
        <v>3.6763094320232899</v>
      </c>
      <c r="X88" t="s">
        <v>52</v>
      </c>
      <c r="Y88" t="s">
        <v>32</v>
      </c>
      <c r="Z88">
        <v>384.18648208323702</v>
      </c>
    </row>
    <row r="89" spans="1:26" x14ac:dyDescent="0.3">
      <c r="A89" t="s">
        <v>72</v>
      </c>
      <c r="B89" t="s">
        <v>145</v>
      </c>
      <c r="C89">
        <v>20.243068115194301</v>
      </c>
      <c r="D89">
        <v>98</v>
      </c>
      <c r="E89">
        <v>153</v>
      </c>
      <c r="F89">
        <v>2787.4704794622598</v>
      </c>
      <c r="G89" t="s">
        <v>26</v>
      </c>
      <c r="H89">
        <v>60</v>
      </c>
      <c r="I89">
        <v>29</v>
      </c>
      <c r="J89">
        <v>35</v>
      </c>
      <c r="K89">
        <v>6</v>
      </c>
      <c r="L89" t="s">
        <v>44</v>
      </c>
      <c r="M89">
        <v>3.5009870328583301</v>
      </c>
      <c r="N89" t="s">
        <v>57</v>
      </c>
      <c r="O89" t="s">
        <v>67</v>
      </c>
      <c r="P89">
        <f>VLOOKUP(O89, Coordinates!$A$2:$C$6, 2, FALSE)</f>
        <v>40.712800000000001</v>
      </c>
      <c r="Q89">
        <f>VLOOKUP(O89, Coordinates!$A$2:$C$6, 3, FALSE)</f>
        <v>-74.006</v>
      </c>
      <c r="R89">
        <v>25</v>
      </c>
      <c r="S89">
        <v>833</v>
      </c>
      <c r="T89">
        <v>30</v>
      </c>
      <c r="U89">
        <v>87.649990023567497</v>
      </c>
      <c r="V89" t="s">
        <v>39</v>
      </c>
      <c r="W89">
        <v>2.7178615247131201</v>
      </c>
      <c r="X89" t="s">
        <v>40</v>
      </c>
      <c r="Y89" t="s">
        <v>41</v>
      </c>
      <c r="Z89">
        <v>583.04651420078403</v>
      </c>
    </row>
    <row r="90" spans="1:26" x14ac:dyDescent="0.3">
      <c r="A90" t="s">
        <v>42</v>
      </c>
      <c r="B90" t="s">
        <v>146</v>
      </c>
      <c r="C90">
        <v>15.040880591096</v>
      </c>
      <c r="D90">
        <v>58</v>
      </c>
      <c r="E90">
        <v>92</v>
      </c>
      <c r="F90">
        <v>6317.8473067683199</v>
      </c>
      <c r="G90" t="s">
        <v>54</v>
      </c>
      <c r="H90">
        <v>40</v>
      </c>
      <c r="I90">
        <v>2</v>
      </c>
      <c r="J90">
        <v>37</v>
      </c>
      <c r="K90">
        <v>3</v>
      </c>
      <c r="L90" t="s">
        <v>44</v>
      </c>
      <c r="M90">
        <v>12.5304452650154</v>
      </c>
      <c r="N90" t="s">
        <v>37</v>
      </c>
      <c r="O90" t="s">
        <v>58</v>
      </c>
      <c r="P90">
        <f>VLOOKUP(O90, Coordinates!$A$2:$C$6, 2, FALSE)</f>
        <v>34.052199999999999</v>
      </c>
      <c r="Q90">
        <f>VLOOKUP(O90, Coordinates!$A$2:$C$6, 3, FALSE)</f>
        <v>-118.2437</v>
      </c>
      <c r="R90">
        <v>17</v>
      </c>
      <c r="S90">
        <v>160</v>
      </c>
      <c r="T90">
        <v>24</v>
      </c>
      <c r="U90">
        <v>19.083427752563601</v>
      </c>
      <c r="V90" t="s">
        <v>39</v>
      </c>
      <c r="W90">
        <v>0.60071613400000001</v>
      </c>
      <c r="X90" t="s">
        <v>31</v>
      </c>
      <c r="Y90" t="s">
        <v>60</v>
      </c>
      <c r="Z90">
        <v>213.95421566303199</v>
      </c>
    </row>
    <row r="91" spans="1:26" x14ac:dyDescent="0.3">
      <c r="A91" t="s">
        <v>24</v>
      </c>
      <c r="B91" t="s">
        <v>147</v>
      </c>
      <c r="C91">
        <v>37.111175425453901</v>
      </c>
      <c r="D91">
        <v>68</v>
      </c>
      <c r="E91">
        <v>328</v>
      </c>
      <c r="F91">
        <v>10955.218985594</v>
      </c>
      <c r="G91" t="s">
        <v>54</v>
      </c>
      <c r="H91">
        <v>68</v>
      </c>
      <c r="I91">
        <v>1</v>
      </c>
      <c r="J91">
        <v>14</v>
      </c>
      <c r="K91">
        <v>9</v>
      </c>
      <c r="L91" t="s">
        <v>27</v>
      </c>
      <c r="M91">
        <v>2.4577466741235101</v>
      </c>
      <c r="N91" t="s">
        <v>45</v>
      </c>
      <c r="O91" t="s">
        <v>38</v>
      </c>
      <c r="P91">
        <f>VLOOKUP(O91, Coordinates!$A$2:$C$6, 2, FALSE)</f>
        <v>25.761700000000001</v>
      </c>
      <c r="Q91">
        <f>VLOOKUP(O91, Coordinates!$A$2:$C$6, 3, FALSE)</f>
        <v>-80.191800000000001</v>
      </c>
      <c r="R91">
        <v>28</v>
      </c>
      <c r="S91">
        <v>202</v>
      </c>
      <c r="T91">
        <v>13</v>
      </c>
      <c r="U91">
        <v>77.0727738138972</v>
      </c>
      <c r="V91" t="s">
        <v>39</v>
      </c>
      <c r="W91">
        <v>3.9908910631492098</v>
      </c>
      <c r="X91" t="s">
        <v>31</v>
      </c>
      <c r="Y91" t="s">
        <v>41</v>
      </c>
      <c r="Z91">
        <v>400.55636723462499</v>
      </c>
    </row>
    <row r="92" spans="1:26" x14ac:dyDescent="0.3">
      <c r="A92" t="s">
        <v>61</v>
      </c>
      <c r="B92" t="s">
        <v>148</v>
      </c>
      <c r="C92">
        <v>47.1109433071437</v>
      </c>
      <c r="D92">
        <v>67</v>
      </c>
      <c r="E92">
        <v>899</v>
      </c>
      <c r="F92">
        <v>8180.2213499999998</v>
      </c>
      <c r="G92" t="s">
        <v>54</v>
      </c>
      <c r="H92">
        <v>3</v>
      </c>
      <c r="I92">
        <v>8</v>
      </c>
      <c r="J92">
        <v>83</v>
      </c>
      <c r="K92">
        <v>1</v>
      </c>
      <c r="L92" t="s">
        <v>27</v>
      </c>
      <c r="M92">
        <v>7.5369834353645402</v>
      </c>
      <c r="N92" t="s">
        <v>28</v>
      </c>
      <c r="O92" t="s">
        <v>29</v>
      </c>
      <c r="P92">
        <f>VLOOKUP(O92, Coordinates!$A$2:$C$6, 2, FALSE)</f>
        <v>29.760400000000001</v>
      </c>
      <c r="Q92">
        <f>VLOOKUP(O92, Coordinates!$A$2:$C$6, 3, FALSE)</f>
        <v>-95.369799999999998</v>
      </c>
      <c r="R92">
        <v>15</v>
      </c>
      <c r="S92">
        <v>284</v>
      </c>
      <c r="T92">
        <v>30</v>
      </c>
      <c r="U92">
        <v>88.5361736820022</v>
      </c>
      <c r="V92" t="s">
        <v>39</v>
      </c>
      <c r="W92">
        <v>0.93041665820469199</v>
      </c>
      <c r="X92" t="s">
        <v>40</v>
      </c>
      <c r="Y92" t="s">
        <v>60</v>
      </c>
      <c r="Z92">
        <v>161.173482570597</v>
      </c>
    </row>
    <row r="93" spans="1:26" x14ac:dyDescent="0.3">
      <c r="A93" t="s">
        <v>61</v>
      </c>
      <c r="B93" t="s">
        <v>149</v>
      </c>
      <c r="C93">
        <v>9.5439279374400101</v>
      </c>
      <c r="D93">
        <v>71</v>
      </c>
      <c r="E93">
        <v>400</v>
      </c>
      <c r="F93">
        <v>9293.1196259487697</v>
      </c>
      <c r="G93" t="s">
        <v>26</v>
      </c>
      <c r="H93">
        <v>56</v>
      </c>
      <c r="I93">
        <v>30</v>
      </c>
      <c r="J93">
        <v>27</v>
      </c>
      <c r="K93">
        <v>8</v>
      </c>
      <c r="L93" t="s">
        <v>27</v>
      </c>
      <c r="M93">
        <v>3.7338236965090901</v>
      </c>
      <c r="N93" t="s">
        <v>45</v>
      </c>
      <c r="O93" t="s">
        <v>38</v>
      </c>
      <c r="P93">
        <f>VLOOKUP(O93, Coordinates!$A$2:$C$6, 2, FALSE)</f>
        <v>25.761700000000001</v>
      </c>
      <c r="Q93">
        <f>VLOOKUP(O93, Coordinates!$A$2:$C$6, 3, FALSE)</f>
        <v>-80.191800000000001</v>
      </c>
      <c r="R93">
        <v>27</v>
      </c>
      <c r="S93">
        <v>246</v>
      </c>
      <c r="T93">
        <v>26</v>
      </c>
      <c r="U93">
        <v>37.764254528663699</v>
      </c>
      <c r="V93" t="s">
        <v>39</v>
      </c>
      <c r="W93">
        <v>3.6391819132352001</v>
      </c>
      <c r="X93" t="s">
        <v>52</v>
      </c>
      <c r="Y93" t="s">
        <v>32</v>
      </c>
      <c r="Z93">
        <v>649.28649828337302</v>
      </c>
    </row>
    <row r="94" spans="1:26" x14ac:dyDescent="0.3">
      <c r="A94" t="s">
        <v>33</v>
      </c>
      <c r="B94" t="s">
        <v>150</v>
      </c>
      <c r="C94">
        <v>8.6120755825582105</v>
      </c>
      <c r="D94">
        <v>18</v>
      </c>
      <c r="E94">
        <v>794</v>
      </c>
      <c r="F94">
        <v>9806.5537019999992</v>
      </c>
      <c r="G94" t="s">
        <v>48</v>
      </c>
      <c r="H94">
        <v>30</v>
      </c>
      <c r="I94">
        <v>9</v>
      </c>
      <c r="J94">
        <v>24</v>
      </c>
      <c r="K94">
        <v>5</v>
      </c>
      <c r="L94" t="s">
        <v>27</v>
      </c>
      <c r="M94">
        <v>3.2724780691901598</v>
      </c>
      <c r="N94" t="s">
        <v>37</v>
      </c>
      <c r="O94" t="s">
        <v>58</v>
      </c>
      <c r="P94">
        <f>VLOOKUP(O94, Coordinates!$A$2:$C$6, 2, FALSE)</f>
        <v>34.052199999999999</v>
      </c>
      <c r="Q94">
        <f>VLOOKUP(O94, Coordinates!$A$2:$C$6, 3, FALSE)</f>
        <v>-118.2437</v>
      </c>
      <c r="R94">
        <v>3</v>
      </c>
      <c r="S94">
        <v>174</v>
      </c>
      <c r="T94">
        <v>2</v>
      </c>
      <c r="U94">
        <v>32.228903433867998</v>
      </c>
      <c r="V94" t="s">
        <v>30</v>
      </c>
      <c r="W94">
        <v>4.36004426749993</v>
      </c>
      <c r="X94" t="s">
        <v>52</v>
      </c>
      <c r="Y94" t="s">
        <v>32</v>
      </c>
      <c r="Z94">
        <v>871.74616753242799</v>
      </c>
    </row>
    <row r="95" spans="1:26" x14ac:dyDescent="0.3">
      <c r="A95" t="s">
        <v>61</v>
      </c>
      <c r="B95" t="s">
        <v>151</v>
      </c>
      <c r="C95">
        <v>75.889689460774605</v>
      </c>
      <c r="D95">
        <v>7</v>
      </c>
      <c r="E95">
        <v>408</v>
      </c>
      <c r="F95">
        <v>1096.03114305546</v>
      </c>
      <c r="G95" t="s">
        <v>54</v>
      </c>
      <c r="H95">
        <v>2</v>
      </c>
      <c r="I95">
        <v>25</v>
      </c>
      <c r="J95">
        <v>66</v>
      </c>
      <c r="K95">
        <v>4</v>
      </c>
      <c r="L95" t="s">
        <v>44</v>
      </c>
      <c r="M95">
        <v>3.8799646318390102</v>
      </c>
      <c r="N95" t="s">
        <v>28</v>
      </c>
      <c r="O95" t="s">
        <v>67</v>
      </c>
      <c r="P95">
        <f>VLOOKUP(O95, Coordinates!$A$2:$C$6, 2, FALSE)</f>
        <v>40.712800000000001</v>
      </c>
      <c r="Q95">
        <f>VLOOKUP(O95, Coordinates!$A$2:$C$6, 3, FALSE)</f>
        <v>-74.006</v>
      </c>
      <c r="R95">
        <v>28</v>
      </c>
      <c r="S95">
        <v>572</v>
      </c>
      <c r="T95">
        <v>20</v>
      </c>
      <c r="U95">
        <v>91.485758270000005</v>
      </c>
      <c r="V95" t="s">
        <v>55</v>
      </c>
      <c r="W95">
        <v>2.8895730492609002</v>
      </c>
      <c r="X95" t="s">
        <v>52</v>
      </c>
      <c r="Y95" t="s">
        <v>32</v>
      </c>
      <c r="Z95">
        <v>828.59617098724004</v>
      </c>
    </row>
    <row r="96" spans="1:26" x14ac:dyDescent="0.3">
      <c r="A96" t="s">
        <v>61</v>
      </c>
      <c r="B96" t="s">
        <v>152</v>
      </c>
      <c r="C96">
        <v>67.608375749349605</v>
      </c>
      <c r="D96">
        <v>40</v>
      </c>
      <c r="E96">
        <v>86</v>
      </c>
      <c r="F96">
        <v>6604.6714873972896</v>
      </c>
      <c r="G96" t="s">
        <v>48</v>
      </c>
      <c r="H96">
        <v>66</v>
      </c>
      <c r="I96">
        <v>27</v>
      </c>
      <c r="J96">
        <v>14</v>
      </c>
      <c r="K96">
        <v>1</v>
      </c>
      <c r="L96" t="s">
        <v>27</v>
      </c>
      <c r="M96">
        <v>7.8989610832746804</v>
      </c>
      <c r="N96" t="s">
        <v>51</v>
      </c>
      <c r="O96" t="s">
        <v>29</v>
      </c>
      <c r="P96">
        <f>VLOOKUP(O96, Coordinates!$A$2:$C$6, 2, FALSE)</f>
        <v>29.760400000000001</v>
      </c>
      <c r="Q96">
        <f>VLOOKUP(O96, Coordinates!$A$2:$C$6, 3, FALSE)</f>
        <v>-95.369799999999998</v>
      </c>
      <c r="R96">
        <v>9</v>
      </c>
      <c r="S96">
        <v>100</v>
      </c>
      <c r="T96">
        <v>29</v>
      </c>
      <c r="U96">
        <v>10.159475618886001</v>
      </c>
      <c r="V96" t="s">
        <v>30</v>
      </c>
      <c r="W96">
        <v>2.05077903585798</v>
      </c>
      <c r="X96" t="s">
        <v>46</v>
      </c>
      <c r="Y96" t="s">
        <v>32</v>
      </c>
      <c r="Z96">
        <v>870.47314214274695</v>
      </c>
    </row>
    <row r="97" spans="1:26" x14ac:dyDescent="0.3">
      <c r="A97" t="s">
        <v>72</v>
      </c>
      <c r="B97" t="s">
        <v>153</v>
      </c>
      <c r="C97">
        <v>25.295366526471401</v>
      </c>
      <c r="D97">
        <v>70</v>
      </c>
      <c r="E97">
        <v>645</v>
      </c>
      <c r="F97">
        <v>14683.9602686167</v>
      </c>
      <c r="G97" t="s">
        <v>35</v>
      </c>
      <c r="H97">
        <v>89</v>
      </c>
      <c r="I97">
        <v>8</v>
      </c>
      <c r="J97">
        <v>46</v>
      </c>
      <c r="K97">
        <v>9</v>
      </c>
      <c r="L97" t="s">
        <v>44</v>
      </c>
      <c r="M97">
        <v>4.3290378955619904</v>
      </c>
      <c r="N97" t="s">
        <v>57</v>
      </c>
      <c r="O97" t="s">
        <v>29</v>
      </c>
      <c r="P97">
        <f>VLOOKUP(O97, Coordinates!$A$2:$C$6, 2, FALSE)</f>
        <v>29.760400000000001</v>
      </c>
      <c r="Q97">
        <f>VLOOKUP(O97, Coordinates!$A$2:$C$6, 3, FALSE)</f>
        <v>-95.369799999999998</v>
      </c>
      <c r="R97">
        <v>30</v>
      </c>
      <c r="S97">
        <v>515</v>
      </c>
      <c r="T97">
        <v>28</v>
      </c>
      <c r="U97">
        <v>87.708898199999993</v>
      </c>
      <c r="V97" t="s">
        <v>55</v>
      </c>
      <c r="W97">
        <v>4.9832132041065504</v>
      </c>
      <c r="X97" t="s">
        <v>31</v>
      </c>
      <c r="Y97" t="s">
        <v>32</v>
      </c>
      <c r="Z97">
        <v>257.13974672221798</v>
      </c>
    </row>
    <row r="98" spans="1:26" x14ac:dyDescent="0.3">
      <c r="A98" t="s">
        <v>33</v>
      </c>
      <c r="B98" t="s">
        <v>154</v>
      </c>
      <c r="C98">
        <v>15.0099157255165</v>
      </c>
      <c r="D98">
        <v>86</v>
      </c>
      <c r="E98">
        <v>994</v>
      </c>
      <c r="F98">
        <v>8738.6904130160892</v>
      </c>
      <c r="G98" t="s">
        <v>26</v>
      </c>
      <c r="H98">
        <v>1</v>
      </c>
      <c r="I98">
        <v>22</v>
      </c>
      <c r="J98">
        <v>95</v>
      </c>
      <c r="K98">
        <v>9</v>
      </c>
      <c r="L98" t="s">
        <v>36</v>
      </c>
      <c r="M98">
        <v>2.3542613049358398</v>
      </c>
      <c r="N98" t="s">
        <v>57</v>
      </c>
      <c r="O98" t="s">
        <v>67</v>
      </c>
      <c r="P98">
        <f>VLOOKUP(O98, Coordinates!$A$2:$C$6, 2, FALSE)</f>
        <v>40.712800000000001</v>
      </c>
      <c r="Q98">
        <f>VLOOKUP(O98, Coordinates!$A$2:$C$6, 3, FALSE)</f>
        <v>-74.006</v>
      </c>
      <c r="R98">
        <v>12</v>
      </c>
      <c r="S98">
        <v>568</v>
      </c>
      <c r="T98">
        <v>19</v>
      </c>
      <c r="U98">
        <v>92.440338485110303</v>
      </c>
      <c r="V98" t="s">
        <v>30</v>
      </c>
      <c r="W98">
        <v>0.10604567623269601</v>
      </c>
      <c r="X98" t="s">
        <v>40</v>
      </c>
      <c r="Y98" t="s">
        <v>32</v>
      </c>
      <c r="Z98">
        <v>685.07615030334</v>
      </c>
    </row>
    <row r="99" spans="1:26" x14ac:dyDescent="0.3">
      <c r="A99" t="s">
        <v>72</v>
      </c>
      <c r="B99" t="s">
        <v>155</v>
      </c>
      <c r="C99">
        <v>31.563371937324899</v>
      </c>
      <c r="D99">
        <v>65</v>
      </c>
      <c r="E99">
        <v>386</v>
      </c>
      <c r="F99">
        <v>10965.1154110267</v>
      </c>
      <c r="G99" t="s">
        <v>26</v>
      </c>
      <c r="H99">
        <v>16</v>
      </c>
      <c r="I99">
        <v>17</v>
      </c>
      <c r="J99">
        <v>95</v>
      </c>
      <c r="K99">
        <v>5</v>
      </c>
      <c r="L99" t="s">
        <v>44</v>
      </c>
      <c r="M99">
        <v>12.2196121694603</v>
      </c>
      <c r="N99" t="s">
        <v>37</v>
      </c>
      <c r="O99" t="s">
        <v>67</v>
      </c>
      <c r="P99">
        <f>VLOOKUP(O99, Coordinates!$A$2:$C$6, 2, FALSE)</f>
        <v>40.712800000000001</v>
      </c>
      <c r="Q99">
        <f>VLOOKUP(O99, Coordinates!$A$2:$C$6, 3, FALSE)</f>
        <v>-74.006</v>
      </c>
      <c r="R99">
        <v>19</v>
      </c>
      <c r="S99">
        <v>464</v>
      </c>
      <c r="T99">
        <v>6</v>
      </c>
      <c r="U99">
        <v>84.072657994238995</v>
      </c>
      <c r="V99" t="s">
        <v>30</v>
      </c>
      <c r="W99">
        <v>1.5217054210196099</v>
      </c>
      <c r="X99" t="s">
        <v>31</v>
      </c>
      <c r="Y99" t="s">
        <v>60</v>
      </c>
      <c r="Z99">
        <v>961.06783440000004</v>
      </c>
    </row>
    <row r="100" spans="1:26" x14ac:dyDescent="0.3">
      <c r="A100" t="s">
        <v>24</v>
      </c>
      <c r="B100" t="s">
        <v>156</v>
      </c>
      <c r="C100">
        <v>20.192586062797101</v>
      </c>
      <c r="D100">
        <v>68</v>
      </c>
      <c r="E100">
        <v>869</v>
      </c>
      <c r="F100">
        <v>15792.6215597136</v>
      </c>
      <c r="G100" t="s">
        <v>48</v>
      </c>
      <c r="H100">
        <v>59</v>
      </c>
      <c r="I100">
        <v>9</v>
      </c>
      <c r="J100">
        <v>31</v>
      </c>
      <c r="K100">
        <v>9</v>
      </c>
      <c r="L100" t="s">
        <v>27</v>
      </c>
      <c r="M100">
        <v>8.55749964440359</v>
      </c>
      <c r="N100" t="s">
        <v>37</v>
      </c>
      <c r="O100" t="s">
        <v>67</v>
      </c>
      <c r="P100">
        <f>VLOOKUP(O100, Coordinates!$A$2:$C$6, 2, FALSE)</f>
        <v>40.712800000000001</v>
      </c>
      <c r="Q100">
        <f>VLOOKUP(O100, Coordinates!$A$2:$C$6, 3, FALSE)</f>
        <v>-74.006</v>
      </c>
      <c r="R100">
        <v>18</v>
      </c>
      <c r="S100">
        <v>944</v>
      </c>
      <c r="T100">
        <v>11</v>
      </c>
      <c r="U100">
        <v>79.1530818679893</v>
      </c>
      <c r="V100" t="s">
        <v>30</v>
      </c>
      <c r="W100">
        <v>1.3933657632350001</v>
      </c>
      <c r="X100" t="s">
        <v>46</v>
      </c>
      <c r="Y100" t="s">
        <v>32</v>
      </c>
      <c r="Z100">
        <v>804.92604811450406</v>
      </c>
    </row>
    <row r="101" spans="1:26" x14ac:dyDescent="0.3">
      <c r="A101" t="s">
        <v>24</v>
      </c>
      <c r="B101" t="s">
        <v>157</v>
      </c>
      <c r="C101">
        <v>34.629853821487899</v>
      </c>
      <c r="D101">
        <v>49</v>
      </c>
      <c r="E101">
        <v>796</v>
      </c>
      <c r="F101">
        <v>24808.827277713899</v>
      </c>
      <c r="G101" t="s">
        <v>35</v>
      </c>
      <c r="H101">
        <v>73</v>
      </c>
      <c r="I101">
        <v>6</v>
      </c>
      <c r="J101">
        <v>61</v>
      </c>
      <c r="K101">
        <v>10</v>
      </c>
      <c r="L101" t="s">
        <v>44</v>
      </c>
      <c r="M101">
        <v>3.1959511331600101</v>
      </c>
      <c r="N101" t="s">
        <v>57</v>
      </c>
      <c r="O101" t="s">
        <v>29</v>
      </c>
      <c r="P101">
        <f>VLOOKUP(O101, Coordinates!$A$2:$C$6, 2, FALSE)</f>
        <v>29.760400000000001</v>
      </c>
      <c r="Q101">
        <f>VLOOKUP(O101, Coordinates!$A$2:$C$6, 3, FALSE)</f>
        <v>-95.369799999999998</v>
      </c>
      <c r="R101">
        <v>16</v>
      </c>
      <c r="S101">
        <v>773</v>
      </c>
      <c r="T101">
        <v>17</v>
      </c>
      <c r="U101">
        <v>90.564421119294806</v>
      </c>
      <c r="V101" t="s">
        <v>30</v>
      </c>
      <c r="W101">
        <v>1.78101799028959</v>
      </c>
      <c r="X101" t="s">
        <v>31</v>
      </c>
      <c r="Y101" t="s">
        <v>41</v>
      </c>
      <c r="Z101">
        <v>103.051340917922</v>
      </c>
    </row>
    <row r="102" spans="1:26" x14ac:dyDescent="0.3">
      <c r="A102" t="s">
        <v>72</v>
      </c>
      <c r="B102" t="s">
        <v>158</v>
      </c>
      <c r="C102">
        <v>28.631230797443401</v>
      </c>
      <c r="D102">
        <v>52</v>
      </c>
      <c r="E102">
        <v>274</v>
      </c>
      <c r="F102">
        <v>7060.4615146495498</v>
      </c>
      <c r="G102" t="s">
        <v>35</v>
      </c>
      <c r="H102">
        <v>65</v>
      </c>
      <c r="I102">
        <v>28</v>
      </c>
      <c r="J102">
        <v>24</v>
      </c>
      <c r="K102">
        <v>9</v>
      </c>
      <c r="L102" t="s">
        <v>44</v>
      </c>
      <c r="M102">
        <v>7.6000178808503804</v>
      </c>
      <c r="N102" t="s">
        <v>45</v>
      </c>
      <c r="O102" t="s">
        <v>38</v>
      </c>
      <c r="P102">
        <f>VLOOKUP(O102, Coordinates!$A$2:$C$6, 2, FALSE)</f>
        <v>25.761700000000001</v>
      </c>
      <c r="Q102">
        <f>VLOOKUP(O102, Coordinates!$A$2:$C$6, 3, FALSE)</f>
        <v>-80.191800000000001</v>
      </c>
      <c r="R102">
        <v>29</v>
      </c>
      <c r="S102">
        <v>116</v>
      </c>
      <c r="T102">
        <v>9</v>
      </c>
      <c r="U102">
        <v>84.4812581797771</v>
      </c>
      <c r="V102" t="s">
        <v>39</v>
      </c>
      <c r="W102">
        <v>3.9530466424731898</v>
      </c>
      <c r="X102" t="s">
        <v>40</v>
      </c>
      <c r="Y102" t="s">
        <v>60</v>
      </c>
      <c r="Z102">
        <v>894.07595039906005</v>
      </c>
    </row>
    <row r="103" spans="1:26" x14ac:dyDescent="0.3">
      <c r="A103" t="s">
        <v>24</v>
      </c>
      <c r="B103" t="s">
        <v>159</v>
      </c>
      <c r="C103">
        <v>36.916002038859602</v>
      </c>
      <c r="D103">
        <v>29</v>
      </c>
      <c r="E103">
        <v>296</v>
      </c>
      <c r="F103">
        <v>9834.4229431522199</v>
      </c>
      <c r="G103" t="s">
        <v>54</v>
      </c>
      <c r="H103">
        <v>87</v>
      </c>
      <c r="I103">
        <v>15</v>
      </c>
      <c r="J103">
        <v>26</v>
      </c>
      <c r="K103">
        <v>7</v>
      </c>
      <c r="L103" t="s">
        <v>44</v>
      </c>
      <c r="M103">
        <v>1.9570749982207301</v>
      </c>
      <c r="N103" t="s">
        <v>51</v>
      </c>
      <c r="O103" t="s">
        <v>58</v>
      </c>
      <c r="P103">
        <f>VLOOKUP(O103, Coordinates!$A$2:$C$6, 2, FALSE)</f>
        <v>34.052199999999999</v>
      </c>
      <c r="Q103">
        <f>VLOOKUP(O103, Coordinates!$A$2:$C$6, 3, FALSE)</f>
        <v>-118.2437</v>
      </c>
      <c r="R103">
        <v>19</v>
      </c>
      <c r="S103">
        <v>609</v>
      </c>
      <c r="T103">
        <v>5</v>
      </c>
      <c r="U103">
        <v>89.341224825140799</v>
      </c>
      <c r="V103" t="s">
        <v>39</v>
      </c>
      <c r="W103">
        <v>1.3213141771572701</v>
      </c>
      <c r="X103" t="s">
        <v>40</v>
      </c>
      <c r="Y103" t="s">
        <v>60</v>
      </c>
      <c r="Z103">
        <v>735.20186499576403</v>
      </c>
    </row>
    <row r="104" spans="1:26" x14ac:dyDescent="0.3">
      <c r="A104" t="s">
        <v>33</v>
      </c>
      <c r="B104" t="s">
        <v>160</v>
      </c>
      <c r="C104">
        <v>97.221245978713597</v>
      </c>
      <c r="D104">
        <v>21</v>
      </c>
      <c r="E104">
        <v>457</v>
      </c>
      <c r="F104">
        <v>2651.1209628297802</v>
      </c>
      <c r="G104" t="s">
        <v>26</v>
      </c>
      <c r="H104">
        <v>74</v>
      </c>
      <c r="I104">
        <v>23</v>
      </c>
      <c r="J104">
        <v>60</v>
      </c>
      <c r="K104">
        <v>8</v>
      </c>
      <c r="L104" t="s">
        <v>44</v>
      </c>
      <c r="M104">
        <v>9.12601809066261</v>
      </c>
      <c r="N104" t="s">
        <v>51</v>
      </c>
      <c r="O104" t="s">
        <v>29</v>
      </c>
      <c r="P104">
        <f>VLOOKUP(O104, Coordinates!$A$2:$C$6, 2, FALSE)</f>
        <v>29.760400000000001</v>
      </c>
      <c r="Q104">
        <f>VLOOKUP(O104, Coordinates!$A$2:$C$6, 3, FALSE)</f>
        <v>-95.369799999999998</v>
      </c>
      <c r="R104">
        <v>5</v>
      </c>
      <c r="S104">
        <v>854</v>
      </c>
      <c r="T104">
        <v>5</v>
      </c>
      <c r="U104">
        <v>45.5301789456881</v>
      </c>
      <c r="V104" t="s">
        <v>30</v>
      </c>
      <c r="W104">
        <v>1.2883855495866301</v>
      </c>
      <c r="X104" t="s">
        <v>31</v>
      </c>
      <c r="Y104" t="s">
        <v>60</v>
      </c>
      <c r="Z104">
        <v>209.85585032812301</v>
      </c>
    </row>
    <row r="105" spans="1:26" x14ac:dyDescent="0.3">
      <c r="A105" t="s">
        <v>82</v>
      </c>
      <c r="B105" t="s">
        <v>161</v>
      </c>
      <c r="C105">
        <v>94.519962018953294</v>
      </c>
      <c r="D105">
        <v>90</v>
      </c>
      <c r="E105">
        <v>719</v>
      </c>
      <c r="F105">
        <v>7825.6330573078203</v>
      </c>
      <c r="G105" t="s">
        <v>35</v>
      </c>
      <c r="H105">
        <v>23</v>
      </c>
      <c r="I105">
        <v>24</v>
      </c>
      <c r="J105">
        <v>54</v>
      </c>
      <c r="K105">
        <v>1</v>
      </c>
      <c r="L105" t="s">
        <v>44</v>
      </c>
      <c r="M105">
        <v>5.7642674743717404</v>
      </c>
      <c r="N105" t="s">
        <v>37</v>
      </c>
      <c r="O105" t="s">
        <v>65</v>
      </c>
      <c r="P105">
        <f>VLOOKUP(O105, Coordinates!$A$2:$C$6, 2, FALSE)</f>
        <v>41.878100000000003</v>
      </c>
      <c r="Q105">
        <f>VLOOKUP(O105, Coordinates!$A$2:$C$6, 3, FALSE)</f>
        <v>-87.629800000000003</v>
      </c>
      <c r="R105">
        <v>12</v>
      </c>
      <c r="S105">
        <v>538</v>
      </c>
      <c r="T105">
        <v>16</v>
      </c>
      <c r="U105">
        <v>81.077025369967998</v>
      </c>
      <c r="V105" t="s">
        <v>55</v>
      </c>
      <c r="W105">
        <v>2.5287202537621498</v>
      </c>
      <c r="X105" t="s">
        <v>46</v>
      </c>
      <c r="Y105" t="s">
        <v>60</v>
      </c>
      <c r="Z105">
        <v>382.44032443903802</v>
      </c>
    </row>
    <row r="106" spans="1:26" x14ac:dyDescent="0.3">
      <c r="A106" t="s">
        <v>72</v>
      </c>
      <c r="B106" t="s">
        <v>162</v>
      </c>
      <c r="C106">
        <v>31.110400045297201</v>
      </c>
      <c r="D106">
        <v>78</v>
      </c>
      <c r="E106">
        <v>28</v>
      </c>
      <c r="F106">
        <v>783.98208114149099</v>
      </c>
      <c r="G106" t="s">
        <v>35</v>
      </c>
      <c r="H106">
        <v>98</v>
      </c>
      <c r="I106">
        <v>13</v>
      </c>
      <c r="J106">
        <v>72</v>
      </c>
      <c r="K106">
        <v>4</v>
      </c>
      <c r="L106" t="s">
        <v>27</v>
      </c>
      <c r="M106">
        <v>2.44939941482229</v>
      </c>
      <c r="N106" t="s">
        <v>37</v>
      </c>
      <c r="O106" t="s">
        <v>65</v>
      </c>
      <c r="P106">
        <f>VLOOKUP(O106, Coordinates!$A$2:$C$6, 2, FALSE)</f>
        <v>41.878100000000003</v>
      </c>
      <c r="Q106">
        <f>VLOOKUP(O106, Coordinates!$A$2:$C$6, 3, FALSE)</f>
        <v>-87.629800000000003</v>
      </c>
      <c r="R106">
        <v>6</v>
      </c>
      <c r="S106">
        <v>978</v>
      </c>
      <c r="T106">
        <v>4</v>
      </c>
      <c r="U106">
        <v>93.411391494911101</v>
      </c>
      <c r="V106" t="s">
        <v>30</v>
      </c>
      <c r="W106">
        <v>1.95527638517215</v>
      </c>
      <c r="X106" t="s">
        <v>31</v>
      </c>
      <c r="Y106" t="s">
        <v>32</v>
      </c>
      <c r="Z106">
        <v>205.76333109871399</v>
      </c>
    </row>
    <row r="107" spans="1:26" x14ac:dyDescent="0.3">
      <c r="A107" t="s">
        <v>42</v>
      </c>
      <c r="B107" t="s">
        <v>163</v>
      </c>
      <c r="C107">
        <v>38.709929224404497</v>
      </c>
      <c r="D107">
        <v>9</v>
      </c>
      <c r="E107">
        <v>960</v>
      </c>
      <c r="F107">
        <v>8351.9018730440403</v>
      </c>
      <c r="G107" t="s">
        <v>54</v>
      </c>
      <c r="H107">
        <v>86</v>
      </c>
      <c r="I107">
        <v>21</v>
      </c>
      <c r="J107">
        <v>37</v>
      </c>
      <c r="K107">
        <v>10</v>
      </c>
      <c r="L107" t="s">
        <v>44</v>
      </c>
      <c r="M107">
        <v>3.5710138981575601</v>
      </c>
      <c r="N107" t="s">
        <v>45</v>
      </c>
      <c r="O107" t="s">
        <v>38</v>
      </c>
      <c r="P107">
        <f>VLOOKUP(O107, Coordinates!$A$2:$C$6, 2, FALSE)</f>
        <v>25.761700000000001</v>
      </c>
      <c r="Q107">
        <f>VLOOKUP(O107, Coordinates!$A$2:$C$6, 3, FALSE)</f>
        <v>-80.191800000000001</v>
      </c>
      <c r="R107">
        <v>26</v>
      </c>
      <c r="S107">
        <v>630</v>
      </c>
      <c r="T107">
        <v>20</v>
      </c>
      <c r="U107">
        <v>52.984713936580299</v>
      </c>
      <c r="V107" t="s">
        <v>39</v>
      </c>
      <c r="W107">
        <v>3.8179163664683999</v>
      </c>
      <c r="X107" t="s">
        <v>46</v>
      </c>
      <c r="Y107" t="s">
        <v>32</v>
      </c>
      <c r="Z107">
        <v>756.82944799999996</v>
      </c>
    </row>
    <row r="108" spans="1:26" x14ac:dyDescent="0.3">
      <c r="A108" t="s">
        <v>42</v>
      </c>
      <c r="B108" t="s">
        <v>164</v>
      </c>
      <c r="C108">
        <v>44.152438369999999</v>
      </c>
      <c r="D108">
        <v>47</v>
      </c>
      <c r="E108">
        <v>957</v>
      </c>
      <c r="F108">
        <v>1125.5411682271999</v>
      </c>
      <c r="G108" t="s">
        <v>54</v>
      </c>
      <c r="H108">
        <v>3</v>
      </c>
      <c r="I108">
        <v>27</v>
      </c>
      <c r="J108">
        <v>68</v>
      </c>
      <c r="K108">
        <v>10</v>
      </c>
      <c r="L108" t="s">
        <v>27</v>
      </c>
      <c r="M108">
        <v>5.8398378679101697</v>
      </c>
      <c r="N108" t="s">
        <v>37</v>
      </c>
      <c r="O108" t="s">
        <v>67</v>
      </c>
      <c r="P108">
        <f>VLOOKUP(O108, Coordinates!$A$2:$C$6, 2, FALSE)</f>
        <v>40.712800000000001</v>
      </c>
      <c r="Q108">
        <f>VLOOKUP(O108, Coordinates!$A$2:$C$6, 3, FALSE)</f>
        <v>-74.006</v>
      </c>
      <c r="R108">
        <v>26</v>
      </c>
      <c r="S108">
        <v>941</v>
      </c>
      <c r="T108">
        <v>29</v>
      </c>
      <c r="U108">
        <v>30.9235376559567</v>
      </c>
      <c r="V108" t="s">
        <v>55</v>
      </c>
      <c r="W108">
        <v>2.5720057993384202</v>
      </c>
      <c r="X108" t="s">
        <v>52</v>
      </c>
      <c r="Y108" t="s">
        <v>32</v>
      </c>
      <c r="Z108">
        <v>103.171497769108</v>
      </c>
    </row>
    <row r="109" spans="1:26" x14ac:dyDescent="0.3">
      <c r="A109" t="s">
        <v>61</v>
      </c>
      <c r="B109" t="s">
        <v>165</v>
      </c>
      <c r="C109">
        <v>57.213524153297797</v>
      </c>
      <c r="D109">
        <v>76</v>
      </c>
      <c r="E109">
        <v>315</v>
      </c>
      <c r="F109">
        <v>6914.0695519999999</v>
      </c>
      <c r="G109" t="s">
        <v>48</v>
      </c>
      <c r="H109">
        <v>86</v>
      </c>
      <c r="I109">
        <v>12</v>
      </c>
      <c r="J109">
        <v>95</v>
      </c>
      <c r="K109">
        <v>4</v>
      </c>
      <c r="L109" t="s">
        <v>36</v>
      </c>
      <c r="M109">
        <v>12.289704360091299</v>
      </c>
      <c r="N109" t="s">
        <v>51</v>
      </c>
      <c r="O109" t="s">
        <v>67</v>
      </c>
      <c r="P109">
        <f>VLOOKUP(O109, Coordinates!$A$2:$C$6, 2, FALSE)</f>
        <v>40.712800000000001</v>
      </c>
      <c r="Q109">
        <f>VLOOKUP(O109, Coordinates!$A$2:$C$6, 3, FALSE)</f>
        <v>-74.006</v>
      </c>
      <c r="R109">
        <v>15</v>
      </c>
      <c r="S109">
        <v>158</v>
      </c>
      <c r="T109">
        <v>13</v>
      </c>
      <c r="U109">
        <v>63.973424591754302</v>
      </c>
      <c r="V109" t="s">
        <v>30</v>
      </c>
      <c r="W109">
        <v>0.91710926184865205</v>
      </c>
      <c r="X109" t="s">
        <v>40</v>
      </c>
      <c r="Y109" t="s">
        <v>41</v>
      </c>
      <c r="Z109">
        <v>518.06996326712601</v>
      </c>
    </row>
    <row r="110" spans="1:26" x14ac:dyDescent="0.3">
      <c r="A110" t="s">
        <v>24</v>
      </c>
      <c r="B110" t="s">
        <v>166</v>
      </c>
      <c r="C110">
        <v>36.693136260000003</v>
      </c>
      <c r="D110">
        <v>42</v>
      </c>
      <c r="E110">
        <v>465</v>
      </c>
      <c r="F110">
        <v>15356.077523052099</v>
      </c>
      <c r="G110" t="s">
        <v>26</v>
      </c>
      <c r="H110">
        <v>97</v>
      </c>
      <c r="I110">
        <v>13</v>
      </c>
      <c r="J110">
        <v>30</v>
      </c>
      <c r="K110">
        <v>9</v>
      </c>
      <c r="L110" t="s">
        <v>44</v>
      </c>
      <c r="M110">
        <v>3.4325797472175199</v>
      </c>
      <c r="N110" t="s">
        <v>57</v>
      </c>
      <c r="O110" t="s">
        <v>58</v>
      </c>
      <c r="P110">
        <f>VLOOKUP(O110, Coordinates!$A$2:$C$6, 2, FALSE)</f>
        <v>34.052199999999999</v>
      </c>
      <c r="Q110">
        <f>VLOOKUP(O110, Coordinates!$A$2:$C$6, 3, FALSE)</f>
        <v>-118.2437</v>
      </c>
      <c r="R110">
        <v>30</v>
      </c>
      <c r="S110">
        <v>812</v>
      </c>
      <c r="T110">
        <v>17</v>
      </c>
      <c r="U110">
        <v>82.068095664386504</v>
      </c>
      <c r="V110" t="s">
        <v>55</v>
      </c>
      <c r="W110">
        <v>4.0502248946725299</v>
      </c>
      <c r="X110" t="s">
        <v>31</v>
      </c>
      <c r="Y110" t="s">
        <v>32</v>
      </c>
      <c r="Z110">
        <v>999.82807610079101</v>
      </c>
    </row>
    <row r="111" spans="1:26" x14ac:dyDescent="0.3">
      <c r="A111" t="s">
        <v>42</v>
      </c>
      <c r="B111" t="s">
        <v>167</v>
      </c>
      <c r="C111">
        <v>11.527719089235401</v>
      </c>
      <c r="D111">
        <v>51</v>
      </c>
      <c r="E111">
        <v>212</v>
      </c>
      <c r="F111">
        <v>6503.4536744727902</v>
      </c>
      <c r="G111" t="s">
        <v>35</v>
      </c>
      <c r="H111">
        <v>18</v>
      </c>
      <c r="I111">
        <v>7</v>
      </c>
      <c r="J111">
        <v>51</v>
      </c>
      <c r="K111">
        <v>3</v>
      </c>
      <c r="L111" t="s">
        <v>36</v>
      </c>
      <c r="M111">
        <v>2.5352991008991701</v>
      </c>
      <c r="N111" t="s">
        <v>51</v>
      </c>
      <c r="O111" t="s">
        <v>65</v>
      </c>
      <c r="P111">
        <f>VLOOKUP(O111, Coordinates!$A$2:$C$6, 2, FALSE)</f>
        <v>41.878100000000003</v>
      </c>
      <c r="Q111">
        <f>VLOOKUP(O111, Coordinates!$A$2:$C$6, 3, FALSE)</f>
        <v>-87.629800000000003</v>
      </c>
      <c r="R111">
        <v>10</v>
      </c>
      <c r="S111">
        <v>214</v>
      </c>
      <c r="T111">
        <v>9</v>
      </c>
      <c r="U111">
        <v>32.973783219632402</v>
      </c>
      <c r="V111" t="s">
        <v>55</v>
      </c>
      <c r="W111">
        <v>2.3609759917027802</v>
      </c>
      <c r="X111" t="s">
        <v>40</v>
      </c>
      <c r="Y111" t="s">
        <v>32</v>
      </c>
      <c r="Z111">
        <v>866.01748000024304</v>
      </c>
    </row>
    <row r="112" spans="1:26" x14ac:dyDescent="0.3">
      <c r="A112" t="s">
        <v>61</v>
      </c>
      <c r="B112" t="s">
        <v>168</v>
      </c>
      <c r="C112">
        <v>45.308204159064303</v>
      </c>
      <c r="D112">
        <v>56</v>
      </c>
      <c r="E112">
        <v>796</v>
      </c>
      <c r="F112">
        <v>7264.2826629020201</v>
      </c>
      <c r="G112" t="s">
        <v>48</v>
      </c>
      <c r="H112">
        <v>65</v>
      </c>
      <c r="I112">
        <v>23</v>
      </c>
      <c r="J112">
        <v>90</v>
      </c>
      <c r="K112">
        <v>10</v>
      </c>
      <c r="L112" t="s">
        <v>27</v>
      </c>
      <c r="M112">
        <v>8.2231460910000003</v>
      </c>
      <c r="N112" t="s">
        <v>45</v>
      </c>
      <c r="O112" t="s">
        <v>38</v>
      </c>
      <c r="P112">
        <f>VLOOKUP(O112, Coordinates!$A$2:$C$6, 2, FALSE)</f>
        <v>25.761700000000001</v>
      </c>
      <c r="Q112">
        <f>VLOOKUP(O112, Coordinates!$A$2:$C$6, 3, FALSE)</f>
        <v>-80.191800000000001</v>
      </c>
      <c r="R112">
        <v>28</v>
      </c>
      <c r="S112">
        <v>302</v>
      </c>
      <c r="T112">
        <v>25</v>
      </c>
      <c r="U112">
        <v>82.683978705731107</v>
      </c>
      <c r="V112" t="s">
        <v>39</v>
      </c>
      <c r="W112">
        <v>4.3319432999999998</v>
      </c>
      <c r="X112" t="s">
        <v>40</v>
      </c>
      <c r="Y112" t="s">
        <v>41</v>
      </c>
      <c r="Z112">
        <v>628.499543066093</v>
      </c>
    </row>
    <row r="113" spans="1:26" x14ac:dyDescent="0.3">
      <c r="A113" t="s">
        <v>82</v>
      </c>
      <c r="B113" t="s">
        <v>169</v>
      </c>
      <c r="C113">
        <v>12.8486780286305</v>
      </c>
      <c r="D113">
        <v>51</v>
      </c>
      <c r="E113">
        <v>721</v>
      </c>
      <c r="F113">
        <v>4082.2769726767301</v>
      </c>
      <c r="G113" t="s">
        <v>26</v>
      </c>
      <c r="H113">
        <v>59</v>
      </c>
      <c r="I113">
        <v>18</v>
      </c>
      <c r="J113">
        <v>78</v>
      </c>
      <c r="K113">
        <v>10</v>
      </c>
      <c r="L113" t="s">
        <v>44</v>
      </c>
      <c r="M113">
        <v>8.8217574957237002</v>
      </c>
      <c r="N113" t="s">
        <v>57</v>
      </c>
      <c r="O113" t="s">
        <v>29</v>
      </c>
      <c r="P113">
        <f>VLOOKUP(O113, Coordinates!$A$2:$C$6, 2, FALSE)</f>
        <v>29.760400000000001</v>
      </c>
      <c r="Q113">
        <f>VLOOKUP(O113, Coordinates!$A$2:$C$6, 3, FALSE)</f>
        <v>-95.369799999999998</v>
      </c>
      <c r="R113">
        <v>7</v>
      </c>
      <c r="S113">
        <v>905</v>
      </c>
      <c r="T113">
        <v>13</v>
      </c>
      <c r="U113">
        <v>23.883925176695101</v>
      </c>
      <c r="V113" t="s">
        <v>30</v>
      </c>
      <c r="W113">
        <v>0.83439921500000003</v>
      </c>
      <c r="X113" t="s">
        <v>31</v>
      </c>
      <c r="Y113" t="s">
        <v>32</v>
      </c>
      <c r="Z113">
        <v>724.54072959999996</v>
      </c>
    </row>
    <row r="114" spans="1:26" x14ac:dyDescent="0.3">
      <c r="A114" t="s">
        <v>33</v>
      </c>
      <c r="B114" t="s">
        <v>170</v>
      </c>
      <c r="C114">
        <v>53.892470719999999</v>
      </c>
      <c r="D114">
        <v>70</v>
      </c>
      <c r="E114">
        <v>668</v>
      </c>
      <c r="F114">
        <v>1971.6620329975101</v>
      </c>
      <c r="G114" t="s">
        <v>48</v>
      </c>
      <c r="H114">
        <v>65</v>
      </c>
      <c r="I114">
        <v>14</v>
      </c>
      <c r="J114">
        <v>91</v>
      </c>
      <c r="K114">
        <v>1</v>
      </c>
      <c r="L114" t="s">
        <v>36</v>
      </c>
      <c r="M114">
        <v>2.2633784473438401</v>
      </c>
      <c r="N114" t="s">
        <v>57</v>
      </c>
      <c r="O114" t="s">
        <v>65</v>
      </c>
      <c r="P114">
        <f>VLOOKUP(O114, Coordinates!$A$2:$C$6, 2, FALSE)</f>
        <v>41.878100000000003</v>
      </c>
      <c r="Q114">
        <f>VLOOKUP(O114, Coordinates!$A$2:$C$6, 3, FALSE)</f>
        <v>-87.629800000000003</v>
      </c>
      <c r="R114">
        <v>27</v>
      </c>
      <c r="S114">
        <v>642</v>
      </c>
      <c r="T114">
        <v>16</v>
      </c>
      <c r="U114">
        <v>10.496933056179101</v>
      </c>
      <c r="V114" t="s">
        <v>30</v>
      </c>
      <c r="W114">
        <v>3.9848420523947699</v>
      </c>
      <c r="X114" t="s">
        <v>52</v>
      </c>
      <c r="Y114" t="s">
        <v>32</v>
      </c>
      <c r="Z114">
        <v>643.27491182108895</v>
      </c>
    </row>
    <row r="115" spans="1:26" x14ac:dyDescent="0.3">
      <c r="A115" t="s">
        <v>33</v>
      </c>
      <c r="B115" t="s">
        <v>171</v>
      </c>
      <c r="C115">
        <v>90.395578280592304</v>
      </c>
      <c r="D115">
        <v>20</v>
      </c>
      <c r="E115">
        <v>442</v>
      </c>
      <c r="F115">
        <v>1626.8128097343899</v>
      </c>
      <c r="G115" t="s">
        <v>26</v>
      </c>
      <c r="H115">
        <v>14</v>
      </c>
      <c r="I115">
        <v>11</v>
      </c>
      <c r="J115">
        <v>26</v>
      </c>
      <c r="K115">
        <v>5</v>
      </c>
      <c r="L115" t="s">
        <v>27</v>
      </c>
      <c r="M115">
        <v>4.9827827089022199</v>
      </c>
      <c r="N115" t="s">
        <v>51</v>
      </c>
      <c r="O115" t="s">
        <v>29</v>
      </c>
      <c r="P115">
        <f>VLOOKUP(O115, Coordinates!$A$2:$C$6, 2, FALSE)</f>
        <v>29.760400000000001</v>
      </c>
      <c r="Q115">
        <f>VLOOKUP(O115, Coordinates!$A$2:$C$6, 3, FALSE)</f>
        <v>-95.369799999999998</v>
      </c>
      <c r="R115">
        <v>7</v>
      </c>
      <c r="S115">
        <v>293</v>
      </c>
      <c r="T115">
        <v>20</v>
      </c>
      <c r="U115">
        <v>40.309769530526403</v>
      </c>
      <c r="V115" t="s">
        <v>30</v>
      </c>
      <c r="W115">
        <v>3.5149659211155</v>
      </c>
      <c r="X115" t="s">
        <v>40</v>
      </c>
      <c r="Y115" t="s">
        <v>60</v>
      </c>
      <c r="Z115">
        <v>829.76135217282604</v>
      </c>
    </row>
    <row r="116" spans="1:26" x14ac:dyDescent="0.3">
      <c r="A116" t="s">
        <v>33</v>
      </c>
      <c r="B116" t="s">
        <v>172</v>
      </c>
      <c r="C116">
        <v>79.336067830000005</v>
      </c>
      <c r="D116">
        <v>88</v>
      </c>
      <c r="E116">
        <v>542</v>
      </c>
      <c r="F116">
        <v>6300.4242029999996</v>
      </c>
      <c r="G116" t="s">
        <v>26</v>
      </c>
      <c r="H116">
        <v>84</v>
      </c>
      <c r="I116">
        <v>28</v>
      </c>
      <c r="J116">
        <v>77</v>
      </c>
      <c r="K116">
        <v>7</v>
      </c>
      <c r="L116" t="s">
        <v>36</v>
      </c>
      <c r="M116">
        <v>4.6786965307995496</v>
      </c>
      <c r="N116" t="s">
        <v>57</v>
      </c>
      <c r="O116" t="s">
        <v>58</v>
      </c>
      <c r="P116">
        <f>VLOOKUP(O116, Coordinates!$A$2:$C$6, 2, FALSE)</f>
        <v>34.052199999999999</v>
      </c>
      <c r="Q116">
        <f>VLOOKUP(O116, Coordinates!$A$2:$C$6, 3, FALSE)</f>
        <v>-118.2437</v>
      </c>
      <c r="R116">
        <v>21</v>
      </c>
      <c r="S116">
        <v>571</v>
      </c>
      <c r="T116">
        <v>10</v>
      </c>
      <c r="U116">
        <v>54.1876559495526</v>
      </c>
      <c r="V116" t="s">
        <v>55</v>
      </c>
      <c r="W116">
        <v>2.5326397626988002</v>
      </c>
      <c r="X116" t="s">
        <v>40</v>
      </c>
      <c r="Y116" t="s">
        <v>32</v>
      </c>
      <c r="Z116">
        <v>897.38634129132595</v>
      </c>
    </row>
    <row r="117" spans="1:26" x14ac:dyDescent="0.3">
      <c r="A117" t="s">
        <v>42</v>
      </c>
      <c r="B117" t="s">
        <v>173</v>
      </c>
      <c r="C117">
        <v>26.645029666595399</v>
      </c>
      <c r="D117">
        <v>27</v>
      </c>
      <c r="E117">
        <v>902</v>
      </c>
      <c r="F117">
        <v>5685.8981836069997</v>
      </c>
      <c r="G117" t="s">
        <v>35</v>
      </c>
      <c r="H117">
        <v>3</v>
      </c>
      <c r="I117">
        <v>30</v>
      </c>
      <c r="J117">
        <v>16</v>
      </c>
      <c r="K117">
        <v>10</v>
      </c>
      <c r="L117" t="s">
        <v>44</v>
      </c>
      <c r="M117">
        <v>3.6071025324556101</v>
      </c>
      <c r="N117" t="s">
        <v>57</v>
      </c>
      <c r="O117" t="s">
        <v>67</v>
      </c>
      <c r="P117">
        <f>VLOOKUP(O117, Coordinates!$A$2:$C$6, 2, FALSE)</f>
        <v>40.712800000000001</v>
      </c>
      <c r="Q117">
        <f>VLOOKUP(O117, Coordinates!$A$2:$C$6, 3, FALSE)</f>
        <v>-74.006</v>
      </c>
      <c r="R117">
        <v>25</v>
      </c>
      <c r="S117">
        <v>205</v>
      </c>
      <c r="T117">
        <v>10</v>
      </c>
      <c r="U117">
        <v>73.457235270579105</v>
      </c>
      <c r="V117" t="s">
        <v>30</v>
      </c>
      <c r="W117">
        <v>1.53040754876166</v>
      </c>
      <c r="X117" t="s">
        <v>46</v>
      </c>
      <c r="Y117" t="s">
        <v>41</v>
      </c>
      <c r="Z117">
        <v>901.22148325614705</v>
      </c>
    </row>
    <row r="118" spans="1:26" x14ac:dyDescent="0.3">
      <c r="A118" t="s">
        <v>82</v>
      </c>
      <c r="B118" t="s">
        <v>174</v>
      </c>
      <c r="C118">
        <v>97.7191307118852</v>
      </c>
      <c r="D118">
        <v>38</v>
      </c>
      <c r="E118">
        <v>340</v>
      </c>
      <c r="F118">
        <v>7679.8090820901898</v>
      </c>
      <c r="G118" t="s">
        <v>26</v>
      </c>
      <c r="H118">
        <v>68</v>
      </c>
      <c r="I118">
        <v>17</v>
      </c>
      <c r="J118">
        <v>98</v>
      </c>
      <c r="K118">
        <v>9</v>
      </c>
      <c r="L118" t="s">
        <v>44</v>
      </c>
      <c r="M118">
        <v>5.4189337808091498</v>
      </c>
      <c r="N118" t="s">
        <v>37</v>
      </c>
      <c r="O118" t="s">
        <v>67</v>
      </c>
      <c r="P118">
        <f>VLOOKUP(O118, Coordinates!$A$2:$C$6, 2, FALSE)</f>
        <v>40.712800000000001</v>
      </c>
      <c r="Q118">
        <f>VLOOKUP(O118, Coordinates!$A$2:$C$6, 3, FALSE)</f>
        <v>-74.006</v>
      </c>
      <c r="R118">
        <v>11</v>
      </c>
      <c r="S118">
        <v>978</v>
      </c>
      <c r="T118">
        <v>20</v>
      </c>
      <c r="U118">
        <v>80.300373184385904</v>
      </c>
      <c r="V118" t="s">
        <v>30</v>
      </c>
      <c r="W118">
        <v>2.3026101839853799</v>
      </c>
      <c r="X118" t="s">
        <v>46</v>
      </c>
      <c r="Y118" t="s">
        <v>60</v>
      </c>
      <c r="Z118">
        <v>263.76627660000003</v>
      </c>
    </row>
    <row r="119" spans="1:26" x14ac:dyDescent="0.3">
      <c r="A119" t="s">
        <v>42</v>
      </c>
      <c r="B119" t="s">
        <v>175</v>
      </c>
      <c r="C119">
        <v>68.398287809999999</v>
      </c>
      <c r="D119">
        <v>72</v>
      </c>
      <c r="E119">
        <v>426</v>
      </c>
      <c r="F119">
        <v>5587.6195900354296</v>
      </c>
      <c r="G119" t="s">
        <v>54</v>
      </c>
      <c r="H119">
        <v>26</v>
      </c>
      <c r="I119">
        <v>24</v>
      </c>
      <c r="J119">
        <v>49</v>
      </c>
      <c r="K119">
        <v>6</v>
      </c>
      <c r="L119" t="s">
        <v>44</v>
      </c>
      <c r="M119">
        <v>1.5195191615361501</v>
      </c>
      <c r="N119" t="s">
        <v>57</v>
      </c>
      <c r="O119" t="s">
        <v>29</v>
      </c>
      <c r="P119">
        <f>VLOOKUP(O119, Coordinates!$A$2:$C$6, 2, FALSE)</f>
        <v>29.760400000000001</v>
      </c>
      <c r="Q119">
        <f>VLOOKUP(O119, Coordinates!$A$2:$C$6, 3, FALSE)</f>
        <v>-95.369799999999998</v>
      </c>
      <c r="R119">
        <v>2</v>
      </c>
      <c r="S119">
        <v>917</v>
      </c>
      <c r="T119">
        <v>28</v>
      </c>
      <c r="U119">
        <v>69.716729002026696</v>
      </c>
      <c r="V119" t="s">
        <v>39</v>
      </c>
      <c r="W119">
        <v>3.18241768569021</v>
      </c>
      <c r="X119" t="s">
        <v>52</v>
      </c>
      <c r="Y119" t="s">
        <v>41</v>
      </c>
      <c r="Z119">
        <v>435.26925902679397</v>
      </c>
    </row>
    <row r="120" spans="1:26" x14ac:dyDescent="0.3">
      <c r="A120" t="s">
        <v>24</v>
      </c>
      <c r="B120" t="s">
        <v>176</v>
      </c>
      <c r="C120">
        <v>32.233292376630502</v>
      </c>
      <c r="D120">
        <v>65</v>
      </c>
      <c r="E120">
        <v>754</v>
      </c>
      <c r="F120">
        <v>21873.512206781401</v>
      </c>
      <c r="G120" t="s">
        <v>35</v>
      </c>
      <c r="H120">
        <v>87</v>
      </c>
      <c r="I120">
        <v>21</v>
      </c>
      <c r="J120">
        <v>49</v>
      </c>
      <c r="K120">
        <v>6</v>
      </c>
      <c r="L120" t="s">
        <v>27</v>
      </c>
      <c r="M120">
        <v>-10</v>
      </c>
      <c r="N120" t="s">
        <v>45</v>
      </c>
      <c r="O120" t="s">
        <v>38</v>
      </c>
      <c r="P120">
        <f>VLOOKUP(O120, Coordinates!$A$2:$C$6, 2, FALSE)</f>
        <v>25.761700000000001</v>
      </c>
      <c r="Q120">
        <f>VLOOKUP(O120, Coordinates!$A$2:$C$6, 3, FALSE)</f>
        <v>-80.191800000000001</v>
      </c>
      <c r="R120">
        <v>29</v>
      </c>
      <c r="S120">
        <v>225</v>
      </c>
      <c r="T120">
        <v>16</v>
      </c>
      <c r="U120">
        <v>92.958088959999998</v>
      </c>
      <c r="V120" t="s">
        <v>55</v>
      </c>
      <c r="W120">
        <v>4.1353167337176204</v>
      </c>
      <c r="X120" t="s">
        <v>31</v>
      </c>
      <c r="Y120" t="s">
        <v>41</v>
      </c>
      <c r="Z120">
        <v>805.96739093746498</v>
      </c>
    </row>
    <row r="121" spans="1:26" x14ac:dyDescent="0.3">
      <c r="A121" t="s">
        <v>42</v>
      </c>
      <c r="B121" t="s">
        <v>177</v>
      </c>
      <c r="C121">
        <v>29.2642810450958</v>
      </c>
      <c r="D121">
        <v>54</v>
      </c>
      <c r="E121">
        <v>325</v>
      </c>
      <c r="F121">
        <v>4582.78460412607</v>
      </c>
      <c r="G121" t="s">
        <v>54</v>
      </c>
      <c r="H121">
        <v>6</v>
      </c>
      <c r="I121">
        <v>26</v>
      </c>
      <c r="J121">
        <v>52</v>
      </c>
      <c r="K121">
        <v>3</v>
      </c>
      <c r="L121" t="s">
        <v>36</v>
      </c>
      <c r="M121">
        <v>14.8388200304737</v>
      </c>
      <c r="N121" t="s">
        <v>57</v>
      </c>
      <c r="O121" t="s">
        <v>29</v>
      </c>
      <c r="P121">
        <f>VLOOKUP(O121, Coordinates!$A$2:$C$6, 2, FALSE)</f>
        <v>29.760400000000001</v>
      </c>
      <c r="Q121">
        <f>VLOOKUP(O121, Coordinates!$A$2:$C$6, 3, FALSE)</f>
        <v>-95.369799999999998</v>
      </c>
      <c r="R121">
        <v>2</v>
      </c>
      <c r="S121">
        <v>513</v>
      </c>
      <c r="T121">
        <v>23</v>
      </c>
      <c r="U121">
        <v>69.917385008749093</v>
      </c>
      <c r="V121" t="s">
        <v>39</v>
      </c>
      <c r="W121">
        <v>2.77933933839364</v>
      </c>
      <c r="X121" t="s">
        <v>40</v>
      </c>
      <c r="Y121" t="s">
        <v>32</v>
      </c>
      <c r="Z121">
        <v>840.85982209999997</v>
      </c>
    </row>
    <row r="122" spans="1:26" x14ac:dyDescent="0.3">
      <c r="A122" t="s">
        <v>82</v>
      </c>
      <c r="B122" t="s">
        <v>178</v>
      </c>
      <c r="C122">
        <v>29.767763492392</v>
      </c>
      <c r="D122">
        <v>24</v>
      </c>
      <c r="E122">
        <v>501</v>
      </c>
      <c r="F122">
        <v>1238.022123379</v>
      </c>
      <c r="G122" t="s">
        <v>48</v>
      </c>
      <c r="H122">
        <v>5</v>
      </c>
      <c r="I122">
        <v>2</v>
      </c>
      <c r="J122">
        <v>82</v>
      </c>
      <c r="K122">
        <v>10</v>
      </c>
      <c r="L122" t="s">
        <v>27</v>
      </c>
      <c r="M122">
        <v>9.8766547445694801</v>
      </c>
      <c r="N122" t="s">
        <v>37</v>
      </c>
      <c r="O122" t="s">
        <v>58</v>
      </c>
      <c r="P122">
        <f>VLOOKUP(O122, Coordinates!$A$2:$C$6, 2, FALSE)</f>
        <v>34.052199999999999</v>
      </c>
      <c r="Q122">
        <f>VLOOKUP(O122, Coordinates!$A$2:$C$6, 3, FALSE)</f>
        <v>-118.2437</v>
      </c>
      <c r="R122">
        <v>14</v>
      </c>
      <c r="S122">
        <v>714</v>
      </c>
      <c r="T122">
        <v>20</v>
      </c>
      <c r="U122">
        <v>34.437386582298899</v>
      </c>
      <c r="V122" t="s">
        <v>55</v>
      </c>
      <c r="W122">
        <v>1.3836764738687499</v>
      </c>
      <c r="X122" t="s">
        <v>52</v>
      </c>
      <c r="Y122" t="s">
        <v>60</v>
      </c>
      <c r="Z122">
        <v>665.922460810762</v>
      </c>
    </row>
    <row r="123" spans="1:26" x14ac:dyDescent="0.3">
      <c r="A123" t="s">
        <v>82</v>
      </c>
      <c r="B123" t="s">
        <v>179</v>
      </c>
      <c r="C123">
        <v>11.5791590971566</v>
      </c>
      <c r="D123">
        <v>47</v>
      </c>
      <c r="E123">
        <v>591</v>
      </c>
      <c r="F123">
        <v>4020.0148152699098</v>
      </c>
      <c r="G123" t="s">
        <v>48</v>
      </c>
      <c r="H123">
        <v>32</v>
      </c>
      <c r="I123">
        <v>19</v>
      </c>
      <c r="J123">
        <v>92</v>
      </c>
      <c r="K123">
        <v>10</v>
      </c>
      <c r="L123" t="s">
        <v>36</v>
      </c>
      <c r="M123">
        <v>6.0550703076129997</v>
      </c>
      <c r="N123" t="s">
        <v>28</v>
      </c>
      <c r="O123" t="s">
        <v>65</v>
      </c>
      <c r="P123">
        <f>VLOOKUP(O123, Coordinates!$A$2:$C$6, 2, FALSE)</f>
        <v>41.878100000000003</v>
      </c>
      <c r="Q123">
        <f>VLOOKUP(O123, Coordinates!$A$2:$C$6, 3, FALSE)</f>
        <v>-87.629800000000003</v>
      </c>
      <c r="R123">
        <v>18</v>
      </c>
      <c r="S123">
        <v>774</v>
      </c>
      <c r="T123">
        <v>1</v>
      </c>
      <c r="U123">
        <v>44.412519070000002</v>
      </c>
      <c r="V123" t="s">
        <v>39</v>
      </c>
      <c r="W123">
        <v>0.213699573</v>
      </c>
      <c r="X123" t="s">
        <v>31</v>
      </c>
      <c r="Y123" t="s">
        <v>32</v>
      </c>
      <c r="Z123">
        <v>742.73069893569402</v>
      </c>
    </row>
    <row r="124" spans="1:26" x14ac:dyDescent="0.3">
      <c r="A124" t="s">
        <v>24</v>
      </c>
      <c r="B124" t="s">
        <v>180</v>
      </c>
      <c r="C124">
        <v>34.9173940688584</v>
      </c>
      <c r="D124">
        <v>71</v>
      </c>
      <c r="E124">
        <v>951</v>
      </c>
      <c r="F124">
        <v>29885.797583535899</v>
      </c>
      <c r="G124" t="s">
        <v>26</v>
      </c>
      <c r="H124">
        <v>57</v>
      </c>
      <c r="I124">
        <v>16</v>
      </c>
      <c r="J124">
        <v>60</v>
      </c>
      <c r="K124">
        <v>5</v>
      </c>
      <c r="L124" t="s">
        <v>27</v>
      </c>
      <c r="M124">
        <v>10.3507442160394</v>
      </c>
      <c r="N124" t="s">
        <v>28</v>
      </c>
      <c r="O124" t="s">
        <v>29</v>
      </c>
      <c r="P124">
        <f>VLOOKUP(O124, Coordinates!$A$2:$C$6, 2, FALSE)</f>
        <v>29.760400000000001</v>
      </c>
      <c r="Q124">
        <f>VLOOKUP(O124, Coordinates!$A$2:$C$6, 3, FALSE)</f>
        <v>-95.369799999999998</v>
      </c>
      <c r="R124">
        <v>16</v>
      </c>
      <c r="S124">
        <v>609</v>
      </c>
      <c r="T124">
        <v>11</v>
      </c>
      <c r="U124">
        <v>79.0068296740737</v>
      </c>
      <c r="V124" t="s">
        <v>55</v>
      </c>
      <c r="W124">
        <v>0.87727527999999999</v>
      </c>
      <c r="X124" t="s">
        <v>46</v>
      </c>
      <c r="Y124" t="s">
        <v>60</v>
      </c>
      <c r="Z124">
        <v>257.04870663746698</v>
      </c>
    </row>
    <row r="125" spans="1:26" x14ac:dyDescent="0.3">
      <c r="A125" t="s">
        <v>82</v>
      </c>
      <c r="B125" t="s">
        <v>181</v>
      </c>
      <c r="C125">
        <v>50.4342529847127</v>
      </c>
      <c r="D125">
        <v>83</v>
      </c>
      <c r="E125">
        <v>167</v>
      </c>
      <c r="F125">
        <v>8862.0001860437897</v>
      </c>
      <c r="G125" t="s">
        <v>26</v>
      </c>
      <c r="H125">
        <v>48</v>
      </c>
      <c r="I125">
        <v>22</v>
      </c>
      <c r="J125">
        <v>82</v>
      </c>
      <c r="K125">
        <v>10</v>
      </c>
      <c r="L125" t="s">
        <v>44</v>
      </c>
      <c r="M125">
        <v>9.0012228943300592</v>
      </c>
      <c r="N125" t="s">
        <v>45</v>
      </c>
      <c r="O125" t="s">
        <v>38</v>
      </c>
      <c r="P125">
        <f>VLOOKUP(O125, Coordinates!$A$2:$C$6, 2, FALSE)</f>
        <v>25.761700000000001</v>
      </c>
      <c r="Q125">
        <f>VLOOKUP(O125, Coordinates!$A$2:$C$6, 3, FALSE)</f>
        <v>-80.191800000000001</v>
      </c>
      <c r="R125">
        <v>25</v>
      </c>
      <c r="S125">
        <v>600</v>
      </c>
      <c r="T125">
        <v>13</v>
      </c>
      <c r="U125">
        <v>15.9013594318575</v>
      </c>
      <c r="V125" t="s">
        <v>39</v>
      </c>
      <c r="W125">
        <v>4.5840261240057698</v>
      </c>
      <c r="X125" t="s">
        <v>40</v>
      </c>
      <c r="Y125" t="s">
        <v>60</v>
      </c>
      <c r="Z125">
        <v>435.3992265</v>
      </c>
    </row>
    <row r="126" spans="1:26" x14ac:dyDescent="0.3">
      <c r="A126" t="s">
        <v>82</v>
      </c>
      <c r="B126" t="s">
        <v>182</v>
      </c>
      <c r="C126">
        <v>90.102386750328705</v>
      </c>
      <c r="D126">
        <v>86</v>
      </c>
      <c r="E126">
        <v>815</v>
      </c>
      <c r="F126">
        <v>3964.4026033079499</v>
      </c>
      <c r="G126" t="s">
        <v>54</v>
      </c>
      <c r="H126">
        <v>16</v>
      </c>
      <c r="I126">
        <v>10</v>
      </c>
      <c r="J126">
        <v>32</v>
      </c>
      <c r="K126">
        <v>6</v>
      </c>
      <c r="L126" t="s">
        <v>36</v>
      </c>
      <c r="M126">
        <v>12.8546110282228</v>
      </c>
      <c r="N126" t="s">
        <v>45</v>
      </c>
      <c r="O126" t="s">
        <v>38</v>
      </c>
      <c r="P126">
        <f>VLOOKUP(O126, Coordinates!$A$2:$C$6, 2, FALSE)</f>
        <v>25.761700000000001</v>
      </c>
      <c r="Q126">
        <f>VLOOKUP(O126, Coordinates!$A$2:$C$6, 3, FALSE)</f>
        <v>-80.191800000000001</v>
      </c>
      <c r="R126">
        <v>28</v>
      </c>
      <c r="S126">
        <v>926</v>
      </c>
      <c r="T126">
        <v>25</v>
      </c>
      <c r="U126">
        <v>36.579281506107002</v>
      </c>
      <c r="V126" t="s">
        <v>55</v>
      </c>
      <c r="W126">
        <v>4.0445634800491499</v>
      </c>
      <c r="X126" t="s">
        <v>40</v>
      </c>
      <c r="Y126" t="s">
        <v>60</v>
      </c>
      <c r="Z126">
        <v>581.17265339999994</v>
      </c>
    </row>
    <row r="127" spans="1:26" x14ac:dyDescent="0.3">
      <c r="A127" t="s">
        <v>33</v>
      </c>
      <c r="B127" t="s">
        <v>183</v>
      </c>
      <c r="C127">
        <v>35.610472827239597</v>
      </c>
      <c r="D127">
        <v>63</v>
      </c>
      <c r="E127">
        <v>545</v>
      </c>
      <c r="F127">
        <v>6290.1586455973402</v>
      </c>
      <c r="G127" t="s">
        <v>54</v>
      </c>
      <c r="H127">
        <v>41</v>
      </c>
      <c r="I127">
        <v>22</v>
      </c>
      <c r="J127">
        <v>41</v>
      </c>
      <c r="K127">
        <v>4</v>
      </c>
      <c r="L127" t="s">
        <v>36</v>
      </c>
      <c r="M127">
        <v>9.7062438537479991</v>
      </c>
      <c r="N127" t="s">
        <v>57</v>
      </c>
      <c r="O127" t="s">
        <v>38</v>
      </c>
      <c r="P127">
        <f>VLOOKUP(O127, Coordinates!$A$2:$C$6, 2, FALSE)</f>
        <v>25.761700000000001</v>
      </c>
      <c r="Q127">
        <f>VLOOKUP(O127, Coordinates!$A$2:$C$6, 3, FALSE)</f>
        <v>-80.191800000000001</v>
      </c>
      <c r="R127">
        <v>9</v>
      </c>
      <c r="S127">
        <v>220</v>
      </c>
      <c r="T127">
        <v>18</v>
      </c>
      <c r="U127">
        <v>46.577705028188703</v>
      </c>
      <c r="V127" t="s">
        <v>30</v>
      </c>
      <c r="W127">
        <v>2.4076977657172498</v>
      </c>
      <c r="X127" t="s">
        <v>31</v>
      </c>
      <c r="Y127" t="s">
        <v>41</v>
      </c>
      <c r="Z127">
        <v>985.33756541753701</v>
      </c>
    </row>
    <row r="128" spans="1:26" x14ac:dyDescent="0.3">
      <c r="A128" t="s">
        <v>24</v>
      </c>
      <c r="B128" t="s">
        <v>184</v>
      </c>
      <c r="C128">
        <v>34.959530682844097</v>
      </c>
      <c r="D128">
        <v>57</v>
      </c>
      <c r="E128">
        <v>169</v>
      </c>
      <c r="F128">
        <v>5317.3446168605897</v>
      </c>
      <c r="G128" t="s">
        <v>54</v>
      </c>
      <c r="H128">
        <v>93</v>
      </c>
      <c r="I128">
        <v>8</v>
      </c>
      <c r="J128">
        <v>40</v>
      </c>
      <c r="K128">
        <v>3</v>
      </c>
      <c r="L128" t="s">
        <v>36</v>
      </c>
      <c r="M128">
        <v>9.8770689646974805</v>
      </c>
      <c r="N128" t="s">
        <v>57</v>
      </c>
      <c r="O128" t="s">
        <v>38</v>
      </c>
      <c r="P128">
        <f>VLOOKUP(O128, Coordinates!$A$2:$C$6, 2, FALSE)</f>
        <v>25.761700000000001</v>
      </c>
      <c r="Q128">
        <f>VLOOKUP(O128, Coordinates!$A$2:$C$6, 3, FALSE)</f>
        <v>-80.191800000000001</v>
      </c>
      <c r="R128">
        <v>7</v>
      </c>
      <c r="S128">
        <v>851</v>
      </c>
      <c r="T128">
        <v>5</v>
      </c>
      <c r="U128">
        <v>79.442608548708805</v>
      </c>
      <c r="V128" t="s">
        <v>55</v>
      </c>
      <c r="W128">
        <v>3.4947750773819202</v>
      </c>
      <c r="X128" t="s">
        <v>52</v>
      </c>
      <c r="Y128" t="s">
        <v>32</v>
      </c>
      <c r="Z128">
        <v>819.29403121206997</v>
      </c>
    </row>
    <row r="129" spans="1:26" x14ac:dyDescent="0.3">
      <c r="A129" t="s">
        <v>49</v>
      </c>
      <c r="B129" t="s">
        <v>185</v>
      </c>
      <c r="C129">
        <v>50.061930441090297</v>
      </c>
      <c r="D129">
        <v>55</v>
      </c>
      <c r="E129">
        <v>853</v>
      </c>
      <c r="F129">
        <v>4971.4690307506098</v>
      </c>
      <c r="G129" t="s">
        <v>48</v>
      </c>
      <c r="H129">
        <v>71</v>
      </c>
      <c r="I129">
        <v>21</v>
      </c>
      <c r="J129">
        <v>26</v>
      </c>
      <c r="K129">
        <v>5</v>
      </c>
      <c r="L129" t="s">
        <v>27</v>
      </c>
      <c r="M129">
        <v>4.1032986358218997</v>
      </c>
      <c r="N129" t="s">
        <v>28</v>
      </c>
      <c r="O129" t="s">
        <v>29</v>
      </c>
      <c r="P129">
        <f>VLOOKUP(O129, Coordinates!$A$2:$C$6, 2, FALSE)</f>
        <v>29.760400000000001</v>
      </c>
      <c r="Q129">
        <f>VLOOKUP(O129, Coordinates!$A$2:$C$6, 3, FALSE)</f>
        <v>-95.369799999999998</v>
      </c>
      <c r="R129">
        <v>4</v>
      </c>
      <c r="S129">
        <v>706</v>
      </c>
      <c r="T129">
        <v>4</v>
      </c>
      <c r="U129">
        <v>53.783389659999997</v>
      </c>
      <c r="V129" t="s">
        <v>30</v>
      </c>
      <c r="W129">
        <v>1.5411245070155499</v>
      </c>
      <c r="X129" t="s">
        <v>40</v>
      </c>
      <c r="Y129" t="s">
        <v>60</v>
      </c>
      <c r="Z129">
        <v>273.35779280000003</v>
      </c>
    </row>
    <row r="130" spans="1:26" x14ac:dyDescent="0.3">
      <c r="A130" t="s">
        <v>49</v>
      </c>
      <c r="B130" t="s">
        <v>186</v>
      </c>
      <c r="C130">
        <v>15.825880297860101</v>
      </c>
      <c r="D130">
        <v>60</v>
      </c>
      <c r="E130">
        <v>702</v>
      </c>
      <c r="F130">
        <v>1161.62077375135</v>
      </c>
      <c r="G130" t="s">
        <v>54</v>
      </c>
      <c r="H130">
        <v>39</v>
      </c>
      <c r="I130">
        <v>5</v>
      </c>
      <c r="J130">
        <v>67</v>
      </c>
      <c r="K130">
        <v>7</v>
      </c>
      <c r="L130" t="s">
        <v>44</v>
      </c>
      <c r="M130">
        <v>6.8187813395262999</v>
      </c>
      <c r="N130" t="s">
        <v>28</v>
      </c>
      <c r="O130" t="s">
        <v>65</v>
      </c>
      <c r="P130">
        <f>VLOOKUP(O130, Coordinates!$A$2:$C$6, 2, FALSE)</f>
        <v>41.878100000000003</v>
      </c>
      <c r="Q130">
        <f>VLOOKUP(O130, Coordinates!$A$2:$C$6, 3, FALSE)</f>
        <v>-87.629800000000003</v>
      </c>
      <c r="R130">
        <v>16</v>
      </c>
      <c r="S130">
        <v>307</v>
      </c>
      <c r="T130">
        <v>24</v>
      </c>
      <c r="U130">
        <v>74.631869033859402</v>
      </c>
      <c r="V130" t="s">
        <v>55</v>
      </c>
      <c r="W130">
        <v>3.3455294490364298</v>
      </c>
      <c r="X130" t="s">
        <v>40</v>
      </c>
      <c r="Y130" t="s">
        <v>60</v>
      </c>
      <c r="Z130">
        <v>417.16588639990402</v>
      </c>
    </row>
    <row r="131" spans="1:26" x14ac:dyDescent="0.3">
      <c r="A131" t="s">
        <v>82</v>
      </c>
      <c r="B131" t="s">
        <v>187</v>
      </c>
      <c r="C131">
        <v>51.171472782866203</v>
      </c>
      <c r="D131">
        <v>99</v>
      </c>
      <c r="E131">
        <v>570</v>
      </c>
      <c r="F131">
        <v>1670.59415636776</v>
      </c>
      <c r="G131" t="s">
        <v>35</v>
      </c>
      <c r="H131">
        <v>45</v>
      </c>
      <c r="I131">
        <v>7</v>
      </c>
      <c r="J131">
        <v>95</v>
      </c>
      <c r="K131">
        <v>6</v>
      </c>
      <c r="L131" t="s">
        <v>36</v>
      </c>
      <c r="M131">
        <v>5.821824844</v>
      </c>
      <c r="N131" t="s">
        <v>51</v>
      </c>
      <c r="O131" t="s">
        <v>29</v>
      </c>
      <c r="P131">
        <f>VLOOKUP(O131, Coordinates!$A$2:$C$6, 2, FALSE)</f>
        <v>29.760400000000001</v>
      </c>
      <c r="Q131">
        <f>VLOOKUP(O131, Coordinates!$A$2:$C$6, 3, FALSE)</f>
        <v>-95.369799999999998</v>
      </c>
      <c r="R131">
        <v>14</v>
      </c>
      <c r="S131">
        <v>760</v>
      </c>
      <c r="T131">
        <v>6</v>
      </c>
      <c r="U131">
        <v>52.608400789999997</v>
      </c>
      <c r="V131" t="s">
        <v>55</v>
      </c>
      <c r="W131">
        <v>2.9053603082390902</v>
      </c>
      <c r="X131" t="s">
        <v>46</v>
      </c>
      <c r="Y131" t="s">
        <v>41</v>
      </c>
      <c r="Z131">
        <v>295.20846354696903</v>
      </c>
    </row>
    <row r="132" spans="1:26" x14ac:dyDescent="0.3">
      <c r="A132" t="s">
        <v>49</v>
      </c>
      <c r="B132" t="s">
        <v>188</v>
      </c>
      <c r="C132">
        <v>92.428232215843707</v>
      </c>
      <c r="D132">
        <v>62</v>
      </c>
      <c r="E132">
        <v>299</v>
      </c>
      <c r="F132">
        <v>5593.5344921383503</v>
      </c>
      <c r="G132" t="s">
        <v>35</v>
      </c>
      <c r="H132">
        <v>70</v>
      </c>
      <c r="I132">
        <v>26</v>
      </c>
      <c r="J132">
        <v>44</v>
      </c>
      <c r="K132">
        <v>2</v>
      </c>
      <c r="L132" t="s">
        <v>27</v>
      </c>
      <c r="M132">
        <v>1.15995262365251</v>
      </c>
      <c r="N132" t="s">
        <v>28</v>
      </c>
      <c r="O132" t="s">
        <v>38</v>
      </c>
      <c r="P132">
        <f>VLOOKUP(O132, Coordinates!$A$2:$C$6, 2, FALSE)</f>
        <v>25.761700000000001</v>
      </c>
      <c r="Q132">
        <f>VLOOKUP(O132, Coordinates!$A$2:$C$6, 3, FALSE)</f>
        <v>-80.191800000000001</v>
      </c>
      <c r="R132">
        <v>11</v>
      </c>
      <c r="S132">
        <v>449</v>
      </c>
      <c r="T132">
        <v>15</v>
      </c>
      <c r="U132">
        <v>91.371698539999997</v>
      </c>
      <c r="V132" t="s">
        <v>55</v>
      </c>
      <c r="W132">
        <v>2.1946955346419701</v>
      </c>
      <c r="X132" t="s">
        <v>52</v>
      </c>
      <c r="Y132" t="s">
        <v>60</v>
      </c>
      <c r="Z132">
        <v>237.033180205354</v>
      </c>
    </row>
    <row r="133" spans="1:26" x14ac:dyDescent="0.3">
      <c r="A133" t="s">
        <v>49</v>
      </c>
      <c r="B133" t="s">
        <v>189</v>
      </c>
      <c r="C133">
        <v>54.472973474250203</v>
      </c>
      <c r="D133">
        <v>30</v>
      </c>
      <c r="E133">
        <v>46</v>
      </c>
      <c r="F133">
        <v>9724.9543810829</v>
      </c>
      <c r="G133" t="s">
        <v>48</v>
      </c>
      <c r="H133">
        <v>69</v>
      </c>
      <c r="I133">
        <v>13</v>
      </c>
      <c r="J133">
        <v>39</v>
      </c>
      <c r="K133">
        <v>1</v>
      </c>
      <c r="L133" t="s">
        <v>36</v>
      </c>
      <c r="M133">
        <v>5.3859302114468504</v>
      </c>
      <c r="N133" t="s">
        <v>28</v>
      </c>
      <c r="O133" t="s">
        <v>38</v>
      </c>
      <c r="P133">
        <f>VLOOKUP(O133, Coordinates!$A$2:$C$6, 2, FALSE)</f>
        <v>25.761700000000001</v>
      </c>
      <c r="Q133">
        <f>VLOOKUP(O133, Coordinates!$A$2:$C$6, 3, FALSE)</f>
        <v>-80.191800000000001</v>
      </c>
      <c r="R133">
        <v>30</v>
      </c>
      <c r="S133">
        <v>919</v>
      </c>
      <c r="T133">
        <v>23</v>
      </c>
      <c r="U133">
        <v>44.228650793717499</v>
      </c>
      <c r="V133" t="s">
        <v>30</v>
      </c>
      <c r="W133">
        <v>4.4862273944212996</v>
      </c>
      <c r="X133" t="s">
        <v>46</v>
      </c>
      <c r="Y133" t="s">
        <v>60</v>
      </c>
      <c r="Z133">
        <v>-50</v>
      </c>
    </row>
    <row r="134" spans="1:26" x14ac:dyDescent="0.3">
      <c r="A134" t="s">
        <v>82</v>
      </c>
      <c r="B134" t="s">
        <v>190</v>
      </c>
      <c r="C134">
        <v>63.567474055032903</v>
      </c>
      <c r="D134">
        <v>93</v>
      </c>
      <c r="E134">
        <v>928</v>
      </c>
      <c r="F134">
        <v>7238.8858799999998</v>
      </c>
      <c r="G134" t="s">
        <v>54</v>
      </c>
      <c r="H134">
        <v>67</v>
      </c>
      <c r="I134">
        <v>16</v>
      </c>
      <c r="J134">
        <v>73</v>
      </c>
      <c r="K134">
        <v>5</v>
      </c>
      <c r="L134" t="s">
        <v>44</v>
      </c>
      <c r="M134">
        <v>7.8048697405213003</v>
      </c>
      <c r="N134" t="s">
        <v>45</v>
      </c>
      <c r="O134" t="s">
        <v>38</v>
      </c>
      <c r="P134">
        <f>VLOOKUP(O134, Coordinates!$A$2:$C$6, 2, FALSE)</f>
        <v>25.761700000000001</v>
      </c>
      <c r="Q134">
        <f>VLOOKUP(O134, Coordinates!$A$2:$C$6, 3, FALSE)</f>
        <v>-80.191800000000001</v>
      </c>
      <c r="R134">
        <v>28</v>
      </c>
      <c r="S134">
        <v>292</v>
      </c>
      <c r="T134">
        <v>2</v>
      </c>
      <c r="U134">
        <v>57.283453555854003</v>
      </c>
      <c r="V134" t="s">
        <v>55</v>
      </c>
      <c r="W134">
        <v>3.7320809754027899</v>
      </c>
      <c r="X134" t="s">
        <v>31</v>
      </c>
      <c r="Y134" t="s">
        <v>32</v>
      </c>
      <c r="Z134">
        <v>969.132736803483</v>
      </c>
    </row>
    <row r="135" spans="1:26" x14ac:dyDescent="0.3">
      <c r="A135" t="s">
        <v>49</v>
      </c>
      <c r="B135" t="s">
        <v>191</v>
      </c>
      <c r="C135">
        <v>19.880651512511701</v>
      </c>
      <c r="D135">
        <v>22</v>
      </c>
      <c r="E135">
        <v>289</v>
      </c>
      <c r="F135">
        <v>1638.2457229471199</v>
      </c>
      <c r="G135" t="s">
        <v>54</v>
      </c>
      <c r="H135">
        <v>0</v>
      </c>
      <c r="I135">
        <v>30</v>
      </c>
      <c r="J135">
        <v>62</v>
      </c>
      <c r="K135">
        <v>5</v>
      </c>
      <c r="L135" t="s">
        <v>36</v>
      </c>
      <c r="M135">
        <v>9.3978808649411292</v>
      </c>
      <c r="N135" t="s">
        <v>51</v>
      </c>
      <c r="O135" t="s">
        <v>65</v>
      </c>
      <c r="P135">
        <f>VLOOKUP(O135, Coordinates!$A$2:$C$6, 2, FALSE)</f>
        <v>41.878100000000003</v>
      </c>
      <c r="Q135">
        <f>VLOOKUP(O135, Coordinates!$A$2:$C$6, 3, FALSE)</f>
        <v>-87.629800000000003</v>
      </c>
      <c r="R135">
        <v>11</v>
      </c>
      <c r="S135">
        <v>753</v>
      </c>
      <c r="T135">
        <v>4</v>
      </c>
      <c r="U135">
        <v>10.2889350641824</v>
      </c>
      <c r="V135" t="s">
        <v>39</v>
      </c>
      <c r="W135">
        <v>1.8029851657628699</v>
      </c>
      <c r="X135" t="s">
        <v>31</v>
      </c>
      <c r="Y135" t="s">
        <v>41</v>
      </c>
      <c r="Z135">
        <v>915.97020941558299</v>
      </c>
    </row>
    <row r="136" spans="1:26" x14ac:dyDescent="0.3">
      <c r="A136" t="s">
        <v>42</v>
      </c>
      <c r="B136" t="s">
        <v>192</v>
      </c>
      <c r="C136">
        <v>9.1548844589999998</v>
      </c>
      <c r="D136">
        <v>75</v>
      </c>
      <c r="E136">
        <v>943</v>
      </c>
      <c r="F136">
        <v>2704.24788212676</v>
      </c>
      <c r="G136" t="s">
        <v>26</v>
      </c>
      <c r="H136">
        <v>78</v>
      </c>
      <c r="I136">
        <v>5</v>
      </c>
      <c r="J136">
        <v>60</v>
      </c>
      <c r="K136">
        <v>6</v>
      </c>
      <c r="L136" t="s">
        <v>44</v>
      </c>
      <c r="M136">
        <v>14.0839652539463</v>
      </c>
      <c r="N136" t="s">
        <v>51</v>
      </c>
      <c r="O136" t="s">
        <v>65</v>
      </c>
      <c r="P136">
        <f>VLOOKUP(O136, Coordinates!$A$2:$C$6, 2, FALSE)</f>
        <v>41.878100000000003</v>
      </c>
      <c r="Q136">
        <f>VLOOKUP(O136, Coordinates!$A$2:$C$6, 3, FALSE)</f>
        <v>-87.629800000000003</v>
      </c>
      <c r="R136">
        <v>27</v>
      </c>
      <c r="S136">
        <v>883</v>
      </c>
      <c r="T136">
        <v>14</v>
      </c>
      <c r="U136">
        <v>37.943016080157001</v>
      </c>
      <c r="V136" t="s">
        <v>30</v>
      </c>
      <c r="W136">
        <v>4.0213226676277003</v>
      </c>
      <c r="X136" t="s">
        <v>52</v>
      </c>
      <c r="Y136" t="s">
        <v>41</v>
      </c>
      <c r="Z136">
        <v>534.91983932340997</v>
      </c>
    </row>
    <row r="137" spans="1:26" x14ac:dyDescent="0.3">
      <c r="A137" t="s">
        <v>61</v>
      </c>
      <c r="B137" t="s">
        <v>193</v>
      </c>
      <c r="C137">
        <v>15.526756407081599</v>
      </c>
      <c r="D137">
        <v>84</v>
      </c>
      <c r="E137">
        <v>391</v>
      </c>
      <c r="F137">
        <v>7941.908289</v>
      </c>
      <c r="G137" t="s">
        <v>35</v>
      </c>
      <c r="H137">
        <v>94</v>
      </c>
      <c r="I137">
        <v>16</v>
      </c>
      <c r="J137">
        <v>46</v>
      </c>
      <c r="K137">
        <v>3</v>
      </c>
      <c r="L137" t="s">
        <v>27</v>
      </c>
      <c r="M137">
        <v>4.3475926310374202</v>
      </c>
      <c r="N137" t="s">
        <v>57</v>
      </c>
      <c r="O137" t="s">
        <v>38</v>
      </c>
      <c r="P137">
        <f>VLOOKUP(O137, Coordinates!$A$2:$C$6, 2, FALSE)</f>
        <v>25.761700000000001</v>
      </c>
      <c r="Q137">
        <f>VLOOKUP(O137, Coordinates!$A$2:$C$6, 3, FALSE)</f>
        <v>-80.191800000000001</v>
      </c>
      <c r="R137">
        <v>29</v>
      </c>
      <c r="S137">
        <v>922</v>
      </c>
      <c r="T137">
        <v>4</v>
      </c>
      <c r="U137">
        <v>87.991567958259296</v>
      </c>
      <c r="V137" t="s">
        <v>55</v>
      </c>
      <c r="W137">
        <v>3.6905110708483502</v>
      </c>
      <c r="X137" t="s">
        <v>46</v>
      </c>
      <c r="Y137" t="s">
        <v>60</v>
      </c>
      <c r="Z137">
        <v>593.69017058559803</v>
      </c>
    </row>
    <row r="138" spans="1:26" x14ac:dyDescent="0.3">
      <c r="A138" t="s">
        <v>24</v>
      </c>
      <c r="B138" t="s">
        <v>194</v>
      </c>
      <c r="C138">
        <v>24.933180416651702</v>
      </c>
      <c r="D138">
        <v>29</v>
      </c>
      <c r="E138">
        <v>142</v>
      </c>
      <c r="F138">
        <v>3186.4604572480898</v>
      </c>
      <c r="G138" t="s">
        <v>48</v>
      </c>
      <c r="H138">
        <v>88</v>
      </c>
      <c r="I138">
        <v>15</v>
      </c>
      <c r="J138">
        <v>99</v>
      </c>
      <c r="K138">
        <v>1</v>
      </c>
      <c r="L138" t="s">
        <v>27</v>
      </c>
      <c r="M138">
        <v>3.1340058755198101</v>
      </c>
      <c r="N138" t="s">
        <v>57</v>
      </c>
      <c r="O138" t="s">
        <v>38</v>
      </c>
      <c r="P138">
        <f>VLOOKUP(O138, Coordinates!$A$2:$C$6, 2, FALSE)</f>
        <v>25.761700000000001</v>
      </c>
      <c r="Q138">
        <f>VLOOKUP(O138, Coordinates!$A$2:$C$6, 3, FALSE)</f>
        <v>-80.191800000000001</v>
      </c>
      <c r="R138">
        <v>20</v>
      </c>
      <c r="S138">
        <v>492</v>
      </c>
      <c r="T138">
        <v>28</v>
      </c>
      <c r="U138">
        <v>88.273951245427895</v>
      </c>
      <c r="V138" t="s">
        <v>55</v>
      </c>
      <c r="W138">
        <v>3.95841982754082</v>
      </c>
      <c r="X138" t="s">
        <v>31</v>
      </c>
      <c r="Y138" t="s">
        <v>60</v>
      </c>
      <c r="Z138">
        <v>854.76047492098996</v>
      </c>
    </row>
    <row r="139" spans="1:26" x14ac:dyDescent="0.3">
      <c r="A139" t="s">
        <v>61</v>
      </c>
      <c r="B139" t="s">
        <v>195</v>
      </c>
      <c r="C139">
        <v>14.026111404268899</v>
      </c>
      <c r="D139">
        <v>41</v>
      </c>
      <c r="E139">
        <v>191</v>
      </c>
      <c r="F139">
        <v>6559.2512756973101</v>
      </c>
      <c r="G139" t="s">
        <v>54</v>
      </c>
      <c r="H139">
        <v>96</v>
      </c>
      <c r="I139">
        <v>9</v>
      </c>
      <c r="J139">
        <v>15</v>
      </c>
      <c r="K139">
        <v>4</v>
      </c>
      <c r="L139" t="s">
        <v>44</v>
      </c>
      <c r="M139">
        <v>13.1722396459854</v>
      </c>
      <c r="N139" t="s">
        <v>51</v>
      </c>
      <c r="O139" t="s">
        <v>29</v>
      </c>
      <c r="P139">
        <f>VLOOKUP(O139, Coordinates!$A$2:$C$6, 2, FALSE)</f>
        <v>29.760400000000001</v>
      </c>
      <c r="Q139">
        <f>VLOOKUP(O139, Coordinates!$A$2:$C$6, 3, FALSE)</f>
        <v>-95.369799999999998</v>
      </c>
      <c r="R139">
        <v>17</v>
      </c>
      <c r="S139">
        <v>596</v>
      </c>
      <c r="T139">
        <v>29</v>
      </c>
      <c r="U139">
        <v>32.786769999921503</v>
      </c>
      <c r="V139" t="s">
        <v>55</v>
      </c>
      <c r="W139">
        <v>3.2047799152049699</v>
      </c>
      <c r="X139" t="s">
        <v>52</v>
      </c>
      <c r="Y139" t="s">
        <v>41</v>
      </c>
      <c r="Z139">
        <v>683.95452363483003</v>
      </c>
    </row>
    <row r="140" spans="1:26" x14ac:dyDescent="0.3">
      <c r="A140" t="s">
        <v>82</v>
      </c>
      <c r="B140" t="s">
        <v>196</v>
      </c>
      <c r="C140">
        <v>40.719324544424502</v>
      </c>
      <c r="D140">
        <v>42</v>
      </c>
      <c r="E140">
        <v>914</v>
      </c>
      <c r="F140">
        <v>6799.8085266683402</v>
      </c>
      <c r="G140" t="s">
        <v>26</v>
      </c>
      <c r="H140">
        <v>51</v>
      </c>
      <c r="I140">
        <v>22</v>
      </c>
      <c r="J140">
        <v>43</v>
      </c>
      <c r="K140">
        <v>4</v>
      </c>
      <c r="L140" t="s">
        <v>44</v>
      </c>
      <c r="M140">
        <v>14.185864917238201</v>
      </c>
      <c r="N140" t="s">
        <v>51</v>
      </c>
      <c r="O140" t="s">
        <v>29</v>
      </c>
      <c r="P140">
        <f>VLOOKUP(O140, Coordinates!$A$2:$C$6, 2, FALSE)</f>
        <v>29.760400000000001</v>
      </c>
      <c r="Q140">
        <f>VLOOKUP(O140, Coordinates!$A$2:$C$6, 3, FALSE)</f>
        <v>-95.369799999999998</v>
      </c>
      <c r="R140">
        <v>28</v>
      </c>
      <c r="S140">
        <v>491</v>
      </c>
      <c r="T140">
        <v>18</v>
      </c>
      <c r="U140">
        <v>58.918326619799899</v>
      </c>
      <c r="V140" t="s">
        <v>30</v>
      </c>
      <c r="W140">
        <v>1.89685307919749</v>
      </c>
      <c r="X140" t="s">
        <v>31</v>
      </c>
      <c r="Y140" t="s">
        <v>60</v>
      </c>
      <c r="Z140">
        <v>759.39212520000001</v>
      </c>
    </row>
    <row r="141" spans="1:26" x14ac:dyDescent="0.3">
      <c r="A141" t="s">
        <v>33</v>
      </c>
      <c r="B141" t="s">
        <v>197</v>
      </c>
      <c r="C141">
        <v>57.2587343435248</v>
      </c>
      <c r="D141">
        <v>98</v>
      </c>
      <c r="E141">
        <v>850</v>
      </c>
      <c r="F141">
        <v>1255.03705345046</v>
      </c>
      <c r="G141" t="s">
        <v>48</v>
      </c>
      <c r="H141">
        <v>5</v>
      </c>
      <c r="I141">
        <v>22</v>
      </c>
      <c r="J141">
        <v>65</v>
      </c>
      <c r="K141">
        <v>10</v>
      </c>
      <c r="L141" t="s">
        <v>27</v>
      </c>
      <c r="M141">
        <v>7.8313594801351796</v>
      </c>
      <c r="N141" t="s">
        <v>57</v>
      </c>
      <c r="O141" t="s">
        <v>67</v>
      </c>
      <c r="P141">
        <f>VLOOKUP(O141, Coordinates!$A$2:$C$6, 2, FALSE)</f>
        <v>40.712800000000001</v>
      </c>
      <c r="Q141">
        <f>VLOOKUP(O141, Coordinates!$A$2:$C$6, 3, FALSE)</f>
        <v>-74.006</v>
      </c>
      <c r="R141">
        <v>30</v>
      </c>
      <c r="S141">
        <v>812</v>
      </c>
      <c r="T141">
        <v>26</v>
      </c>
      <c r="U141">
        <v>17.0857088597865</v>
      </c>
      <c r="V141" t="s">
        <v>30</v>
      </c>
      <c r="W141">
        <v>1.74289257802134</v>
      </c>
      <c r="X141" t="s">
        <v>40</v>
      </c>
      <c r="Y141" t="s">
        <v>60</v>
      </c>
      <c r="Z141">
        <v>812.02768247931397</v>
      </c>
    </row>
    <row r="142" spans="1:26" x14ac:dyDescent="0.3">
      <c r="A142" t="s">
        <v>24</v>
      </c>
      <c r="B142" t="s">
        <v>198</v>
      </c>
      <c r="C142">
        <v>31.5450131406281</v>
      </c>
      <c r="D142">
        <v>65</v>
      </c>
      <c r="E142">
        <v>435</v>
      </c>
      <c r="F142">
        <v>12349.8726445559</v>
      </c>
      <c r="G142" t="s">
        <v>48</v>
      </c>
      <c r="H142">
        <v>68</v>
      </c>
      <c r="I142">
        <v>12</v>
      </c>
      <c r="J142">
        <v>34</v>
      </c>
      <c r="K142">
        <v>2</v>
      </c>
      <c r="L142" t="s">
        <v>44</v>
      </c>
      <c r="M142">
        <v>2.6130318575007201</v>
      </c>
      <c r="N142" t="s">
        <v>45</v>
      </c>
      <c r="O142" t="s">
        <v>38</v>
      </c>
      <c r="P142">
        <f>VLOOKUP(O142, Coordinates!$A$2:$C$6, 2, FALSE)</f>
        <v>25.761700000000001</v>
      </c>
      <c r="Q142">
        <f>VLOOKUP(O142, Coordinates!$A$2:$C$6, 3, FALSE)</f>
        <v>-80.191800000000001</v>
      </c>
      <c r="R142">
        <v>25</v>
      </c>
      <c r="S142">
        <v>773</v>
      </c>
      <c r="T142">
        <v>20</v>
      </c>
      <c r="U142">
        <v>77.052633491898803</v>
      </c>
      <c r="V142" t="s">
        <v>39</v>
      </c>
      <c r="W142">
        <v>3.8540373735277802</v>
      </c>
      <c r="X142" t="s">
        <v>40</v>
      </c>
      <c r="Y142" t="s">
        <v>41</v>
      </c>
      <c r="Z142">
        <v>534.72588160766202</v>
      </c>
    </row>
    <row r="143" spans="1:26" x14ac:dyDescent="0.3">
      <c r="A143" t="s">
        <v>82</v>
      </c>
      <c r="B143" t="s">
        <v>199</v>
      </c>
      <c r="C143">
        <v>20.549961139203599</v>
      </c>
      <c r="D143">
        <v>31</v>
      </c>
      <c r="E143">
        <v>558</v>
      </c>
      <c r="F143">
        <v>8094.4768735374601</v>
      </c>
      <c r="G143" t="s">
        <v>35</v>
      </c>
      <c r="H143">
        <v>4</v>
      </c>
      <c r="I143">
        <v>8</v>
      </c>
      <c r="J143">
        <v>22</v>
      </c>
      <c r="K143">
        <v>8</v>
      </c>
      <c r="L143" t="s">
        <v>44</v>
      </c>
      <c r="M143">
        <v>7.7954361898775897</v>
      </c>
      <c r="N143" t="s">
        <v>45</v>
      </c>
      <c r="O143" t="s">
        <v>38</v>
      </c>
      <c r="P143">
        <f>VLOOKUP(O143, Coordinates!$A$2:$C$6, 2, FALSE)</f>
        <v>25.761700000000001</v>
      </c>
      <c r="Q143">
        <f>VLOOKUP(O143, Coordinates!$A$2:$C$6, 3, FALSE)</f>
        <v>-80.191800000000001</v>
      </c>
      <c r="R143">
        <v>25</v>
      </c>
      <c r="S143">
        <v>208</v>
      </c>
      <c r="T143">
        <v>16</v>
      </c>
      <c r="U143">
        <v>37.329921841796903</v>
      </c>
      <c r="V143" t="s">
        <v>39</v>
      </c>
      <c r="W143">
        <v>4.3186747838248198</v>
      </c>
      <c r="X143" t="s">
        <v>52</v>
      </c>
      <c r="Y143" t="s">
        <v>60</v>
      </c>
      <c r="Z143">
        <v>977.31360201922303</v>
      </c>
    </row>
    <row r="144" spans="1:26" x14ac:dyDescent="0.3">
      <c r="A144" t="s">
        <v>33</v>
      </c>
      <c r="B144" t="s">
        <v>200</v>
      </c>
      <c r="C144">
        <v>31.010174213840099</v>
      </c>
      <c r="D144">
        <v>30</v>
      </c>
      <c r="E144">
        <v>866</v>
      </c>
      <c r="F144">
        <v>3331.3162969301202</v>
      </c>
      <c r="G144" t="s">
        <v>54</v>
      </c>
      <c r="H144">
        <v>99</v>
      </c>
      <c r="I144">
        <v>13</v>
      </c>
      <c r="J144">
        <v>72</v>
      </c>
      <c r="K144">
        <v>6</v>
      </c>
      <c r="L144" t="s">
        <v>36</v>
      </c>
      <c r="M144">
        <v>2.5322065794457602</v>
      </c>
      <c r="N144" t="s">
        <v>45</v>
      </c>
      <c r="O144" t="s">
        <v>38</v>
      </c>
      <c r="P144">
        <f>VLOOKUP(O144, Coordinates!$A$2:$C$6, 2, FALSE)</f>
        <v>25.761700000000001</v>
      </c>
      <c r="Q144">
        <f>VLOOKUP(O144, Coordinates!$A$2:$C$6, 3, FALSE)</f>
        <v>-80.191800000000001</v>
      </c>
      <c r="R144">
        <v>30</v>
      </c>
      <c r="S144">
        <v>569</v>
      </c>
      <c r="T144">
        <v>9</v>
      </c>
      <c r="U144">
        <v>44.479260088694801</v>
      </c>
      <c r="V144" t="s">
        <v>55</v>
      </c>
      <c r="W144">
        <v>4.1747822530000001</v>
      </c>
      <c r="X144" t="s">
        <v>31</v>
      </c>
      <c r="Y144" t="s">
        <v>32</v>
      </c>
      <c r="Z144">
        <v>665.52847424599599</v>
      </c>
    </row>
    <row r="145" spans="1:26" x14ac:dyDescent="0.3">
      <c r="A145" t="s">
        <v>61</v>
      </c>
      <c r="B145" t="s">
        <v>201</v>
      </c>
      <c r="C145">
        <v>93.190165620614806</v>
      </c>
      <c r="D145">
        <v>18</v>
      </c>
      <c r="E145">
        <v>420</v>
      </c>
      <c r="F145">
        <v>7378.0904796895602</v>
      </c>
      <c r="G145" t="s">
        <v>48</v>
      </c>
      <c r="H145">
        <v>16</v>
      </c>
      <c r="I145">
        <v>5</v>
      </c>
      <c r="J145">
        <v>75</v>
      </c>
      <c r="K145">
        <v>3</v>
      </c>
      <c r="L145" t="s">
        <v>27</v>
      </c>
      <c r="M145">
        <v>13.3645981018092</v>
      </c>
      <c r="N145" t="s">
        <v>45</v>
      </c>
      <c r="O145" t="s">
        <v>38</v>
      </c>
      <c r="P145">
        <f>VLOOKUP(O145, Coordinates!$A$2:$C$6, 2, FALSE)</f>
        <v>25.761700000000001</v>
      </c>
      <c r="Q145">
        <f>VLOOKUP(O145, Coordinates!$A$2:$C$6, 3, FALSE)</f>
        <v>-80.191800000000001</v>
      </c>
      <c r="R145">
        <v>30</v>
      </c>
      <c r="S145">
        <v>449</v>
      </c>
      <c r="T145">
        <v>8</v>
      </c>
      <c r="U145">
        <v>81.222850390342998</v>
      </c>
      <c r="V145" t="s">
        <v>39</v>
      </c>
      <c r="W145">
        <v>3.5639129122679498</v>
      </c>
      <c r="X145" t="s">
        <v>52</v>
      </c>
      <c r="Y145" t="s">
        <v>60</v>
      </c>
      <c r="Z145">
        <v>670.136726506733</v>
      </c>
    </row>
    <row r="146" spans="1:26" x14ac:dyDescent="0.3">
      <c r="A146" t="s">
        <v>82</v>
      </c>
      <c r="B146" t="s">
        <v>202</v>
      </c>
      <c r="C146">
        <v>69.218316180703695</v>
      </c>
      <c r="D146">
        <v>17</v>
      </c>
      <c r="E146">
        <v>804</v>
      </c>
      <c r="F146">
        <v>2933.6914578249798</v>
      </c>
      <c r="G146" t="s">
        <v>26</v>
      </c>
      <c r="H146">
        <v>52</v>
      </c>
      <c r="I146">
        <v>14</v>
      </c>
      <c r="J146">
        <v>14</v>
      </c>
      <c r="K146">
        <v>1</v>
      </c>
      <c r="L146" t="s">
        <v>27</v>
      </c>
      <c r="M146">
        <v>10.914101459999999</v>
      </c>
      <c r="N146" t="s">
        <v>57</v>
      </c>
      <c r="O146" t="s">
        <v>38</v>
      </c>
      <c r="P146">
        <f>VLOOKUP(O146, Coordinates!$A$2:$C$6, 2, FALSE)</f>
        <v>25.761700000000001</v>
      </c>
      <c r="Q146">
        <f>VLOOKUP(O146, Coordinates!$A$2:$C$6, 3, FALSE)</f>
        <v>-80.191800000000001</v>
      </c>
      <c r="R146">
        <v>12</v>
      </c>
      <c r="S146">
        <v>874</v>
      </c>
      <c r="T146">
        <v>11</v>
      </c>
      <c r="U146">
        <v>69.576761675270603</v>
      </c>
      <c r="V146" t="s">
        <v>30</v>
      </c>
      <c r="W146">
        <v>3.1518599468277402</v>
      </c>
      <c r="X146" t="s">
        <v>52</v>
      </c>
      <c r="Y146" t="s">
        <v>41</v>
      </c>
      <c r="Z146">
        <v>226.94062277228099</v>
      </c>
    </row>
    <row r="147" spans="1:26" x14ac:dyDescent="0.3">
      <c r="A147" t="s">
        <v>24</v>
      </c>
      <c r="B147" t="s">
        <v>203</v>
      </c>
      <c r="C147">
        <v>37.477266365128202</v>
      </c>
      <c r="D147">
        <v>38</v>
      </c>
      <c r="E147">
        <v>430</v>
      </c>
      <c r="F147">
        <v>14503.702083304601</v>
      </c>
      <c r="G147" t="s">
        <v>26</v>
      </c>
      <c r="H147">
        <v>51</v>
      </c>
      <c r="I147">
        <v>16</v>
      </c>
      <c r="J147">
        <v>84</v>
      </c>
      <c r="K147">
        <v>3</v>
      </c>
      <c r="L147" t="s">
        <v>44</v>
      </c>
      <c r="M147">
        <v>4.3759182479400502</v>
      </c>
      <c r="N147" t="s">
        <v>37</v>
      </c>
      <c r="O147" t="s">
        <v>58</v>
      </c>
      <c r="P147">
        <f>VLOOKUP(O147, Coordinates!$A$2:$C$6, 2, FALSE)</f>
        <v>34.052199999999999</v>
      </c>
      <c r="Q147">
        <f>VLOOKUP(O147, Coordinates!$A$2:$C$6, 3, FALSE)</f>
        <v>-118.2437</v>
      </c>
      <c r="R147">
        <v>1</v>
      </c>
      <c r="S147">
        <v>821</v>
      </c>
      <c r="T147">
        <v>14</v>
      </c>
      <c r="U147">
        <v>84.095600185618594</v>
      </c>
      <c r="V147" t="s">
        <v>39</v>
      </c>
      <c r="W147">
        <v>2.4953195749999999</v>
      </c>
      <c r="X147" t="s">
        <v>52</v>
      </c>
      <c r="Y147" t="s">
        <v>32</v>
      </c>
      <c r="Z147">
        <v>988.96349092203104</v>
      </c>
    </row>
    <row r="148" spans="1:26" x14ac:dyDescent="0.3">
      <c r="A148" t="s">
        <v>24</v>
      </c>
      <c r="B148" t="s">
        <v>204</v>
      </c>
      <c r="C148">
        <v>37.577529633154498</v>
      </c>
      <c r="D148">
        <v>14</v>
      </c>
      <c r="E148">
        <v>420</v>
      </c>
      <c r="F148">
        <v>14204.3062013324</v>
      </c>
      <c r="G148" t="s">
        <v>48</v>
      </c>
      <c r="H148">
        <v>13</v>
      </c>
      <c r="I148">
        <v>11</v>
      </c>
      <c r="J148">
        <v>20</v>
      </c>
      <c r="K148">
        <v>8</v>
      </c>
      <c r="L148" t="s">
        <v>44</v>
      </c>
      <c r="M148">
        <v>13.413669706435</v>
      </c>
      <c r="N148" t="s">
        <v>28</v>
      </c>
      <c r="O148" t="s">
        <v>38</v>
      </c>
      <c r="P148">
        <f>VLOOKUP(O148, Coordinates!$A$2:$C$6, 2, FALSE)</f>
        <v>25.761700000000001</v>
      </c>
      <c r="Q148">
        <f>VLOOKUP(O148, Coordinates!$A$2:$C$6, 3, FALSE)</f>
        <v>-80.191800000000001</v>
      </c>
      <c r="R148">
        <v>2</v>
      </c>
      <c r="S148">
        <v>248</v>
      </c>
      <c r="T148">
        <v>17</v>
      </c>
      <c r="U148">
        <v>79.276645497889703</v>
      </c>
      <c r="V148" t="s">
        <v>39</v>
      </c>
      <c r="W148">
        <v>2.59663246012326</v>
      </c>
      <c r="X148" t="s">
        <v>40</v>
      </c>
      <c r="Y148" t="s">
        <v>60</v>
      </c>
      <c r="Z148">
        <v>163.69798132604899</v>
      </c>
    </row>
    <row r="149" spans="1:26" x14ac:dyDescent="0.3">
      <c r="A149" t="s">
        <v>72</v>
      </c>
      <c r="B149" t="s">
        <v>205</v>
      </c>
      <c r="C149">
        <v>27.694152930109201</v>
      </c>
      <c r="D149">
        <v>87</v>
      </c>
      <c r="E149">
        <v>30</v>
      </c>
      <c r="F149">
        <v>747.74212911294899</v>
      </c>
      <c r="G149" t="s">
        <v>26</v>
      </c>
      <c r="H149">
        <v>28</v>
      </c>
      <c r="I149">
        <v>20</v>
      </c>
      <c r="J149">
        <v>97</v>
      </c>
      <c r="K149">
        <v>4</v>
      </c>
      <c r="L149" t="s">
        <v>44</v>
      </c>
      <c r="M149">
        <v>9.9306242069999993</v>
      </c>
      <c r="N149" t="s">
        <v>28</v>
      </c>
      <c r="O149" t="s">
        <v>29</v>
      </c>
      <c r="P149">
        <f>VLOOKUP(O149, Coordinates!$A$2:$C$6, 2, FALSE)</f>
        <v>29.760400000000001</v>
      </c>
      <c r="Q149">
        <f>VLOOKUP(O149, Coordinates!$A$2:$C$6, 3, FALSE)</f>
        <v>-95.369799999999998</v>
      </c>
      <c r="R149">
        <v>18</v>
      </c>
      <c r="S149">
        <v>355</v>
      </c>
      <c r="T149">
        <v>13</v>
      </c>
      <c r="U149">
        <v>86.417126864595701</v>
      </c>
      <c r="V149" t="s">
        <v>39</v>
      </c>
      <c r="W149">
        <v>3.69003073100673</v>
      </c>
      <c r="X149" t="s">
        <v>52</v>
      </c>
      <c r="Y149" t="s">
        <v>32</v>
      </c>
      <c r="Z149">
        <v>987.07271576430503</v>
      </c>
    </row>
    <row r="150" spans="1:26" x14ac:dyDescent="0.3">
      <c r="A150" t="s">
        <v>42</v>
      </c>
      <c r="B150" t="s">
        <v>206</v>
      </c>
      <c r="C150">
        <v>68.788218814991097</v>
      </c>
      <c r="D150">
        <v>89</v>
      </c>
      <c r="E150">
        <v>375</v>
      </c>
      <c r="F150">
        <v>4039.73197061362</v>
      </c>
      <c r="G150" t="s">
        <v>48</v>
      </c>
      <c r="H150">
        <v>7</v>
      </c>
      <c r="I150">
        <v>12</v>
      </c>
      <c r="J150">
        <v>87</v>
      </c>
      <c r="K150">
        <v>3</v>
      </c>
      <c r="L150" t="s">
        <v>27</v>
      </c>
      <c r="M150">
        <v>14.3456867140921</v>
      </c>
      <c r="N150" t="s">
        <v>28</v>
      </c>
      <c r="O150" t="s">
        <v>38</v>
      </c>
      <c r="P150">
        <f>VLOOKUP(O150, Coordinates!$A$2:$C$6, 2, FALSE)</f>
        <v>25.761700000000001</v>
      </c>
      <c r="Q150">
        <f>VLOOKUP(O150, Coordinates!$A$2:$C$6, 3, FALSE)</f>
        <v>-80.191800000000001</v>
      </c>
      <c r="R150">
        <v>7</v>
      </c>
      <c r="S150">
        <v>488</v>
      </c>
      <c r="T150">
        <v>8</v>
      </c>
      <c r="U150">
        <v>77.120537067656898</v>
      </c>
      <c r="V150" t="s">
        <v>39</v>
      </c>
      <c r="W150">
        <v>3.13335026835709</v>
      </c>
      <c r="X150" t="s">
        <v>40</v>
      </c>
      <c r="Y150" t="s">
        <v>41</v>
      </c>
      <c r="Z150">
        <v>919.50902670510004</v>
      </c>
    </row>
    <row r="151" spans="1:26" x14ac:dyDescent="0.3">
      <c r="A151" t="s">
        <v>49</v>
      </c>
      <c r="B151" t="s">
        <v>207</v>
      </c>
      <c r="C151">
        <v>35.107635347769701</v>
      </c>
      <c r="D151">
        <v>79</v>
      </c>
      <c r="E151">
        <v>389</v>
      </c>
      <c r="F151">
        <v>4766.0454745791203</v>
      </c>
      <c r="G151" t="s">
        <v>26</v>
      </c>
      <c r="H151">
        <v>97</v>
      </c>
      <c r="I151">
        <v>15</v>
      </c>
      <c r="J151">
        <v>53</v>
      </c>
      <c r="K151">
        <v>4</v>
      </c>
      <c r="L151" t="s">
        <v>36</v>
      </c>
      <c r="M151">
        <v>-10</v>
      </c>
      <c r="N151" t="s">
        <v>28</v>
      </c>
      <c r="O151" t="s">
        <v>58</v>
      </c>
      <c r="P151">
        <f>VLOOKUP(O151, Coordinates!$A$2:$C$6, 2, FALSE)</f>
        <v>34.052199999999999</v>
      </c>
      <c r="Q151">
        <f>VLOOKUP(O151, Coordinates!$A$2:$C$6, 3, FALSE)</f>
        <v>-118.2437</v>
      </c>
      <c r="R151">
        <v>16</v>
      </c>
      <c r="S151">
        <v>298</v>
      </c>
      <c r="T151">
        <v>14</v>
      </c>
      <c r="U151">
        <v>26.678953949606001</v>
      </c>
      <c r="V151" t="s">
        <v>30</v>
      </c>
      <c r="W151">
        <v>1.25154494172856</v>
      </c>
      <c r="X151" t="s">
        <v>40</v>
      </c>
      <c r="Y151" t="s">
        <v>32</v>
      </c>
      <c r="Z151">
        <v>870.778244516874</v>
      </c>
    </row>
    <row r="152" spans="1:26" x14ac:dyDescent="0.3">
      <c r="A152" t="s">
        <v>33</v>
      </c>
      <c r="B152" t="s">
        <v>208</v>
      </c>
      <c r="C152">
        <v>88.530522699794602</v>
      </c>
      <c r="D152">
        <v>56</v>
      </c>
      <c r="E152">
        <v>60</v>
      </c>
      <c r="F152">
        <v>5576.8500234793701</v>
      </c>
      <c r="G152" t="s">
        <v>48</v>
      </c>
      <c r="H152">
        <v>0</v>
      </c>
      <c r="I152">
        <v>24</v>
      </c>
      <c r="J152">
        <v>94</v>
      </c>
      <c r="K152">
        <v>4</v>
      </c>
      <c r="L152" t="s">
        <v>27</v>
      </c>
      <c r="M152">
        <v>1.0459450493000499</v>
      </c>
      <c r="N152" t="s">
        <v>57</v>
      </c>
      <c r="O152" t="s">
        <v>38</v>
      </c>
      <c r="P152">
        <f>VLOOKUP(O152, Coordinates!$A$2:$C$6, 2, FALSE)</f>
        <v>25.761700000000001</v>
      </c>
      <c r="Q152">
        <f>VLOOKUP(O152, Coordinates!$A$2:$C$6, 3, FALSE)</f>
        <v>-80.191800000000001</v>
      </c>
      <c r="R152">
        <v>13</v>
      </c>
      <c r="S152">
        <v>542</v>
      </c>
      <c r="T152">
        <v>11</v>
      </c>
      <c r="U152">
        <v>37.082729979928402</v>
      </c>
      <c r="V152" t="s">
        <v>30</v>
      </c>
      <c r="W152">
        <v>0.37112965711868801</v>
      </c>
      <c r="X152" t="s">
        <v>31</v>
      </c>
      <c r="Y152" t="s">
        <v>60</v>
      </c>
      <c r="Z152">
        <v>706.23882483064403</v>
      </c>
    </row>
    <row r="153" spans="1:26" x14ac:dyDescent="0.3">
      <c r="A153" t="s">
        <v>72</v>
      </c>
      <c r="B153" t="s">
        <v>209</v>
      </c>
      <c r="C153">
        <v>26.497882041747602</v>
      </c>
      <c r="D153">
        <v>22</v>
      </c>
      <c r="E153">
        <v>257</v>
      </c>
      <c r="F153">
        <v>6128.9601162562303</v>
      </c>
      <c r="G153" t="s">
        <v>48</v>
      </c>
      <c r="H153">
        <v>28</v>
      </c>
      <c r="I153">
        <v>12</v>
      </c>
      <c r="J153">
        <v>78</v>
      </c>
      <c r="K153">
        <v>2</v>
      </c>
      <c r="L153" t="s">
        <v>36</v>
      </c>
      <c r="M153">
        <v>2.6829989263856402</v>
      </c>
      <c r="N153" t="s">
        <v>37</v>
      </c>
      <c r="O153" t="s">
        <v>29</v>
      </c>
      <c r="P153">
        <f>VLOOKUP(O153, Coordinates!$A$2:$C$6, 2, FALSE)</f>
        <v>29.760400000000001</v>
      </c>
      <c r="Q153">
        <f>VLOOKUP(O153, Coordinates!$A$2:$C$6, 3, FALSE)</f>
        <v>-95.369799999999998</v>
      </c>
      <c r="R153">
        <v>4</v>
      </c>
      <c r="S153">
        <v>948</v>
      </c>
      <c r="T153">
        <v>9</v>
      </c>
      <c r="U153">
        <v>91.136450004885205</v>
      </c>
      <c r="V153" t="s">
        <v>55</v>
      </c>
      <c r="W153">
        <v>4.2011703368264497</v>
      </c>
      <c r="X153" t="s">
        <v>52</v>
      </c>
      <c r="Y153" t="s">
        <v>60</v>
      </c>
      <c r="Z153">
        <v>647.97228029999997</v>
      </c>
    </row>
    <row r="154" spans="1:26" x14ac:dyDescent="0.3">
      <c r="A154" t="s">
        <v>49</v>
      </c>
      <c r="B154" t="s">
        <v>210</v>
      </c>
      <c r="C154">
        <v>56.681575019999997</v>
      </c>
      <c r="D154">
        <v>67</v>
      </c>
      <c r="E154">
        <v>638</v>
      </c>
      <c r="F154">
        <v>3436.0714536875998</v>
      </c>
      <c r="G154" t="s">
        <v>48</v>
      </c>
      <c r="H154">
        <v>35</v>
      </c>
      <c r="I154">
        <v>26</v>
      </c>
      <c r="J154">
        <v>11</v>
      </c>
      <c r="K154">
        <v>4</v>
      </c>
      <c r="L154" t="s">
        <v>44</v>
      </c>
      <c r="M154">
        <v>8.6569126310000009</v>
      </c>
      <c r="N154" t="s">
        <v>57</v>
      </c>
      <c r="O154" t="s">
        <v>65</v>
      </c>
      <c r="P154">
        <f>VLOOKUP(O154, Coordinates!$A$2:$C$6, 2, FALSE)</f>
        <v>41.878100000000003</v>
      </c>
      <c r="Q154">
        <f>VLOOKUP(O154, Coordinates!$A$2:$C$6, 3, FALSE)</f>
        <v>-87.629800000000003</v>
      </c>
      <c r="R154">
        <v>10</v>
      </c>
      <c r="S154">
        <v>285</v>
      </c>
      <c r="T154">
        <v>8</v>
      </c>
      <c r="U154">
        <v>26.878806099999998</v>
      </c>
      <c r="V154" t="s">
        <v>30</v>
      </c>
      <c r="W154">
        <v>4.4244703737592799</v>
      </c>
      <c r="X154" t="s">
        <v>31</v>
      </c>
      <c r="Y154" t="s">
        <v>41</v>
      </c>
      <c r="Z154">
        <v>996.95801576187205</v>
      </c>
    </row>
    <row r="155" spans="1:26" x14ac:dyDescent="0.3">
      <c r="A155" t="s">
        <v>49</v>
      </c>
      <c r="B155" t="s">
        <v>211</v>
      </c>
      <c r="C155">
        <v>65.426722554333296</v>
      </c>
      <c r="D155">
        <v>56</v>
      </c>
      <c r="E155">
        <v>110</v>
      </c>
      <c r="F155">
        <v>1262.53601716667</v>
      </c>
      <c r="G155" t="s">
        <v>26</v>
      </c>
      <c r="H155">
        <v>50</v>
      </c>
      <c r="I155">
        <v>9</v>
      </c>
      <c r="J155">
        <v>49</v>
      </c>
      <c r="K155">
        <v>9</v>
      </c>
      <c r="L155" t="s">
        <v>27</v>
      </c>
      <c r="M155">
        <v>14.381940242542001</v>
      </c>
      <c r="N155" t="s">
        <v>37</v>
      </c>
      <c r="O155" t="s">
        <v>29</v>
      </c>
      <c r="P155">
        <f>VLOOKUP(O155, Coordinates!$A$2:$C$6, 2, FALSE)</f>
        <v>29.760400000000001</v>
      </c>
      <c r="Q155">
        <f>VLOOKUP(O155, Coordinates!$A$2:$C$6, 3, FALSE)</f>
        <v>-95.369799999999998</v>
      </c>
      <c r="R155">
        <v>28</v>
      </c>
      <c r="S155">
        <v>443</v>
      </c>
      <c r="T155">
        <v>14</v>
      </c>
      <c r="U155">
        <v>11.0945308605673</v>
      </c>
      <c r="V155" t="s">
        <v>55</v>
      </c>
      <c r="W155">
        <v>0.82248266458659303</v>
      </c>
      <c r="X155" t="s">
        <v>40</v>
      </c>
      <c r="Y155" t="s">
        <v>32</v>
      </c>
      <c r="Z155">
        <v>976.59773758946596</v>
      </c>
    </row>
    <row r="156" spans="1:26" x14ac:dyDescent="0.3">
      <c r="A156" t="s">
        <v>82</v>
      </c>
      <c r="B156" t="s">
        <v>212</v>
      </c>
      <c r="C156">
        <v>26.001020288104201</v>
      </c>
      <c r="D156">
        <v>19</v>
      </c>
      <c r="E156">
        <v>134</v>
      </c>
      <c r="F156">
        <v>6445.9146001343497</v>
      </c>
      <c r="G156" t="s">
        <v>48</v>
      </c>
      <c r="H156">
        <v>36</v>
      </c>
      <c r="I156">
        <v>1</v>
      </c>
      <c r="J156">
        <v>46</v>
      </c>
      <c r="K156">
        <v>4</v>
      </c>
      <c r="L156" t="s">
        <v>36</v>
      </c>
      <c r="M156">
        <v>14.9192708971357</v>
      </c>
      <c r="N156" t="s">
        <v>57</v>
      </c>
      <c r="O156" t="s">
        <v>67</v>
      </c>
      <c r="P156">
        <f>VLOOKUP(O156, Coordinates!$A$2:$C$6, 2, FALSE)</f>
        <v>40.712800000000001</v>
      </c>
      <c r="Q156">
        <f>VLOOKUP(O156, Coordinates!$A$2:$C$6, 3, FALSE)</f>
        <v>-74.006</v>
      </c>
      <c r="R156">
        <v>9</v>
      </c>
      <c r="S156">
        <v>776</v>
      </c>
      <c r="T156">
        <v>15</v>
      </c>
      <c r="U156">
        <v>25.657054190993001</v>
      </c>
      <c r="V156" t="s">
        <v>39</v>
      </c>
      <c r="W156">
        <v>1.54738533459766</v>
      </c>
      <c r="X156" t="s">
        <v>52</v>
      </c>
      <c r="Y156" t="s">
        <v>32</v>
      </c>
      <c r="Z156">
        <v>830.64977527137398</v>
      </c>
    </row>
    <row r="157" spans="1:26" x14ac:dyDescent="0.3">
      <c r="A157" t="s">
        <v>49</v>
      </c>
      <c r="B157" t="s">
        <v>213</v>
      </c>
      <c r="C157">
        <v>97.9477414860566</v>
      </c>
      <c r="D157">
        <v>57</v>
      </c>
      <c r="E157">
        <v>853</v>
      </c>
      <c r="F157">
        <v>4561.7034686261804</v>
      </c>
      <c r="G157" t="s">
        <v>35</v>
      </c>
      <c r="H157">
        <v>92</v>
      </c>
      <c r="I157">
        <v>3</v>
      </c>
      <c r="J157">
        <v>58</v>
      </c>
      <c r="K157">
        <v>1</v>
      </c>
      <c r="L157" t="s">
        <v>27</v>
      </c>
      <c r="M157">
        <v>8.9437110942492701</v>
      </c>
      <c r="N157" t="s">
        <v>51</v>
      </c>
      <c r="O157" t="s">
        <v>29</v>
      </c>
      <c r="P157">
        <f>VLOOKUP(O157, Coordinates!$A$2:$C$6, 2, FALSE)</f>
        <v>29.760400000000001</v>
      </c>
      <c r="Q157">
        <f>VLOOKUP(O157, Coordinates!$A$2:$C$6, 3, FALSE)</f>
        <v>-95.369799999999998</v>
      </c>
      <c r="R157">
        <v>18</v>
      </c>
      <c r="S157">
        <v>207</v>
      </c>
      <c r="T157">
        <v>26</v>
      </c>
      <c r="U157">
        <v>82.7419894373338</v>
      </c>
      <c r="V157" t="s">
        <v>55</v>
      </c>
      <c r="W157">
        <v>1.4117119096586599</v>
      </c>
      <c r="X157" t="s">
        <v>40</v>
      </c>
      <c r="Y157" t="s">
        <v>41</v>
      </c>
      <c r="Z157">
        <v>178.17532839770999</v>
      </c>
    </row>
    <row r="158" spans="1:26" x14ac:dyDescent="0.3">
      <c r="A158" t="s">
        <v>42</v>
      </c>
      <c r="B158" t="s">
        <v>214</v>
      </c>
      <c r="C158">
        <v>76.078231068004698</v>
      </c>
      <c r="D158">
        <v>44</v>
      </c>
      <c r="E158">
        <v>930</v>
      </c>
      <c r="F158">
        <v>3688.0494164879401</v>
      </c>
      <c r="G158" t="s">
        <v>48</v>
      </c>
      <c r="H158">
        <v>5</v>
      </c>
      <c r="I158">
        <v>22</v>
      </c>
      <c r="J158">
        <v>84</v>
      </c>
      <c r="K158">
        <v>1</v>
      </c>
      <c r="L158" t="s">
        <v>36</v>
      </c>
      <c r="M158">
        <v>3.4332208452332198</v>
      </c>
      <c r="N158" t="s">
        <v>37</v>
      </c>
      <c r="O158" t="s">
        <v>67</v>
      </c>
      <c r="P158">
        <f>VLOOKUP(O158, Coordinates!$A$2:$C$6, 2, FALSE)</f>
        <v>40.712800000000001</v>
      </c>
      <c r="Q158">
        <f>VLOOKUP(O158, Coordinates!$A$2:$C$6, 3, FALSE)</f>
        <v>-74.006</v>
      </c>
      <c r="R158">
        <v>9</v>
      </c>
      <c r="S158">
        <v>694</v>
      </c>
      <c r="T158">
        <v>1</v>
      </c>
      <c r="U158">
        <v>59.132840629999997</v>
      </c>
      <c r="V158" t="s">
        <v>55</v>
      </c>
      <c r="W158">
        <v>4.6872428037007703</v>
      </c>
      <c r="X158" t="s">
        <v>52</v>
      </c>
      <c r="Y158" t="s">
        <v>41</v>
      </c>
      <c r="Z158">
        <v>434.94995129882199</v>
      </c>
    </row>
    <row r="159" spans="1:26" x14ac:dyDescent="0.3">
      <c r="A159" t="s">
        <v>24</v>
      </c>
      <c r="B159" t="s">
        <v>215</v>
      </c>
      <c r="C159">
        <v>33.079350128022298</v>
      </c>
      <c r="D159">
        <v>98</v>
      </c>
      <c r="E159">
        <v>380</v>
      </c>
      <c r="F159">
        <v>11313.1377437836</v>
      </c>
      <c r="G159" t="s">
        <v>54</v>
      </c>
      <c r="H159">
        <v>52</v>
      </c>
      <c r="I159">
        <v>20</v>
      </c>
      <c r="J159">
        <v>45</v>
      </c>
      <c r="K159">
        <v>1</v>
      </c>
      <c r="L159" t="s">
        <v>36</v>
      </c>
      <c r="M159">
        <v>3.2827002801218801</v>
      </c>
      <c r="N159" t="s">
        <v>28</v>
      </c>
      <c r="O159" t="s">
        <v>38</v>
      </c>
      <c r="P159">
        <f>VLOOKUP(O159, Coordinates!$A$2:$C$6, 2, FALSE)</f>
        <v>25.761700000000001</v>
      </c>
      <c r="Q159">
        <f>VLOOKUP(O159, Coordinates!$A$2:$C$6, 3, FALSE)</f>
        <v>-80.191800000000001</v>
      </c>
      <c r="R159">
        <v>22</v>
      </c>
      <c r="S159">
        <v>912</v>
      </c>
      <c r="T159">
        <v>24</v>
      </c>
      <c r="U159">
        <v>75.848489196352205</v>
      </c>
      <c r="V159" t="s">
        <v>39</v>
      </c>
      <c r="W159">
        <v>1.02388690965344</v>
      </c>
      <c r="X159" t="s">
        <v>52</v>
      </c>
      <c r="Y159" t="s">
        <v>41</v>
      </c>
      <c r="Z159">
        <v>879.3350289</v>
      </c>
    </row>
    <row r="160" spans="1:26" x14ac:dyDescent="0.3">
      <c r="A160" t="s">
        <v>72</v>
      </c>
      <c r="B160" t="s">
        <v>216</v>
      </c>
      <c r="C160">
        <v>35.569887042534397</v>
      </c>
      <c r="D160">
        <v>35</v>
      </c>
      <c r="E160">
        <v>747</v>
      </c>
      <c r="F160">
        <v>23913.6350586958</v>
      </c>
      <c r="G160" t="s">
        <v>54</v>
      </c>
      <c r="H160">
        <v>95</v>
      </c>
      <c r="I160">
        <v>13</v>
      </c>
      <c r="J160">
        <v>84</v>
      </c>
      <c r="K160">
        <v>5</v>
      </c>
      <c r="L160" t="s">
        <v>27</v>
      </c>
      <c r="M160">
        <v>11.6940086135979</v>
      </c>
      <c r="N160" t="s">
        <v>37</v>
      </c>
      <c r="O160" t="s">
        <v>67</v>
      </c>
      <c r="P160">
        <f>VLOOKUP(O160, Coordinates!$A$2:$C$6, 2, FALSE)</f>
        <v>40.712800000000001</v>
      </c>
      <c r="Q160">
        <f>VLOOKUP(O160, Coordinates!$A$2:$C$6, 3, FALSE)</f>
        <v>-74.006</v>
      </c>
      <c r="R160">
        <v>10</v>
      </c>
      <c r="S160">
        <v>179</v>
      </c>
      <c r="T160">
        <v>12</v>
      </c>
      <c r="U160">
        <v>83.266200380000001</v>
      </c>
      <c r="V160" t="s">
        <v>30</v>
      </c>
      <c r="W160">
        <v>0.83269616049915995</v>
      </c>
      <c r="X160" t="s">
        <v>46</v>
      </c>
      <c r="Y160" t="s">
        <v>41</v>
      </c>
      <c r="Z160">
        <v>732.26829256910401</v>
      </c>
    </row>
    <row r="161" spans="1:26" x14ac:dyDescent="0.3">
      <c r="A161" t="s">
        <v>49</v>
      </c>
      <c r="B161" t="s">
        <v>217</v>
      </c>
      <c r="C161">
        <v>10.116529664812401</v>
      </c>
      <c r="D161">
        <v>1</v>
      </c>
      <c r="E161">
        <v>971</v>
      </c>
      <c r="F161">
        <v>8719.8899353519791</v>
      </c>
      <c r="G161" t="s">
        <v>35</v>
      </c>
      <c r="H161">
        <v>51</v>
      </c>
      <c r="I161">
        <v>23</v>
      </c>
      <c r="J161">
        <v>82</v>
      </c>
      <c r="K161">
        <v>6</v>
      </c>
      <c r="L161" t="s">
        <v>44</v>
      </c>
      <c r="M161">
        <v>9.2871275018881594</v>
      </c>
      <c r="N161" t="s">
        <v>45</v>
      </c>
      <c r="O161" t="s">
        <v>38</v>
      </c>
      <c r="P161">
        <f>VLOOKUP(O161, Coordinates!$A$2:$C$6, 2, FALSE)</f>
        <v>25.761700000000001</v>
      </c>
      <c r="Q161">
        <f>VLOOKUP(O161, Coordinates!$A$2:$C$6, 3, FALSE)</f>
        <v>-80.191800000000001</v>
      </c>
      <c r="R161">
        <v>28</v>
      </c>
      <c r="S161">
        <v>352</v>
      </c>
      <c r="T161">
        <v>5</v>
      </c>
      <c r="U161">
        <v>76.585071281211199</v>
      </c>
      <c r="V161" t="s">
        <v>55</v>
      </c>
      <c r="W161">
        <v>3.8149182505592298</v>
      </c>
      <c r="X161" t="s">
        <v>31</v>
      </c>
      <c r="Y161" t="s">
        <v>60</v>
      </c>
      <c r="Z161">
        <v>209.803783185349</v>
      </c>
    </row>
    <row r="162" spans="1:26" x14ac:dyDescent="0.3">
      <c r="A162" t="s">
        <v>82</v>
      </c>
      <c r="B162" t="s">
        <v>218</v>
      </c>
      <c r="C162">
        <v>35.405684089493398</v>
      </c>
      <c r="D162">
        <v>52</v>
      </c>
      <c r="E162">
        <v>312</v>
      </c>
      <c r="F162">
        <v>5454.8451524121401</v>
      </c>
      <c r="H162">
        <v>87</v>
      </c>
      <c r="I162">
        <v>6</v>
      </c>
      <c r="J162">
        <v>79</v>
      </c>
      <c r="K162">
        <v>6</v>
      </c>
      <c r="L162" t="s">
        <v>27</v>
      </c>
      <c r="M162">
        <v>8.6828345850586803</v>
      </c>
      <c r="N162" t="s">
        <v>37</v>
      </c>
      <c r="O162" t="s">
        <v>67</v>
      </c>
      <c r="P162">
        <f>VLOOKUP(O162, Coordinates!$A$2:$C$6, 2, FALSE)</f>
        <v>40.712800000000001</v>
      </c>
      <c r="Q162">
        <f>VLOOKUP(O162, Coordinates!$A$2:$C$6, 3, FALSE)</f>
        <v>-74.006</v>
      </c>
      <c r="R162">
        <v>23</v>
      </c>
      <c r="S162">
        <v>124</v>
      </c>
      <c r="T162">
        <v>25</v>
      </c>
      <c r="U162">
        <v>41.898500471877597</v>
      </c>
      <c r="V162" t="s">
        <v>30</v>
      </c>
      <c r="W162">
        <v>3.6493458804688301</v>
      </c>
      <c r="X162" t="s">
        <v>46</v>
      </c>
      <c r="Y162" t="s">
        <v>60</v>
      </c>
      <c r="Z162">
        <v>413.42368716132199</v>
      </c>
    </row>
    <row r="163" spans="1:26" x14ac:dyDescent="0.3">
      <c r="A163" t="s">
        <v>42</v>
      </c>
      <c r="B163" t="s">
        <v>219</v>
      </c>
      <c r="C163">
        <v>76.5527969117732</v>
      </c>
      <c r="D163">
        <v>85</v>
      </c>
      <c r="E163">
        <v>95</v>
      </c>
      <c r="F163">
        <v>2178.3812691409898</v>
      </c>
      <c r="G163" t="s">
        <v>54</v>
      </c>
      <c r="H163">
        <v>82</v>
      </c>
      <c r="I163">
        <v>10</v>
      </c>
      <c r="J163">
        <v>43</v>
      </c>
      <c r="K163">
        <v>6</v>
      </c>
      <c r="L163" t="s">
        <v>44</v>
      </c>
      <c r="M163">
        <v>7.5207089262072202</v>
      </c>
      <c r="N163" t="s">
        <v>45</v>
      </c>
      <c r="O163" t="s">
        <v>38</v>
      </c>
      <c r="P163">
        <f>VLOOKUP(O163, Coordinates!$A$2:$C$6, 2, FALSE)</f>
        <v>25.761700000000001</v>
      </c>
      <c r="Q163">
        <f>VLOOKUP(O163, Coordinates!$A$2:$C$6, 3, FALSE)</f>
        <v>-80.191800000000001</v>
      </c>
      <c r="R163">
        <v>27</v>
      </c>
      <c r="S163">
        <v>382</v>
      </c>
      <c r="T163">
        <v>14</v>
      </c>
      <c r="U163">
        <v>51.946735740000001</v>
      </c>
      <c r="V163" t="s">
        <v>39</v>
      </c>
      <c r="W163">
        <v>3.94510472971879</v>
      </c>
      <c r="X163" t="s">
        <v>52</v>
      </c>
      <c r="Y163" t="s">
        <v>41</v>
      </c>
      <c r="Z163">
        <v>117.48295375974099</v>
      </c>
    </row>
    <row r="164" spans="1:26" x14ac:dyDescent="0.3">
      <c r="A164" t="s">
        <v>61</v>
      </c>
      <c r="B164" t="s">
        <v>220</v>
      </c>
      <c r="C164">
        <v>30.586473338692301</v>
      </c>
      <c r="D164">
        <v>93</v>
      </c>
      <c r="E164">
        <v>397</v>
      </c>
      <c r="F164">
        <v>7265.9929250914502</v>
      </c>
      <c r="G164" t="s">
        <v>48</v>
      </c>
      <c r="H164">
        <v>11</v>
      </c>
      <c r="I164">
        <v>10</v>
      </c>
      <c r="J164">
        <v>67</v>
      </c>
      <c r="K164">
        <v>9</v>
      </c>
      <c r="L164" t="s">
        <v>36</v>
      </c>
      <c r="M164">
        <v>11.1518847721435</v>
      </c>
      <c r="N164" t="s">
        <v>45</v>
      </c>
      <c r="O164" t="s">
        <v>38</v>
      </c>
      <c r="P164">
        <f>VLOOKUP(O164, Coordinates!$A$2:$C$6, 2, FALSE)</f>
        <v>25.761700000000001</v>
      </c>
      <c r="Q164">
        <f>VLOOKUP(O164, Coordinates!$A$2:$C$6, 3, FALSE)</f>
        <v>-80.191800000000001</v>
      </c>
      <c r="R164">
        <v>25</v>
      </c>
      <c r="S164">
        <v>662</v>
      </c>
      <c r="T164">
        <v>25</v>
      </c>
      <c r="U164">
        <v>15.7791895003104</v>
      </c>
      <c r="V164" t="s">
        <v>39</v>
      </c>
      <c r="W164">
        <v>4.5880393149999996</v>
      </c>
      <c r="X164" t="s">
        <v>46</v>
      </c>
      <c r="Y164" t="s">
        <v>41</v>
      </c>
      <c r="Z164">
        <v>903.52294078834996</v>
      </c>
    </row>
    <row r="165" spans="1:26" x14ac:dyDescent="0.3">
      <c r="A165" t="s">
        <v>24</v>
      </c>
      <c r="B165" t="s">
        <v>221</v>
      </c>
      <c r="C165">
        <v>20.709377434335899</v>
      </c>
      <c r="D165">
        <v>70</v>
      </c>
      <c r="E165">
        <v>538</v>
      </c>
      <c r="F165">
        <v>10027.4805537054</v>
      </c>
      <c r="G165" t="s">
        <v>54</v>
      </c>
      <c r="H165">
        <v>51</v>
      </c>
      <c r="I165">
        <v>16</v>
      </c>
      <c r="J165">
        <v>46</v>
      </c>
      <c r="K165">
        <v>1</v>
      </c>
      <c r="L165" t="s">
        <v>36</v>
      </c>
      <c r="M165">
        <v>13.012758506088799</v>
      </c>
      <c r="N165" t="s">
        <v>51</v>
      </c>
      <c r="O165" t="s">
        <v>38</v>
      </c>
      <c r="P165">
        <f>VLOOKUP(O165, Coordinates!$A$2:$C$6, 2, FALSE)</f>
        <v>25.761700000000001</v>
      </c>
      <c r="Q165">
        <f>VLOOKUP(O165, Coordinates!$A$2:$C$6, 3, FALSE)</f>
        <v>-80.191800000000001</v>
      </c>
      <c r="R165">
        <v>24</v>
      </c>
      <c r="S165">
        <v>986</v>
      </c>
      <c r="T165">
        <v>22</v>
      </c>
      <c r="U165">
        <v>89.613452289397998</v>
      </c>
      <c r="V165" t="s">
        <v>55</v>
      </c>
      <c r="W165">
        <v>0.68039952183178298</v>
      </c>
      <c r="X165" t="s">
        <v>40</v>
      </c>
      <c r="Y165" t="s">
        <v>32</v>
      </c>
      <c r="Z165">
        <v>772.30475709999996</v>
      </c>
    </row>
    <row r="166" spans="1:26" x14ac:dyDescent="0.3">
      <c r="A166" t="s">
        <v>24</v>
      </c>
      <c r="B166" t="s">
        <v>222</v>
      </c>
      <c r="C166">
        <v>21.8686411037441</v>
      </c>
      <c r="D166">
        <v>37</v>
      </c>
      <c r="E166">
        <v>806</v>
      </c>
      <c r="F166">
        <v>15863.5122566559</v>
      </c>
      <c r="G166" t="s">
        <v>26</v>
      </c>
      <c r="H166">
        <v>0</v>
      </c>
      <c r="I166">
        <v>27</v>
      </c>
      <c r="J166">
        <v>69</v>
      </c>
      <c r="K166">
        <v>10</v>
      </c>
      <c r="L166" t="s">
        <v>27</v>
      </c>
      <c r="M166">
        <v>5.2414131367388999</v>
      </c>
      <c r="N166" t="s">
        <v>37</v>
      </c>
      <c r="O166" t="s">
        <v>67</v>
      </c>
      <c r="P166">
        <f>VLOOKUP(O166, Coordinates!$A$2:$C$6, 2, FALSE)</f>
        <v>40.712800000000001</v>
      </c>
      <c r="Q166">
        <f>VLOOKUP(O166, Coordinates!$A$2:$C$6, 3, FALSE)</f>
        <v>-74.006</v>
      </c>
      <c r="R166">
        <v>13</v>
      </c>
      <c r="S166">
        <v>719</v>
      </c>
      <c r="T166">
        <v>16</v>
      </c>
      <c r="U166">
        <v>81.8450860564039</v>
      </c>
      <c r="V166" t="s">
        <v>30</v>
      </c>
      <c r="W166">
        <v>2.92860998704169</v>
      </c>
      <c r="X166" t="s">
        <v>52</v>
      </c>
      <c r="Y166" t="s">
        <v>60</v>
      </c>
      <c r="Z166">
        <v>492.27477457262103</v>
      </c>
    </row>
    <row r="167" spans="1:26" x14ac:dyDescent="0.3">
      <c r="A167" t="s">
        <v>72</v>
      </c>
      <c r="B167" t="s">
        <v>223</v>
      </c>
      <c r="C167">
        <v>35.574639928920199</v>
      </c>
      <c r="D167">
        <v>65</v>
      </c>
      <c r="E167">
        <v>114</v>
      </c>
      <c r="F167">
        <v>3649.9580567072098</v>
      </c>
      <c r="G167" t="s">
        <v>26</v>
      </c>
      <c r="H167">
        <v>6</v>
      </c>
      <c r="I167">
        <v>1</v>
      </c>
      <c r="J167">
        <v>21</v>
      </c>
      <c r="K167">
        <v>6</v>
      </c>
      <c r="L167" t="s">
        <v>27</v>
      </c>
      <c r="M167">
        <v>4.0928487404624603</v>
      </c>
      <c r="N167" t="s">
        <v>51</v>
      </c>
      <c r="O167" t="s">
        <v>58</v>
      </c>
      <c r="P167">
        <f>VLOOKUP(O167, Coordinates!$A$2:$C$6, 2, FALSE)</f>
        <v>34.052199999999999</v>
      </c>
      <c r="Q167">
        <f>VLOOKUP(O167, Coordinates!$A$2:$C$6, 3, FALSE)</f>
        <v>-118.2437</v>
      </c>
      <c r="R167">
        <v>16</v>
      </c>
      <c r="S167">
        <v>337</v>
      </c>
      <c r="T167">
        <v>19</v>
      </c>
      <c r="U167">
        <v>75.834121051949595</v>
      </c>
      <c r="V167" t="s">
        <v>30</v>
      </c>
      <c r="W167">
        <v>1.0496747916448801</v>
      </c>
      <c r="X167" t="s">
        <v>52</v>
      </c>
      <c r="Y167" t="s">
        <v>32</v>
      </c>
      <c r="Z167">
        <v>784.34929226790598</v>
      </c>
    </row>
    <row r="168" spans="1:26" x14ac:dyDescent="0.3">
      <c r="A168" t="s">
        <v>24</v>
      </c>
      <c r="B168" t="s">
        <v>224</v>
      </c>
      <c r="C168">
        <v>28.735985054538599</v>
      </c>
      <c r="D168">
        <v>51</v>
      </c>
      <c r="E168">
        <v>565</v>
      </c>
      <c r="F168">
        <v>14612.2484002329</v>
      </c>
      <c r="G168" t="s">
        <v>35</v>
      </c>
      <c r="H168">
        <v>16</v>
      </c>
      <c r="I168">
        <v>16</v>
      </c>
      <c r="J168">
        <v>41</v>
      </c>
      <c r="K168">
        <v>8</v>
      </c>
      <c r="L168" t="s">
        <v>44</v>
      </c>
      <c r="M168">
        <v>10.3827883284091</v>
      </c>
      <c r="N168" t="s">
        <v>28</v>
      </c>
      <c r="O168" t="s">
        <v>67</v>
      </c>
      <c r="P168">
        <f>VLOOKUP(O168, Coordinates!$A$2:$C$6, 2, FALSE)</f>
        <v>40.712800000000001</v>
      </c>
      <c r="Q168">
        <f>VLOOKUP(O168, Coordinates!$A$2:$C$6, 3, FALSE)</f>
        <v>-74.006</v>
      </c>
      <c r="R168">
        <v>13</v>
      </c>
      <c r="S168">
        <v>415</v>
      </c>
      <c r="T168">
        <v>28</v>
      </c>
      <c r="U168">
        <v>86.827606276554604</v>
      </c>
      <c r="V168" t="s">
        <v>39</v>
      </c>
      <c r="W168">
        <v>0.32075723682617402</v>
      </c>
      <c r="X168" t="s">
        <v>52</v>
      </c>
      <c r="Y168" t="s">
        <v>32</v>
      </c>
      <c r="Z168">
        <v>940.07997434024901</v>
      </c>
    </row>
    <row r="169" spans="1:26" x14ac:dyDescent="0.3">
      <c r="A169" t="s">
        <v>49</v>
      </c>
      <c r="B169" t="s">
        <v>225</v>
      </c>
      <c r="C169">
        <v>13.727734332454199</v>
      </c>
      <c r="D169">
        <v>1</v>
      </c>
      <c r="E169">
        <v>645</v>
      </c>
      <c r="F169">
        <v>2133.4657694275002</v>
      </c>
      <c r="G169" t="s">
        <v>35</v>
      </c>
      <c r="H169">
        <v>97</v>
      </c>
      <c r="I169">
        <v>4</v>
      </c>
      <c r="J169">
        <v>90</v>
      </c>
      <c r="K169">
        <v>8</v>
      </c>
      <c r="L169" t="s">
        <v>44</v>
      </c>
      <c r="M169">
        <v>13.8062539367693</v>
      </c>
      <c r="N169" t="s">
        <v>37</v>
      </c>
      <c r="O169" t="s">
        <v>67</v>
      </c>
      <c r="P169">
        <f>VLOOKUP(O169, Coordinates!$A$2:$C$6, 2, FALSE)</f>
        <v>40.712800000000001</v>
      </c>
      <c r="Q169">
        <f>VLOOKUP(O169, Coordinates!$A$2:$C$6, 3, FALSE)</f>
        <v>-74.006</v>
      </c>
      <c r="R169">
        <v>25</v>
      </c>
      <c r="S169">
        <v>939</v>
      </c>
      <c r="T169">
        <v>16</v>
      </c>
      <c r="U169">
        <v>66.916835986828801</v>
      </c>
      <c r="V169" t="s">
        <v>55</v>
      </c>
      <c r="W169">
        <v>4.43115689191238</v>
      </c>
      <c r="X169" t="s">
        <v>46</v>
      </c>
      <c r="Y169" t="s">
        <v>60</v>
      </c>
      <c r="Z169">
        <v>351.90252338578102</v>
      </c>
    </row>
    <row r="170" spans="1:26" x14ac:dyDescent="0.3">
      <c r="A170" t="s">
        <v>82</v>
      </c>
      <c r="B170" t="s">
        <v>226</v>
      </c>
      <c r="C170">
        <v>96.687325502064596</v>
      </c>
      <c r="D170">
        <v>91</v>
      </c>
      <c r="E170">
        <v>589</v>
      </c>
      <c r="F170">
        <v>9127.8775634437807</v>
      </c>
      <c r="G170" t="s">
        <v>48</v>
      </c>
      <c r="H170">
        <v>42</v>
      </c>
      <c r="I170">
        <v>6</v>
      </c>
      <c r="J170">
        <v>13</v>
      </c>
      <c r="K170">
        <v>3</v>
      </c>
      <c r="L170" t="s">
        <v>27</v>
      </c>
      <c r="M170">
        <v>5.8742041620172003</v>
      </c>
      <c r="N170" t="s">
        <v>57</v>
      </c>
      <c r="O170" t="s">
        <v>67</v>
      </c>
      <c r="P170">
        <f>VLOOKUP(O170, Coordinates!$A$2:$C$6, 2, FALSE)</f>
        <v>40.712800000000001</v>
      </c>
      <c r="Q170">
        <f>VLOOKUP(O170, Coordinates!$A$2:$C$6, 3, FALSE)</f>
        <v>-74.006</v>
      </c>
      <c r="R170">
        <v>12</v>
      </c>
      <c r="S170">
        <v>562</v>
      </c>
      <c r="T170">
        <v>7</v>
      </c>
      <c r="U170">
        <v>61.521881405903201</v>
      </c>
      <c r="V170" t="s">
        <v>30</v>
      </c>
      <c r="W170">
        <v>4.3542063820000001</v>
      </c>
      <c r="X170" t="s">
        <v>31</v>
      </c>
      <c r="Y170" t="s">
        <v>41</v>
      </c>
      <c r="Z170">
        <v>357.23515700000002</v>
      </c>
    </row>
    <row r="171" spans="1:26" x14ac:dyDescent="0.3">
      <c r="A171" t="s">
        <v>24</v>
      </c>
      <c r="B171" t="s">
        <v>227</v>
      </c>
      <c r="C171">
        <v>33.352963228042803</v>
      </c>
      <c r="D171">
        <v>21</v>
      </c>
      <c r="E171">
        <v>344</v>
      </c>
      <c r="F171">
        <v>10326.077415402</v>
      </c>
      <c r="G171" t="s">
        <v>35</v>
      </c>
      <c r="H171">
        <v>70</v>
      </c>
      <c r="I171">
        <v>19</v>
      </c>
      <c r="J171">
        <v>42</v>
      </c>
      <c r="K171">
        <v>5</v>
      </c>
      <c r="L171" t="s">
        <v>44</v>
      </c>
      <c r="M171">
        <v>4.81427506848381</v>
      </c>
      <c r="N171" t="s">
        <v>57</v>
      </c>
      <c r="O171" t="s">
        <v>29</v>
      </c>
      <c r="P171">
        <f>VLOOKUP(O171, Coordinates!$A$2:$C$6, 2, FALSE)</f>
        <v>29.760400000000001</v>
      </c>
      <c r="Q171">
        <f>VLOOKUP(O171, Coordinates!$A$2:$C$6, 3, FALSE)</f>
        <v>-95.369799999999998</v>
      </c>
      <c r="R171">
        <v>15</v>
      </c>
      <c r="S171">
        <v>797</v>
      </c>
      <c r="T171">
        <v>3</v>
      </c>
      <c r="U171">
        <v>77.403290423088094</v>
      </c>
      <c r="V171" t="s">
        <v>30</v>
      </c>
      <c r="W171">
        <v>4.87955080129636</v>
      </c>
      <c r="X171" t="s">
        <v>31</v>
      </c>
      <c r="Y171" t="s">
        <v>60</v>
      </c>
      <c r="Z171">
        <v>534.38633330967696</v>
      </c>
    </row>
    <row r="172" spans="1:26" x14ac:dyDescent="0.3">
      <c r="A172" t="s">
        <v>24</v>
      </c>
      <c r="B172" t="s">
        <v>228</v>
      </c>
      <c r="C172">
        <v>36.4072700800101</v>
      </c>
      <c r="D172">
        <v>53</v>
      </c>
      <c r="E172">
        <v>569</v>
      </c>
      <c r="F172">
        <v>18644.1630079731</v>
      </c>
      <c r="G172" t="s">
        <v>48</v>
      </c>
      <c r="H172">
        <v>16</v>
      </c>
      <c r="I172">
        <v>2</v>
      </c>
      <c r="J172">
        <v>52</v>
      </c>
      <c r="K172">
        <v>10</v>
      </c>
      <c r="L172" t="s">
        <v>44</v>
      </c>
      <c r="M172">
        <v>4.1656048232986702</v>
      </c>
      <c r="N172" t="s">
        <v>57</v>
      </c>
      <c r="O172" t="s">
        <v>67</v>
      </c>
      <c r="P172">
        <f>VLOOKUP(O172, Coordinates!$A$2:$C$6, 2, FALSE)</f>
        <v>40.712800000000001</v>
      </c>
      <c r="Q172">
        <f>VLOOKUP(O172, Coordinates!$A$2:$C$6, 3, FALSE)</f>
        <v>-74.006</v>
      </c>
      <c r="R172">
        <v>29</v>
      </c>
      <c r="S172">
        <v>691</v>
      </c>
      <c r="T172">
        <v>23</v>
      </c>
      <c r="U172">
        <v>82.398394049999993</v>
      </c>
      <c r="V172" t="s">
        <v>55</v>
      </c>
      <c r="W172">
        <v>2.3700237745306598</v>
      </c>
      <c r="X172" t="s">
        <v>31</v>
      </c>
      <c r="Y172" t="s">
        <v>32</v>
      </c>
      <c r="Z172">
        <v>736.20966471269401</v>
      </c>
    </row>
    <row r="173" spans="1:26" x14ac:dyDescent="0.3">
      <c r="A173" t="s">
        <v>61</v>
      </c>
      <c r="B173" t="s">
        <v>229</v>
      </c>
      <c r="C173">
        <v>37.5264454231869</v>
      </c>
      <c r="D173">
        <v>16</v>
      </c>
      <c r="E173">
        <v>983</v>
      </c>
      <c r="F173">
        <v>7699.3138387359104</v>
      </c>
      <c r="G173" t="s">
        <v>26</v>
      </c>
      <c r="H173">
        <v>58</v>
      </c>
      <c r="I173">
        <v>18</v>
      </c>
      <c r="J173">
        <v>18</v>
      </c>
      <c r="K173">
        <v>4</v>
      </c>
      <c r="L173" t="s">
        <v>27</v>
      </c>
      <c r="M173">
        <v>4.5628727077528302</v>
      </c>
      <c r="N173" t="s">
        <v>45</v>
      </c>
      <c r="O173" t="s">
        <v>38</v>
      </c>
      <c r="P173">
        <f>VLOOKUP(O173, Coordinates!$A$2:$C$6, 2, FALSE)</f>
        <v>25.761700000000001</v>
      </c>
      <c r="Q173">
        <f>VLOOKUP(O173, Coordinates!$A$2:$C$6, 3, FALSE)</f>
        <v>-80.191800000000001</v>
      </c>
      <c r="R173">
        <v>29</v>
      </c>
      <c r="S173">
        <v>939</v>
      </c>
      <c r="T173">
        <v>8</v>
      </c>
      <c r="U173">
        <v>65.886635316824098</v>
      </c>
      <c r="V173" t="s">
        <v>39</v>
      </c>
      <c r="W173">
        <v>4.5956404287970898</v>
      </c>
      <c r="X173" t="s">
        <v>46</v>
      </c>
      <c r="Y173" t="s">
        <v>60</v>
      </c>
      <c r="Z173">
        <v>993.73369179999997</v>
      </c>
    </row>
    <row r="174" spans="1:26" x14ac:dyDescent="0.3">
      <c r="A174" t="s">
        <v>61</v>
      </c>
      <c r="B174" t="s">
        <v>230</v>
      </c>
      <c r="C174">
        <v>44.274562683049801</v>
      </c>
      <c r="D174">
        <v>61</v>
      </c>
      <c r="E174">
        <v>360</v>
      </c>
      <c r="F174">
        <v>6575.0056640000003</v>
      </c>
      <c r="G174" t="s">
        <v>26</v>
      </c>
      <c r="H174">
        <v>2</v>
      </c>
      <c r="I174">
        <v>10</v>
      </c>
      <c r="J174">
        <v>60</v>
      </c>
      <c r="K174">
        <v>1</v>
      </c>
      <c r="L174" t="s">
        <v>27</v>
      </c>
      <c r="M174">
        <v>2.8890668014443999</v>
      </c>
      <c r="N174" t="s">
        <v>57</v>
      </c>
      <c r="O174" t="s">
        <v>67</v>
      </c>
      <c r="P174">
        <f>VLOOKUP(O174, Coordinates!$A$2:$C$6, 2, FALSE)</f>
        <v>40.712800000000001</v>
      </c>
      <c r="Q174">
        <f>VLOOKUP(O174, Coordinates!$A$2:$C$6, 3, FALSE)</f>
        <v>-74.006</v>
      </c>
      <c r="R174">
        <v>8</v>
      </c>
      <c r="S174">
        <v>707</v>
      </c>
      <c r="T174">
        <v>21</v>
      </c>
      <c r="U174">
        <v>89.161972663089401</v>
      </c>
      <c r="V174" t="s">
        <v>39</v>
      </c>
      <c r="W174">
        <v>3.8489187278520101</v>
      </c>
      <c r="X174" t="s">
        <v>40</v>
      </c>
      <c r="Y174" t="s">
        <v>41</v>
      </c>
      <c r="Z174">
        <v>246.638309863259</v>
      </c>
    </row>
    <row r="175" spans="1:26" x14ac:dyDescent="0.3">
      <c r="A175" t="s">
        <v>33</v>
      </c>
      <c r="B175" t="s">
        <v>231</v>
      </c>
      <c r="C175">
        <v>77.027576052271002</v>
      </c>
      <c r="D175">
        <v>54</v>
      </c>
      <c r="E175">
        <v>896</v>
      </c>
      <c r="F175">
        <v>8227.6807810397004</v>
      </c>
      <c r="G175" t="s">
        <v>54</v>
      </c>
      <c r="H175">
        <v>28</v>
      </c>
      <c r="I175">
        <v>28</v>
      </c>
      <c r="J175">
        <v>29</v>
      </c>
      <c r="K175">
        <v>9</v>
      </c>
      <c r="L175" t="s">
        <v>36</v>
      </c>
      <c r="M175">
        <v>9.3548951865169396</v>
      </c>
      <c r="N175" t="s">
        <v>28</v>
      </c>
      <c r="O175" t="s">
        <v>65</v>
      </c>
      <c r="P175">
        <f>VLOOKUP(O175, Coordinates!$A$2:$C$6, 2, FALSE)</f>
        <v>41.878100000000003</v>
      </c>
      <c r="Q175">
        <f>VLOOKUP(O175, Coordinates!$A$2:$C$6, 3, FALSE)</f>
        <v>-87.629800000000003</v>
      </c>
      <c r="R175">
        <v>6</v>
      </c>
      <c r="S175">
        <v>481</v>
      </c>
      <c r="T175">
        <v>21</v>
      </c>
      <c r="U175">
        <v>79.259641443450704</v>
      </c>
      <c r="V175" t="s">
        <v>39</v>
      </c>
      <c r="W175">
        <v>0.90247466041956304</v>
      </c>
      <c r="X175" t="s">
        <v>46</v>
      </c>
      <c r="Y175" t="s">
        <v>60</v>
      </c>
      <c r="Z175">
        <v>407.92200841880799</v>
      </c>
    </row>
    <row r="176" spans="1:26" x14ac:dyDescent="0.3">
      <c r="A176" t="s">
        <v>42</v>
      </c>
      <c r="B176" t="s">
        <v>232</v>
      </c>
      <c r="C176">
        <v>75.625259677277796</v>
      </c>
      <c r="D176">
        <v>40</v>
      </c>
      <c r="E176">
        <v>172</v>
      </c>
      <c r="F176">
        <v>4886.2459070732002</v>
      </c>
      <c r="G176" t="s">
        <v>48</v>
      </c>
      <c r="H176">
        <v>21</v>
      </c>
      <c r="I176">
        <v>28</v>
      </c>
      <c r="J176">
        <v>48</v>
      </c>
      <c r="K176">
        <v>5</v>
      </c>
      <c r="L176" t="s">
        <v>36</v>
      </c>
      <c r="M176">
        <v>4.9315649610000003</v>
      </c>
      <c r="N176" t="s">
        <v>37</v>
      </c>
      <c r="O176" t="s">
        <v>38</v>
      </c>
      <c r="P176">
        <f>VLOOKUP(O176, Coordinates!$A$2:$C$6, 2, FALSE)</f>
        <v>25.761700000000001</v>
      </c>
      <c r="Q176">
        <f>VLOOKUP(O176, Coordinates!$A$2:$C$6, 3, FALSE)</f>
        <v>-80.191800000000001</v>
      </c>
      <c r="R176">
        <v>24</v>
      </c>
      <c r="S176">
        <v>564</v>
      </c>
      <c r="T176">
        <v>14</v>
      </c>
      <c r="U176">
        <v>98.345406902507307</v>
      </c>
      <c r="V176" t="s">
        <v>30</v>
      </c>
      <c r="W176">
        <v>1.2164603840813999</v>
      </c>
      <c r="X176" t="s">
        <v>31</v>
      </c>
      <c r="Y176" t="s">
        <v>41</v>
      </c>
      <c r="Z176">
        <v>427.09597988584102</v>
      </c>
    </row>
    <row r="177" spans="1:26" x14ac:dyDescent="0.3">
      <c r="A177" t="s">
        <v>49</v>
      </c>
      <c r="B177" t="s">
        <v>233</v>
      </c>
      <c r="C177">
        <v>63.134348007046398</v>
      </c>
      <c r="D177">
        <v>26</v>
      </c>
      <c r="E177">
        <v>561</v>
      </c>
      <c r="F177">
        <v>8072.2763580000001</v>
      </c>
      <c r="G177" t="s">
        <v>26</v>
      </c>
      <c r="H177">
        <v>37</v>
      </c>
      <c r="I177">
        <v>4</v>
      </c>
      <c r="J177">
        <v>32</v>
      </c>
      <c r="K177">
        <v>2</v>
      </c>
      <c r="L177" t="s">
        <v>27</v>
      </c>
      <c r="M177">
        <v>9.6092210632106596</v>
      </c>
      <c r="N177" t="s">
        <v>37</v>
      </c>
      <c r="O177" t="s">
        <v>29</v>
      </c>
      <c r="P177">
        <f>VLOOKUP(O177, Coordinates!$A$2:$C$6, 2, FALSE)</f>
        <v>29.760400000000001</v>
      </c>
      <c r="Q177">
        <f>VLOOKUP(O177, Coordinates!$A$2:$C$6, 3, FALSE)</f>
        <v>-95.369799999999998</v>
      </c>
      <c r="R177">
        <v>8</v>
      </c>
      <c r="S177">
        <v>249</v>
      </c>
      <c r="T177">
        <v>20</v>
      </c>
      <c r="U177">
        <v>22.516780421864201</v>
      </c>
      <c r="V177" t="s">
        <v>30</v>
      </c>
      <c r="W177">
        <v>1.2784131310369</v>
      </c>
      <c r="X177" t="s">
        <v>46</v>
      </c>
      <c r="Y177" t="s">
        <v>41</v>
      </c>
      <c r="Z177">
        <v>753.24157549999995</v>
      </c>
    </row>
    <row r="178" spans="1:26" x14ac:dyDescent="0.3">
      <c r="A178" t="s">
        <v>24</v>
      </c>
      <c r="B178" t="s">
        <v>234</v>
      </c>
      <c r="C178">
        <v>35.136051735668197</v>
      </c>
      <c r="D178">
        <v>80</v>
      </c>
      <c r="E178">
        <v>456</v>
      </c>
      <c r="F178">
        <v>14419.8356323182</v>
      </c>
      <c r="G178" t="s">
        <v>26</v>
      </c>
      <c r="H178">
        <v>53</v>
      </c>
      <c r="I178">
        <v>29</v>
      </c>
      <c r="J178">
        <v>50</v>
      </c>
      <c r="K178">
        <v>2</v>
      </c>
      <c r="L178" t="s">
        <v>36</v>
      </c>
      <c r="M178">
        <v>2.1624528931759501</v>
      </c>
      <c r="N178" t="s">
        <v>45</v>
      </c>
      <c r="O178" t="s">
        <v>38</v>
      </c>
      <c r="P178">
        <f>VLOOKUP(O178, Coordinates!$A$2:$C$6, 2, FALSE)</f>
        <v>25.761700000000001</v>
      </c>
      <c r="Q178">
        <f>VLOOKUP(O178, Coordinates!$A$2:$C$6, 3, FALSE)</f>
        <v>-80.191800000000001</v>
      </c>
      <c r="R178">
        <v>25</v>
      </c>
      <c r="S178">
        <v>451</v>
      </c>
      <c r="T178">
        <v>3</v>
      </c>
      <c r="U178">
        <v>94.810663767339506</v>
      </c>
      <c r="V178" t="s">
        <v>55</v>
      </c>
      <c r="W178">
        <v>4.5469814197925</v>
      </c>
      <c r="X178" t="s">
        <v>40</v>
      </c>
      <c r="Y178" t="s">
        <v>32</v>
      </c>
      <c r="Z178">
        <v>897.93801635416696</v>
      </c>
    </row>
    <row r="179" spans="1:26" x14ac:dyDescent="0.3">
      <c r="A179" t="s">
        <v>24</v>
      </c>
      <c r="B179" t="s">
        <v>235</v>
      </c>
      <c r="C179">
        <v>36.194356607000401</v>
      </c>
      <c r="D179">
        <v>92</v>
      </c>
      <c r="E179">
        <v>909</v>
      </c>
      <c r="F179">
        <v>29610.603139999999</v>
      </c>
      <c r="G179" t="s">
        <v>48</v>
      </c>
      <c r="H179">
        <v>92</v>
      </c>
      <c r="I179">
        <v>1</v>
      </c>
      <c r="J179">
        <v>53</v>
      </c>
      <c r="K179">
        <v>7</v>
      </c>
      <c r="L179" t="s">
        <v>44</v>
      </c>
      <c r="M179">
        <v>2.6163950896502999</v>
      </c>
      <c r="N179" t="s">
        <v>45</v>
      </c>
      <c r="O179" t="s">
        <v>38</v>
      </c>
      <c r="P179">
        <f>VLOOKUP(O179, Coordinates!$A$2:$C$6, 2, FALSE)</f>
        <v>25.761700000000001</v>
      </c>
      <c r="Q179">
        <f>VLOOKUP(O179, Coordinates!$A$2:$C$6, 3, FALSE)</f>
        <v>-80.191800000000001</v>
      </c>
      <c r="R179">
        <v>28</v>
      </c>
      <c r="S179">
        <v>541</v>
      </c>
      <c r="T179">
        <v>28</v>
      </c>
      <c r="U179">
        <v>82.960399379999998</v>
      </c>
      <c r="V179" t="s">
        <v>55</v>
      </c>
      <c r="W179">
        <v>4.7276921976131403</v>
      </c>
      <c r="X179" t="s">
        <v>52</v>
      </c>
      <c r="Y179" t="s">
        <v>32</v>
      </c>
      <c r="Z179">
        <v>265.4156246</v>
      </c>
    </row>
    <row r="180" spans="1:26" x14ac:dyDescent="0.3">
      <c r="A180" t="s">
        <v>82</v>
      </c>
      <c r="B180" t="s">
        <v>236</v>
      </c>
      <c r="C180">
        <v>13.906907461327799</v>
      </c>
      <c r="D180">
        <v>65</v>
      </c>
      <c r="E180">
        <v>109</v>
      </c>
      <c r="F180">
        <v>5377.3489074263198</v>
      </c>
      <c r="G180" t="s">
        <v>54</v>
      </c>
      <c r="H180">
        <v>49</v>
      </c>
      <c r="I180">
        <v>15</v>
      </c>
      <c r="J180">
        <v>44</v>
      </c>
      <c r="K180">
        <v>4</v>
      </c>
      <c r="L180" t="s">
        <v>27</v>
      </c>
      <c r="M180">
        <v>8.5059869891572202</v>
      </c>
      <c r="N180" t="s">
        <v>45</v>
      </c>
      <c r="O180" t="s">
        <v>38</v>
      </c>
      <c r="P180">
        <f>VLOOKUP(O180, Coordinates!$A$2:$C$6, 2, FALSE)</f>
        <v>25.761700000000001</v>
      </c>
      <c r="Q180">
        <f>VLOOKUP(O180, Coordinates!$A$2:$C$6, 3, FALSE)</f>
        <v>-80.191800000000001</v>
      </c>
      <c r="R180">
        <v>28</v>
      </c>
      <c r="S180">
        <v>494</v>
      </c>
      <c r="T180">
        <v>24</v>
      </c>
      <c r="U180">
        <v>31.229353210942499</v>
      </c>
      <c r="V180" t="s">
        <v>55</v>
      </c>
      <c r="W180">
        <v>4.8108195813855996</v>
      </c>
      <c r="X180" t="s">
        <v>52</v>
      </c>
      <c r="Y180" t="s">
        <v>41</v>
      </c>
      <c r="Z180">
        <v>742.28532159018596</v>
      </c>
    </row>
    <row r="181" spans="1:26" x14ac:dyDescent="0.3">
      <c r="A181" t="s">
        <v>33</v>
      </c>
      <c r="B181" t="s">
        <v>237</v>
      </c>
      <c r="C181">
        <v>59.831414412317201</v>
      </c>
      <c r="D181">
        <v>100</v>
      </c>
      <c r="E181">
        <v>154</v>
      </c>
      <c r="F181">
        <v>5163.5734474035598</v>
      </c>
      <c r="G181" t="s">
        <v>54</v>
      </c>
      <c r="H181">
        <v>68</v>
      </c>
      <c r="I181">
        <v>10</v>
      </c>
      <c r="J181">
        <v>32</v>
      </c>
      <c r="K181">
        <v>1</v>
      </c>
      <c r="L181" t="s">
        <v>36</v>
      </c>
      <c r="M181">
        <v>8.1614332226641899</v>
      </c>
      <c r="N181" t="s">
        <v>28</v>
      </c>
      <c r="O181" t="s">
        <v>58</v>
      </c>
      <c r="P181">
        <f>VLOOKUP(O181, Coordinates!$A$2:$C$6, 2, FALSE)</f>
        <v>34.052199999999999</v>
      </c>
      <c r="Q181">
        <f>VLOOKUP(O181, Coordinates!$A$2:$C$6, 3, FALSE)</f>
        <v>-118.2437</v>
      </c>
      <c r="R181">
        <v>17</v>
      </c>
      <c r="S181">
        <v>464</v>
      </c>
      <c r="T181">
        <v>11</v>
      </c>
      <c r="U181">
        <v>13.109480315352</v>
      </c>
      <c r="V181" t="s">
        <v>39</v>
      </c>
      <c r="W181">
        <v>0.464229390619533</v>
      </c>
      <c r="X181" t="s">
        <v>31</v>
      </c>
      <c r="Y181" t="s">
        <v>41</v>
      </c>
      <c r="Z181">
        <v>918.65981418363003</v>
      </c>
    </row>
    <row r="182" spans="1:26" x14ac:dyDescent="0.3">
      <c r="A182" t="s">
        <v>42</v>
      </c>
      <c r="B182" t="s">
        <v>238</v>
      </c>
      <c r="C182">
        <v>88.328151943583293</v>
      </c>
      <c r="D182">
        <v>74</v>
      </c>
      <c r="E182">
        <v>150</v>
      </c>
      <c r="F182">
        <v>8065.6467540716103</v>
      </c>
      <c r="G182" t="s">
        <v>54</v>
      </c>
      <c r="H182">
        <v>29</v>
      </c>
      <c r="I182">
        <v>18</v>
      </c>
      <c r="J182">
        <v>67</v>
      </c>
      <c r="K182">
        <v>5</v>
      </c>
      <c r="L182" t="s">
        <v>27</v>
      </c>
      <c r="M182">
        <v>4.8011389743304402</v>
      </c>
      <c r="N182" t="s">
        <v>37</v>
      </c>
      <c r="O182" t="s">
        <v>29</v>
      </c>
      <c r="P182">
        <f>VLOOKUP(O182, Coordinates!$A$2:$C$6, 2, FALSE)</f>
        <v>29.760400000000001</v>
      </c>
      <c r="Q182">
        <f>VLOOKUP(O182, Coordinates!$A$2:$C$6, 3, FALSE)</f>
        <v>-95.369799999999998</v>
      </c>
      <c r="R182">
        <v>10</v>
      </c>
      <c r="S182">
        <v>105</v>
      </c>
      <c r="T182">
        <v>22</v>
      </c>
      <c r="U182">
        <v>46.205944854755103</v>
      </c>
      <c r="V182" t="s">
        <v>30</v>
      </c>
      <c r="W182">
        <v>4.21407426792255</v>
      </c>
      <c r="X182" t="s">
        <v>31</v>
      </c>
      <c r="Y182" t="s">
        <v>32</v>
      </c>
      <c r="Z182">
        <v>209.16610210061401</v>
      </c>
    </row>
    <row r="183" spans="1:26" x14ac:dyDescent="0.3">
      <c r="A183" t="s">
        <v>33</v>
      </c>
      <c r="B183" t="s">
        <v>239</v>
      </c>
      <c r="C183">
        <v>46.211048664203297</v>
      </c>
      <c r="D183">
        <v>64</v>
      </c>
      <c r="E183">
        <v>720</v>
      </c>
      <c r="F183">
        <v>8394.1992260000006</v>
      </c>
      <c r="H183">
        <v>22</v>
      </c>
      <c r="I183">
        <v>16</v>
      </c>
      <c r="J183">
        <v>57</v>
      </c>
      <c r="K183">
        <v>2</v>
      </c>
      <c r="L183" t="s">
        <v>36</v>
      </c>
      <c r="M183">
        <v>12.5798319226875</v>
      </c>
      <c r="N183" t="s">
        <v>51</v>
      </c>
      <c r="O183" t="s">
        <v>29</v>
      </c>
      <c r="P183">
        <f>VLOOKUP(O183, Coordinates!$A$2:$C$6, 2, FALSE)</f>
        <v>29.760400000000001</v>
      </c>
      <c r="Q183">
        <f>VLOOKUP(O183, Coordinates!$A$2:$C$6, 3, FALSE)</f>
        <v>-95.369799999999998</v>
      </c>
      <c r="R183">
        <v>2</v>
      </c>
      <c r="S183">
        <v>633</v>
      </c>
      <c r="T183">
        <v>14</v>
      </c>
      <c r="U183">
        <v>35.888026073858398</v>
      </c>
      <c r="V183" t="s">
        <v>39</v>
      </c>
      <c r="W183">
        <v>4.0113716152238004</v>
      </c>
      <c r="X183" t="s">
        <v>40</v>
      </c>
      <c r="Y183" t="s">
        <v>41</v>
      </c>
      <c r="Z183">
        <v>671.55398205697895</v>
      </c>
    </row>
    <row r="184" spans="1:26" x14ac:dyDescent="0.3">
      <c r="A184" t="s">
        <v>72</v>
      </c>
      <c r="B184" t="s">
        <v>240</v>
      </c>
      <c r="C184">
        <v>30.277600677382299</v>
      </c>
      <c r="D184">
        <v>43</v>
      </c>
      <c r="E184">
        <v>878</v>
      </c>
      <c r="F184">
        <v>23925.360055267502</v>
      </c>
      <c r="G184" t="s">
        <v>26</v>
      </c>
      <c r="H184">
        <v>84</v>
      </c>
      <c r="I184">
        <v>13</v>
      </c>
      <c r="J184">
        <v>96</v>
      </c>
      <c r="K184">
        <v>7</v>
      </c>
      <c r="L184" t="s">
        <v>27</v>
      </c>
      <c r="M184">
        <v>3.6186603081456901</v>
      </c>
      <c r="N184" t="s">
        <v>45</v>
      </c>
      <c r="O184" t="s">
        <v>38</v>
      </c>
      <c r="P184">
        <f>VLOOKUP(O184, Coordinates!$A$2:$C$6, 2, FALSE)</f>
        <v>25.761700000000001</v>
      </c>
      <c r="Q184">
        <f>VLOOKUP(O184, Coordinates!$A$2:$C$6, 3, FALSE)</f>
        <v>-80.191800000000001</v>
      </c>
      <c r="R184">
        <v>26</v>
      </c>
      <c r="S184">
        <v>319</v>
      </c>
      <c r="T184">
        <v>22</v>
      </c>
      <c r="U184">
        <v>91.857138930000005</v>
      </c>
      <c r="V184" t="s">
        <v>55</v>
      </c>
      <c r="W184">
        <v>3.6066623473695101</v>
      </c>
      <c r="X184" t="s">
        <v>46</v>
      </c>
      <c r="Y184" t="s">
        <v>60</v>
      </c>
      <c r="Z184">
        <v>282.145657780715</v>
      </c>
    </row>
    <row r="185" spans="1:26" x14ac:dyDescent="0.3">
      <c r="A185" t="s">
        <v>42</v>
      </c>
      <c r="B185" t="s">
        <v>241</v>
      </c>
      <c r="C185">
        <v>58.014020889151801</v>
      </c>
      <c r="D185">
        <v>17</v>
      </c>
      <c r="E185">
        <v>876</v>
      </c>
      <c r="F185">
        <v>2618.1803214556699</v>
      </c>
      <c r="G185" t="s">
        <v>48</v>
      </c>
      <c r="H185">
        <v>7</v>
      </c>
      <c r="I185">
        <v>25</v>
      </c>
      <c r="J185">
        <v>67</v>
      </c>
      <c r="K185">
        <v>9</v>
      </c>
      <c r="L185" t="s">
        <v>44</v>
      </c>
      <c r="M185">
        <v>6.0492557385646002</v>
      </c>
      <c r="N185" t="s">
        <v>57</v>
      </c>
      <c r="O185" t="s">
        <v>67</v>
      </c>
      <c r="P185">
        <f>VLOOKUP(O185, Coordinates!$A$2:$C$6, 2, FALSE)</f>
        <v>40.712800000000001</v>
      </c>
      <c r="Q185">
        <f>VLOOKUP(O185, Coordinates!$A$2:$C$6, 3, FALSE)</f>
        <v>-74.006</v>
      </c>
      <c r="R185">
        <v>27</v>
      </c>
      <c r="S185">
        <v>970</v>
      </c>
      <c r="T185">
        <v>2</v>
      </c>
      <c r="U185">
        <v>95.785553532182306</v>
      </c>
      <c r="V185" t="s">
        <v>55</v>
      </c>
      <c r="W185">
        <v>0.98050326198308002</v>
      </c>
      <c r="X185" t="s">
        <v>40</v>
      </c>
      <c r="Y185" t="s">
        <v>41</v>
      </c>
      <c r="Z185">
        <v>497.02682688508997</v>
      </c>
    </row>
    <row r="186" spans="1:26" x14ac:dyDescent="0.3">
      <c r="A186" t="s">
        <v>24</v>
      </c>
      <c r="B186" t="s">
        <v>242</v>
      </c>
      <c r="C186">
        <v>23.155448408911901</v>
      </c>
      <c r="D186">
        <v>59</v>
      </c>
      <c r="E186">
        <v>171</v>
      </c>
      <c r="F186">
        <v>3563.6235101315401</v>
      </c>
      <c r="G186" t="s">
        <v>48</v>
      </c>
      <c r="H186">
        <v>46</v>
      </c>
      <c r="I186">
        <v>15</v>
      </c>
      <c r="J186">
        <v>66</v>
      </c>
      <c r="K186">
        <v>1</v>
      </c>
      <c r="L186" t="s">
        <v>36</v>
      </c>
      <c r="M186">
        <v>8.7771638850000002</v>
      </c>
      <c r="N186" t="s">
        <v>51</v>
      </c>
      <c r="O186" t="s">
        <v>29</v>
      </c>
      <c r="P186">
        <f>VLOOKUP(O186, Coordinates!$A$2:$C$6, 2, FALSE)</f>
        <v>29.760400000000001</v>
      </c>
      <c r="Q186">
        <f>VLOOKUP(O186, Coordinates!$A$2:$C$6, 3, FALSE)</f>
        <v>-95.369799999999998</v>
      </c>
      <c r="R186">
        <v>19</v>
      </c>
      <c r="S186">
        <v>111</v>
      </c>
      <c r="T186">
        <v>4</v>
      </c>
      <c r="U186">
        <v>92.196124690000005</v>
      </c>
      <c r="V186" t="s">
        <v>30</v>
      </c>
      <c r="W186">
        <v>2.4014176944463501</v>
      </c>
      <c r="X186" t="s">
        <v>40</v>
      </c>
      <c r="Y186" t="s">
        <v>41</v>
      </c>
      <c r="Z186">
        <v>214.127863530881</v>
      </c>
    </row>
    <row r="187" spans="1:26" x14ac:dyDescent="0.3">
      <c r="A187" t="s">
        <v>24</v>
      </c>
      <c r="B187" t="s">
        <v>243</v>
      </c>
      <c r="C187">
        <v>29.4701646267713</v>
      </c>
      <c r="D187">
        <v>23</v>
      </c>
      <c r="E187">
        <v>717</v>
      </c>
      <c r="F187">
        <v>19017.097233655499</v>
      </c>
      <c r="G187" t="s">
        <v>26</v>
      </c>
      <c r="H187">
        <v>20</v>
      </c>
      <c r="I187">
        <v>2</v>
      </c>
      <c r="J187">
        <v>96</v>
      </c>
      <c r="K187">
        <v>2</v>
      </c>
      <c r="L187" t="s">
        <v>27</v>
      </c>
      <c r="M187">
        <v>13.140955435215099</v>
      </c>
      <c r="N187" t="s">
        <v>51</v>
      </c>
      <c r="O187" t="s">
        <v>29</v>
      </c>
      <c r="P187">
        <f>VLOOKUP(O187, Coordinates!$A$2:$C$6, 2, FALSE)</f>
        <v>29.760400000000001</v>
      </c>
      <c r="Q187">
        <f>VLOOKUP(O187, Coordinates!$A$2:$C$6, 3, FALSE)</f>
        <v>-95.369799999999998</v>
      </c>
      <c r="R187">
        <v>20</v>
      </c>
      <c r="S187">
        <v>894</v>
      </c>
      <c r="T187">
        <v>21</v>
      </c>
      <c r="U187">
        <v>80.256623389802201</v>
      </c>
      <c r="V187" t="s">
        <v>30</v>
      </c>
      <c r="W187">
        <v>3.0136297272863599</v>
      </c>
      <c r="X187" t="s">
        <v>52</v>
      </c>
      <c r="Y187" t="s">
        <v>32</v>
      </c>
      <c r="Z187">
        <v>-50</v>
      </c>
    </row>
    <row r="188" spans="1:26" x14ac:dyDescent="0.3">
      <c r="A188" t="s">
        <v>42</v>
      </c>
      <c r="B188" t="s">
        <v>244</v>
      </c>
      <c r="C188">
        <v>88.737824069127001</v>
      </c>
      <c r="D188">
        <v>7</v>
      </c>
      <c r="E188">
        <v>650</v>
      </c>
      <c r="F188">
        <v>7776.8757373526596</v>
      </c>
      <c r="G188" t="s">
        <v>26</v>
      </c>
      <c r="H188">
        <v>19</v>
      </c>
      <c r="I188">
        <v>20</v>
      </c>
      <c r="J188">
        <v>48</v>
      </c>
      <c r="K188">
        <v>6</v>
      </c>
      <c r="L188" t="s">
        <v>44</v>
      </c>
      <c r="M188">
        <v>6.8597136523348698</v>
      </c>
      <c r="N188" t="s">
        <v>45</v>
      </c>
      <c r="O188" t="s">
        <v>38</v>
      </c>
      <c r="P188">
        <f>VLOOKUP(O188, Coordinates!$A$2:$C$6, 2, FALSE)</f>
        <v>25.761700000000001</v>
      </c>
      <c r="Q188">
        <f>VLOOKUP(O188, Coordinates!$A$2:$C$6, 3, FALSE)</f>
        <v>-80.191800000000001</v>
      </c>
      <c r="R188">
        <v>29</v>
      </c>
      <c r="S188">
        <v>484</v>
      </c>
      <c r="T188">
        <v>27</v>
      </c>
      <c r="U188">
        <v>21.278733209999999</v>
      </c>
      <c r="V188" t="s">
        <v>55</v>
      </c>
      <c r="W188">
        <v>4.2395859549999999</v>
      </c>
      <c r="X188" t="s">
        <v>46</v>
      </c>
      <c r="Y188" t="s">
        <v>32</v>
      </c>
      <c r="Z188">
        <v>461.23784191897198</v>
      </c>
    </row>
    <row r="189" spans="1:26" x14ac:dyDescent="0.3">
      <c r="A189" t="s">
        <v>24</v>
      </c>
      <c r="B189" t="s">
        <v>245</v>
      </c>
      <c r="C189">
        <v>39.265769788102197</v>
      </c>
      <c r="D189">
        <v>44</v>
      </c>
      <c r="E189">
        <v>727</v>
      </c>
      <c r="F189">
        <v>25691.593172355198</v>
      </c>
      <c r="G189" t="s">
        <v>26</v>
      </c>
      <c r="H189">
        <v>22</v>
      </c>
      <c r="I189">
        <v>4</v>
      </c>
      <c r="J189">
        <v>37</v>
      </c>
      <c r="K189">
        <v>8</v>
      </c>
      <c r="L189" t="s">
        <v>36</v>
      </c>
      <c r="M189">
        <v>6.5804133761726602</v>
      </c>
      <c r="N189" t="s">
        <v>57</v>
      </c>
      <c r="O189" t="s">
        <v>38</v>
      </c>
      <c r="P189">
        <f>VLOOKUP(O189, Coordinates!$A$2:$C$6, 2, FALSE)</f>
        <v>25.761700000000001</v>
      </c>
      <c r="Q189">
        <f>VLOOKUP(O189, Coordinates!$A$2:$C$6, 3, FALSE)</f>
        <v>-80.191800000000001</v>
      </c>
      <c r="R189">
        <v>20</v>
      </c>
      <c r="S189">
        <v>803</v>
      </c>
      <c r="T189">
        <v>26</v>
      </c>
      <c r="U189">
        <v>86.910099597211399</v>
      </c>
      <c r="V189" t="s">
        <v>55</v>
      </c>
      <c r="W189">
        <v>0.847118700987052</v>
      </c>
      <c r="X189" t="s">
        <v>52</v>
      </c>
      <c r="Y189" t="s">
        <v>32</v>
      </c>
      <c r="Z189">
        <v>610.52742450000005</v>
      </c>
    </row>
    <row r="190" spans="1:26" x14ac:dyDescent="0.3">
      <c r="A190" t="s">
        <v>49</v>
      </c>
      <c r="B190" t="s">
        <v>246</v>
      </c>
      <c r="C190">
        <v>23.4256173904386</v>
      </c>
      <c r="D190">
        <v>53</v>
      </c>
      <c r="E190">
        <v>52</v>
      </c>
      <c r="F190">
        <v>1295.4294893731601</v>
      </c>
      <c r="G190" t="s">
        <v>35</v>
      </c>
      <c r="H190">
        <v>67</v>
      </c>
      <c r="I190">
        <v>1</v>
      </c>
      <c r="J190">
        <v>73</v>
      </c>
      <c r="K190">
        <v>7</v>
      </c>
      <c r="L190" t="s">
        <v>36</v>
      </c>
      <c r="M190">
        <v>9.1135239924451206</v>
      </c>
      <c r="N190" t="s">
        <v>45</v>
      </c>
      <c r="O190" t="s">
        <v>38</v>
      </c>
      <c r="P190">
        <f>VLOOKUP(O190, Coordinates!$A$2:$C$6, 2, FALSE)</f>
        <v>25.761700000000001</v>
      </c>
      <c r="Q190">
        <f>VLOOKUP(O190, Coordinates!$A$2:$C$6, 3, FALSE)</f>
        <v>-80.191800000000001</v>
      </c>
      <c r="R190">
        <v>26</v>
      </c>
      <c r="S190">
        <v>557</v>
      </c>
      <c r="T190">
        <v>5</v>
      </c>
      <c r="U190">
        <v>74.336326707406599</v>
      </c>
      <c r="V190" t="s">
        <v>39</v>
      </c>
      <c r="W190">
        <v>3.7234389267583001</v>
      </c>
      <c r="X190" t="s">
        <v>52</v>
      </c>
      <c r="Y190" t="s">
        <v>60</v>
      </c>
      <c r="Z190">
        <v>571.188091970046</v>
      </c>
    </row>
    <row r="191" spans="1:26" x14ac:dyDescent="0.3">
      <c r="A191" t="s">
        <v>42</v>
      </c>
      <c r="B191" t="s">
        <v>247</v>
      </c>
      <c r="C191">
        <v>88.582566164484106</v>
      </c>
      <c r="D191">
        <v>71</v>
      </c>
      <c r="E191">
        <v>642</v>
      </c>
      <c r="F191">
        <v>5210.7351637074298</v>
      </c>
      <c r="G191" t="s">
        <v>48</v>
      </c>
      <c r="H191">
        <v>20</v>
      </c>
      <c r="I191">
        <v>7</v>
      </c>
      <c r="J191">
        <v>71</v>
      </c>
      <c r="K191">
        <v>9</v>
      </c>
      <c r="L191" t="s">
        <v>27</v>
      </c>
      <c r="M191">
        <v>5.4337358164805396</v>
      </c>
      <c r="N191" t="s">
        <v>45</v>
      </c>
      <c r="O191" t="s">
        <v>38</v>
      </c>
      <c r="P191">
        <f>VLOOKUP(O191, Coordinates!$A$2:$C$6, 2, FALSE)</f>
        <v>25.761700000000001</v>
      </c>
      <c r="Q191">
        <f>VLOOKUP(O191, Coordinates!$A$2:$C$6, 3, FALSE)</f>
        <v>-80.191800000000001</v>
      </c>
      <c r="R191">
        <v>25</v>
      </c>
      <c r="S191">
        <v>324</v>
      </c>
      <c r="T191">
        <v>19</v>
      </c>
      <c r="U191">
        <v>21.653757599999999</v>
      </c>
      <c r="V191" t="s">
        <v>55</v>
      </c>
      <c r="W191">
        <v>4.0310901959713803</v>
      </c>
      <c r="X191" t="s">
        <v>40</v>
      </c>
      <c r="Y191" t="s">
        <v>41</v>
      </c>
      <c r="Z191">
        <v>724.58632255161399</v>
      </c>
    </row>
    <row r="192" spans="1:26" x14ac:dyDescent="0.3">
      <c r="A192" t="s">
        <v>33</v>
      </c>
      <c r="B192" t="s">
        <v>248</v>
      </c>
      <c r="C192">
        <v>67.468229710000003</v>
      </c>
      <c r="D192">
        <v>79</v>
      </c>
      <c r="E192">
        <v>927</v>
      </c>
      <c r="F192">
        <v>6819.5902029179897</v>
      </c>
      <c r="G192" t="s">
        <v>48</v>
      </c>
      <c r="H192">
        <v>7</v>
      </c>
      <c r="I192">
        <v>22</v>
      </c>
      <c r="J192">
        <v>92</v>
      </c>
      <c r="K192">
        <v>2</v>
      </c>
      <c r="L192" t="s">
        <v>44</v>
      </c>
      <c r="M192">
        <v>10.9284255442342</v>
      </c>
      <c r="N192" t="s">
        <v>57</v>
      </c>
      <c r="O192" t="s">
        <v>67</v>
      </c>
      <c r="P192">
        <f>VLOOKUP(O192, Coordinates!$A$2:$C$6, 2, FALSE)</f>
        <v>40.712800000000001</v>
      </c>
      <c r="Q192">
        <f>VLOOKUP(O192, Coordinates!$A$2:$C$6, 3, FALSE)</f>
        <v>-74.006</v>
      </c>
      <c r="R192">
        <v>6</v>
      </c>
      <c r="S192">
        <v>435</v>
      </c>
      <c r="T192">
        <v>10</v>
      </c>
      <c r="U192">
        <v>29.7777806974707</v>
      </c>
      <c r="V192" t="s">
        <v>55</v>
      </c>
      <c r="W192">
        <v>2.2192467028707599</v>
      </c>
      <c r="X192" t="s">
        <v>52</v>
      </c>
      <c r="Y192" t="s">
        <v>41</v>
      </c>
      <c r="Z192">
        <v>906.02050585646703</v>
      </c>
    </row>
    <row r="193" spans="1:26" x14ac:dyDescent="0.3">
      <c r="A193" t="s">
        <v>42</v>
      </c>
      <c r="B193" t="s">
        <v>249</v>
      </c>
      <c r="C193">
        <v>34.538248350717602</v>
      </c>
      <c r="D193">
        <v>34</v>
      </c>
      <c r="E193">
        <v>11</v>
      </c>
      <c r="F193">
        <v>8470.2941526526702</v>
      </c>
      <c r="G193" t="s">
        <v>48</v>
      </c>
      <c r="H193">
        <v>0</v>
      </c>
      <c r="I193">
        <v>26</v>
      </c>
      <c r="J193">
        <v>71</v>
      </c>
      <c r="K193">
        <v>9</v>
      </c>
      <c r="L193" t="s">
        <v>27</v>
      </c>
      <c r="M193">
        <v>4.4817431693380598</v>
      </c>
      <c r="N193" t="s">
        <v>51</v>
      </c>
      <c r="O193" t="s">
        <v>58</v>
      </c>
      <c r="P193">
        <f>VLOOKUP(O193, Coordinates!$A$2:$C$6, 2, FALSE)</f>
        <v>34.052199999999999</v>
      </c>
      <c r="Q193">
        <f>VLOOKUP(O193, Coordinates!$A$2:$C$6, 3, FALSE)</f>
        <v>-118.2437</v>
      </c>
      <c r="R193">
        <v>17</v>
      </c>
      <c r="S193">
        <v>266</v>
      </c>
      <c r="T193">
        <v>21</v>
      </c>
      <c r="U193">
        <v>77.260870759917694</v>
      </c>
      <c r="V193" t="s">
        <v>39</v>
      </c>
      <c r="W193">
        <v>1.00067487315461</v>
      </c>
      <c r="X193" t="s">
        <v>31</v>
      </c>
      <c r="Y193" t="s">
        <v>32</v>
      </c>
      <c r="Z193">
        <v>351.77440454846999</v>
      </c>
    </row>
    <row r="194" spans="1:26" x14ac:dyDescent="0.3">
      <c r="A194" t="s">
        <v>24</v>
      </c>
      <c r="B194" t="s">
        <v>250</v>
      </c>
      <c r="C194">
        <v>26.109070768420999</v>
      </c>
      <c r="D194">
        <v>46</v>
      </c>
      <c r="E194">
        <v>468</v>
      </c>
      <c r="F194">
        <v>10997.140607658899</v>
      </c>
      <c r="H194">
        <v>14</v>
      </c>
      <c r="I194">
        <v>11</v>
      </c>
      <c r="J194">
        <v>94</v>
      </c>
      <c r="K194">
        <v>4</v>
      </c>
      <c r="L194" t="s">
        <v>36</v>
      </c>
      <c r="M194">
        <v>12.524743957162899</v>
      </c>
      <c r="N194" t="s">
        <v>51</v>
      </c>
      <c r="O194" t="s">
        <v>58</v>
      </c>
      <c r="P194">
        <f>VLOOKUP(O194, Coordinates!$A$2:$C$6, 2, FALSE)</f>
        <v>34.052199999999999</v>
      </c>
      <c r="Q194">
        <f>VLOOKUP(O194, Coordinates!$A$2:$C$6, 3, FALSE)</f>
        <v>-118.2437</v>
      </c>
      <c r="R194">
        <v>12</v>
      </c>
      <c r="S194">
        <v>415</v>
      </c>
      <c r="T194">
        <v>21</v>
      </c>
      <c r="U194">
        <v>93.949173277391907</v>
      </c>
      <c r="V194" t="s">
        <v>30</v>
      </c>
      <c r="W194">
        <v>4.1809310415760503</v>
      </c>
      <c r="X194" t="s">
        <v>31</v>
      </c>
      <c r="Y194" t="s">
        <v>41</v>
      </c>
      <c r="Z194">
        <v>635.65013245020305</v>
      </c>
    </row>
    <row r="195" spans="1:26" x14ac:dyDescent="0.3">
      <c r="A195" t="s">
        <v>49</v>
      </c>
      <c r="B195" t="s">
        <v>251</v>
      </c>
      <c r="C195">
        <v>82.4362465256349</v>
      </c>
      <c r="D195">
        <v>68</v>
      </c>
      <c r="E195">
        <v>457</v>
      </c>
      <c r="F195">
        <v>8671.949971</v>
      </c>
      <c r="G195" t="s">
        <v>26</v>
      </c>
      <c r="H195">
        <v>16</v>
      </c>
      <c r="I195">
        <v>26</v>
      </c>
      <c r="J195">
        <v>97</v>
      </c>
      <c r="K195">
        <v>3</v>
      </c>
      <c r="L195" t="s">
        <v>27</v>
      </c>
      <c r="M195">
        <v>4.8129477838684496</v>
      </c>
      <c r="N195" t="s">
        <v>57</v>
      </c>
      <c r="O195" t="s">
        <v>58</v>
      </c>
      <c r="P195">
        <f>VLOOKUP(O195, Coordinates!$A$2:$C$6, 2, FALSE)</f>
        <v>34.052199999999999</v>
      </c>
      <c r="Q195">
        <f>VLOOKUP(O195, Coordinates!$A$2:$C$6, 3, FALSE)</f>
        <v>-118.2437</v>
      </c>
      <c r="R195">
        <v>30</v>
      </c>
      <c r="S195">
        <v>215</v>
      </c>
      <c r="T195">
        <v>2</v>
      </c>
      <c r="U195">
        <v>98.338786760000005</v>
      </c>
      <c r="V195" t="s">
        <v>30</v>
      </c>
      <c r="W195">
        <v>1.2736813881875599</v>
      </c>
      <c r="X195" t="s">
        <v>52</v>
      </c>
      <c r="Y195" t="s">
        <v>41</v>
      </c>
      <c r="Z195">
        <v>616.38974085266898</v>
      </c>
    </row>
    <row r="196" spans="1:26" x14ac:dyDescent="0.3">
      <c r="A196" t="s">
        <v>49</v>
      </c>
      <c r="B196" t="s">
        <v>252</v>
      </c>
      <c r="C196">
        <v>63.422932832407497</v>
      </c>
      <c r="D196">
        <v>78</v>
      </c>
      <c r="E196">
        <v>788</v>
      </c>
      <c r="F196">
        <v>5935.6084306772</v>
      </c>
      <c r="G196" t="s">
        <v>26</v>
      </c>
      <c r="H196">
        <v>50</v>
      </c>
      <c r="I196">
        <v>10</v>
      </c>
      <c r="J196">
        <v>94</v>
      </c>
      <c r="K196">
        <v>7</v>
      </c>
      <c r="L196" t="s">
        <v>27</v>
      </c>
      <c r="M196">
        <v>14.8978162720671</v>
      </c>
      <c r="N196" t="s">
        <v>51</v>
      </c>
      <c r="O196" t="s">
        <v>38</v>
      </c>
      <c r="P196">
        <f>VLOOKUP(O196, Coordinates!$A$2:$C$6, 2, FALSE)</f>
        <v>25.761700000000001</v>
      </c>
      <c r="Q196">
        <f>VLOOKUP(O196, Coordinates!$A$2:$C$6, 3, FALSE)</f>
        <v>-80.191800000000001</v>
      </c>
      <c r="R196">
        <v>5</v>
      </c>
      <c r="S196">
        <v>937</v>
      </c>
      <c r="T196">
        <v>21</v>
      </c>
      <c r="U196">
        <v>58.6513059958817</v>
      </c>
      <c r="V196" t="s">
        <v>39</v>
      </c>
      <c r="W196">
        <v>2.0855235812201198</v>
      </c>
      <c r="X196" t="s">
        <v>52</v>
      </c>
      <c r="Y196" t="s">
        <v>60</v>
      </c>
      <c r="Z196">
        <v>383.630787253829</v>
      </c>
    </row>
    <row r="197" spans="1:26" x14ac:dyDescent="0.3">
      <c r="A197" t="s">
        <v>72</v>
      </c>
      <c r="B197" t="s">
        <v>253</v>
      </c>
      <c r="C197">
        <v>28.385418428535701</v>
      </c>
      <c r="D197">
        <v>78</v>
      </c>
      <c r="E197">
        <v>901</v>
      </c>
      <c r="F197">
        <v>23017.735803699601</v>
      </c>
      <c r="G197" t="s">
        <v>26</v>
      </c>
      <c r="H197">
        <v>62</v>
      </c>
      <c r="I197">
        <v>1</v>
      </c>
      <c r="J197">
        <v>35</v>
      </c>
      <c r="K197">
        <v>8</v>
      </c>
      <c r="L197" t="s">
        <v>44</v>
      </c>
      <c r="M197">
        <v>5.4304746405869899</v>
      </c>
      <c r="N197" t="s">
        <v>28</v>
      </c>
      <c r="O197" t="s">
        <v>67</v>
      </c>
      <c r="P197">
        <f>VLOOKUP(O197, Coordinates!$A$2:$C$6, 2, FALSE)</f>
        <v>40.712800000000001</v>
      </c>
      <c r="Q197">
        <f>VLOOKUP(O197, Coordinates!$A$2:$C$6, 3, FALSE)</f>
        <v>-74.006</v>
      </c>
      <c r="R197">
        <v>2</v>
      </c>
      <c r="S197">
        <v>597</v>
      </c>
      <c r="T197">
        <v>3</v>
      </c>
      <c r="U197">
        <v>87.126652612064404</v>
      </c>
      <c r="V197" t="s">
        <v>55</v>
      </c>
      <c r="W197">
        <v>2.03893826246067</v>
      </c>
      <c r="X197" t="s">
        <v>46</v>
      </c>
      <c r="Y197" t="s">
        <v>41</v>
      </c>
      <c r="Z197">
        <v>896.83071148886904</v>
      </c>
    </row>
    <row r="198" spans="1:26" x14ac:dyDescent="0.3">
      <c r="A198" t="s">
        <v>33</v>
      </c>
      <c r="B198" t="s">
        <v>254</v>
      </c>
      <c r="C198">
        <v>40.649690919999998</v>
      </c>
      <c r="D198">
        <v>16</v>
      </c>
      <c r="E198">
        <v>375</v>
      </c>
      <c r="F198">
        <v>3855.2969480472998</v>
      </c>
      <c r="G198" t="s">
        <v>35</v>
      </c>
      <c r="H198">
        <v>13</v>
      </c>
      <c r="I198">
        <v>11</v>
      </c>
      <c r="J198">
        <v>60</v>
      </c>
      <c r="K198">
        <v>5</v>
      </c>
      <c r="L198" t="s">
        <v>44</v>
      </c>
      <c r="M198">
        <v>13.3035659411727</v>
      </c>
      <c r="N198" t="s">
        <v>45</v>
      </c>
      <c r="O198" t="s">
        <v>38</v>
      </c>
      <c r="P198">
        <f>VLOOKUP(O198, Coordinates!$A$2:$C$6, 2, FALSE)</f>
        <v>25.761700000000001</v>
      </c>
      <c r="Q198">
        <f>VLOOKUP(O198, Coordinates!$A$2:$C$6, 3, FALSE)</f>
        <v>-80.191800000000001</v>
      </c>
      <c r="R198">
        <v>26</v>
      </c>
      <c r="S198">
        <v>247</v>
      </c>
      <c r="T198">
        <v>15</v>
      </c>
      <c r="U198">
        <v>87.292760906145901</v>
      </c>
      <c r="V198" t="s">
        <v>55</v>
      </c>
      <c r="W198">
        <v>4.4947955779999997</v>
      </c>
      <c r="X198" t="s">
        <v>31</v>
      </c>
      <c r="Y198" t="s">
        <v>60</v>
      </c>
      <c r="Z198">
        <v>136.40785627824701</v>
      </c>
    </row>
    <row r="199" spans="1:26" x14ac:dyDescent="0.3">
      <c r="A199" t="s">
        <v>61</v>
      </c>
      <c r="B199" t="s">
        <v>255</v>
      </c>
      <c r="C199">
        <v>56.1760883975887</v>
      </c>
      <c r="D199">
        <v>71</v>
      </c>
      <c r="E199">
        <v>553</v>
      </c>
      <c r="F199">
        <v>3537.3659657640401</v>
      </c>
      <c r="G199" t="s">
        <v>48</v>
      </c>
      <c r="H199">
        <v>58</v>
      </c>
      <c r="I199">
        <v>24</v>
      </c>
      <c r="J199">
        <v>59</v>
      </c>
      <c r="K199">
        <v>2</v>
      </c>
      <c r="L199" t="s">
        <v>36</v>
      </c>
      <c r="M199">
        <v>6.5629833574848</v>
      </c>
      <c r="N199" t="s">
        <v>28</v>
      </c>
      <c r="O199" t="s">
        <v>38</v>
      </c>
      <c r="P199">
        <f>VLOOKUP(O199, Coordinates!$A$2:$C$6, 2, FALSE)</f>
        <v>25.761700000000001</v>
      </c>
      <c r="Q199">
        <f>VLOOKUP(O199, Coordinates!$A$2:$C$6, 3, FALSE)</f>
        <v>-80.191800000000001</v>
      </c>
      <c r="R199">
        <v>2</v>
      </c>
      <c r="S199">
        <v>135</v>
      </c>
      <c r="T199">
        <v>19</v>
      </c>
      <c r="U199">
        <v>38.7527991307511</v>
      </c>
      <c r="V199" t="s">
        <v>30</v>
      </c>
      <c r="W199">
        <v>3.7889873236613001</v>
      </c>
      <c r="X199" t="s">
        <v>46</v>
      </c>
      <c r="Y199" t="s">
        <v>41</v>
      </c>
      <c r="Z199">
        <v>484.23976460627199</v>
      </c>
    </row>
    <row r="200" spans="1:26" x14ac:dyDescent="0.3">
      <c r="A200" t="s">
        <v>61</v>
      </c>
      <c r="B200" t="s">
        <v>256</v>
      </c>
      <c r="C200">
        <v>54.7951212189854</v>
      </c>
      <c r="D200">
        <v>96</v>
      </c>
      <c r="E200">
        <v>491</v>
      </c>
      <c r="F200">
        <v>5777.7313085962796</v>
      </c>
      <c r="G200" t="s">
        <v>26</v>
      </c>
      <c r="H200">
        <v>82</v>
      </c>
      <c r="I200">
        <v>10</v>
      </c>
      <c r="J200">
        <v>45</v>
      </c>
      <c r="K200">
        <v>6</v>
      </c>
      <c r="L200" t="s">
        <v>44</v>
      </c>
      <c r="M200">
        <v>4.4447677884330199</v>
      </c>
      <c r="N200" t="s">
        <v>28</v>
      </c>
      <c r="O200" t="s">
        <v>65</v>
      </c>
      <c r="P200">
        <f>VLOOKUP(O200, Coordinates!$A$2:$C$6, 2, FALSE)</f>
        <v>41.878100000000003</v>
      </c>
      <c r="Q200">
        <f>VLOOKUP(O200, Coordinates!$A$2:$C$6, 3, FALSE)</f>
        <v>-87.629800000000003</v>
      </c>
      <c r="R200">
        <v>22</v>
      </c>
      <c r="S200">
        <v>506</v>
      </c>
      <c r="T200">
        <v>21</v>
      </c>
      <c r="U200">
        <v>35.992661955793999</v>
      </c>
      <c r="V200" t="s">
        <v>30</v>
      </c>
      <c r="W200">
        <v>0.28787744507542001</v>
      </c>
      <c r="X200" t="s">
        <v>52</v>
      </c>
      <c r="Y200" t="s">
        <v>32</v>
      </c>
      <c r="Z200">
        <v>343.47419750852299</v>
      </c>
    </row>
    <row r="201" spans="1:26" x14ac:dyDescent="0.3">
      <c r="A201" t="s">
        <v>42</v>
      </c>
      <c r="B201" t="s">
        <v>257</v>
      </c>
      <c r="C201">
        <v>85.564540157423295</v>
      </c>
      <c r="D201">
        <v>19</v>
      </c>
      <c r="E201">
        <v>215</v>
      </c>
      <c r="F201">
        <v>1465.1711192001801</v>
      </c>
      <c r="G201" t="s">
        <v>35</v>
      </c>
      <c r="H201">
        <v>49</v>
      </c>
      <c r="I201">
        <v>14</v>
      </c>
      <c r="J201">
        <v>35</v>
      </c>
      <c r="K201">
        <v>6</v>
      </c>
      <c r="L201" t="s">
        <v>27</v>
      </c>
      <c r="M201">
        <v>4.1662855064449698</v>
      </c>
      <c r="N201" t="s">
        <v>28</v>
      </c>
      <c r="O201" t="s">
        <v>29</v>
      </c>
      <c r="P201">
        <f>VLOOKUP(O201, Coordinates!$A$2:$C$6, 2, FALSE)</f>
        <v>29.760400000000001</v>
      </c>
      <c r="Q201">
        <f>VLOOKUP(O201, Coordinates!$A$2:$C$6, 3, FALSE)</f>
        <v>-95.369799999999998</v>
      </c>
      <c r="R201">
        <v>20</v>
      </c>
      <c r="S201">
        <v>484</v>
      </c>
      <c r="T201">
        <v>25</v>
      </c>
      <c r="U201">
        <v>39.469711010634803</v>
      </c>
      <c r="V201" t="s">
        <v>55</v>
      </c>
      <c r="W201">
        <v>0.335437285840821</v>
      </c>
      <c r="X201" t="s">
        <v>31</v>
      </c>
      <c r="Y201" t="s">
        <v>32</v>
      </c>
      <c r="Z201">
        <v>877.57808508679898</v>
      </c>
    </row>
    <row r="202" spans="1:26" x14ac:dyDescent="0.3">
      <c r="A202" t="s">
        <v>72</v>
      </c>
      <c r="B202" t="s">
        <v>258</v>
      </c>
      <c r="C202">
        <v>35.308695850074201</v>
      </c>
      <c r="D202">
        <v>2</v>
      </c>
      <c r="E202">
        <v>169</v>
      </c>
      <c r="F202">
        <v>5370.4526387962896</v>
      </c>
      <c r="G202" t="s">
        <v>26</v>
      </c>
      <c r="H202">
        <v>33</v>
      </c>
      <c r="I202">
        <v>14</v>
      </c>
      <c r="J202">
        <v>42</v>
      </c>
      <c r="K202">
        <v>4</v>
      </c>
      <c r="L202" t="s">
        <v>36</v>
      </c>
      <c r="M202">
        <v>12.902677945898199</v>
      </c>
      <c r="N202" t="s">
        <v>37</v>
      </c>
      <c r="O202" t="s">
        <v>38</v>
      </c>
      <c r="P202">
        <f>VLOOKUP(O202, Coordinates!$A$2:$C$6, 2, FALSE)</f>
        <v>25.761700000000001</v>
      </c>
      <c r="Q202">
        <f>VLOOKUP(O202, Coordinates!$A$2:$C$6, 3, FALSE)</f>
        <v>-80.191800000000001</v>
      </c>
      <c r="R202">
        <v>14</v>
      </c>
      <c r="S202">
        <v>856</v>
      </c>
      <c r="T202">
        <v>30</v>
      </c>
      <c r="U202">
        <v>91.265086696837301</v>
      </c>
      <c r="V202" t="s">
        <v>55</v>
      </c>
      <c r="W202">
        <v>2.7559862256535199</v>
      </c>
      <c r="X202" t="s">
        <v>40</v>
      </c>
      <c r="Y202" t="s">
        <v>41</v>
      </c>
      <c r="Z202">
        <v>422.01251932540299</v>
      </c>
    </row>
    <row r="203" spans="1:26" x14ac:dyDescent="0.3">
      <c r="A203" t="s">
        <v>82</v>
      </c>
      <c r="B203" t="s">
        <v>259</v>
      </c>
      <c r="C203">
        <v>84.104644590000007</v>
      </c>
      <c r="D203">
        <v>10</v>
      </c>
      <c r="E203">
        <v>129</v>
      </c>
      <c r="F203">
        <v>8314.2373900000002</v>
      </c>
      <c r="G203" t="s">
        <v>54</v>
      </c>
      <c r="H203">
        <v>5</v>
      </c>
      <c r="I203">
        <v>7</v>
      </c>
      <c r="J203">
        <v>77</v>
      </c>
      <c r="K203">
        <v>5</v>
      </c>
      <c r="L203" t="s">
        <v>44</v>
      </c>
      <c r="M203">
        <v>5.3225418083802696</v>
      </c>
      <c r="N203" t="s">
        <v>37</v>
      </c>
      <c r="O203" t="s">
        <v>65</v>
      </c>
      <c r="P203">
        <f>VLOOKUP(O203, Coordinates!$A$2:$C$6, 2, FALSE)</f>
        <v>41.878100000000003</v>
      </c>
      <c r="Q203">
        <f>VLOOKUP(O203, Coordinates!$A$2:$C$6, 3, FALSE)</f>
        <v>-87.629800000000003</v>
      </c>
      <c r="R203">
        <v>22</v>
      </c>
      <c r="S203">
        <v>510</v>
      </c>
      <c r="T203">
        <v>2</v>
      </c>
      <c r="U203">
        <v>25.589165474435301</v>
      </c>
      <c r="V203" t="s">
        <v>30</v>
      </c>
      <c r="W203">
        <v>2.1385951367889602</v>
      </c>
      <c r="X203" t="s">
        <v>40</v>
      </c>
      <c r="Y203" t="s">
        <v>32</v>
      </c>
      <c r="Z203">
        <v>272.98875403548902</v>
      </c>
    </row>
    <row r="204" spans="1:26" x14ac:dyDescent="0.3">
      <c r="A204" t="s">
        <v>42</v>
      </c>
      <c r="B204" t="s">
        <v>260</v>
      </c>
      <c r="C204">
        <v>6.0480033549342496</v>
      </c>
      <c r="D204">
        <v>50</v>
      </c>
      <c r="E204">
        <v>978</v>
      </c>
      <c r="F204">
        <v>2193.4359167212901</v>
      </c>
      <c r="G204" t="s">
        <v>48</v>
      </c>
      <c r="H204">
        <v>5</v>
      </c>
      <c r="I204">
        <v>30</v>
      </c>
      <c r="J204">
        <v>82</v>
      </c>
      <c r="K204">
        <v>7</v>
      </c>
      <c r="L204" t="s">
        <v>27</v>
      </c>
      <c r="M204">
        <v>5.7398821254364503</v>
      </c>
      <c r="N204" t="s">
        <v>28</v>
      </c>
      <c r="O204" t="s">
        <v>67</v>
      </c>
      <c r="P204">
        <f>VLOOKUP(O204, Coordinates!$A$2:$C$6, 2, FALSE)</f>
        <v>40.712800000000001</v>
      </c>
      <c r="Q204">
        <f>VLOOKUP(O204, Coordinates!$A$2:$C$6, 3, FALSE)</f>
        <v>-74.006</v>
      </c>
      <c r="R204">
        <v>15</v>
      </c>
      <c r="S204">
        <v>407</v>
      </c>
      <c r="T204">
        <v>25</v>
      </c>
      <c r="U204">
        <v>44.3607202234844</v>
      </c>
      <c r="V204" t="s">
        <v>30</v>
      </c>
      <c r="W204">
        <v>1.37792110268421</v>
      </c>
      <c r="X204" t="s">
        <v>52</v>
      </c>
      <c r="Y204" t="s">
        <v>60</v>
      </c>
      <c r="Z204">
        <v>576.70410289999995</v>
      </c>
    </row>
    <row r="205" spans="1:26" x14ac:dyDescent="0.3">
      <c r="A205" t="s">
        <v>72</v>
      </c>
      <c r="B205" t="s">
        <v>261</v>
      </c>
      <c r="C205">
        <v>21.519467916074799</v>
      </c>
      <c r="D205">
        <v>81</v>
      </c>
      <c r="E205">
        <v>196</v>
      </c>
      <c r="F205">
        <v>3796.0341403955999</v>
      </c>
      <c r="G205" t="s">
        <v>35</v>
      </c>
      <c r="H205">
        <v>5</v>
      </c>
      <c r="I205">
        <v>11</v>
      </c>
      <c r="J205">
        <v>17</v>
      </c>
      <c r="K205">
        <v>8</v>
      </c>
      <c r="L205" t="s">
        <v>27</v>
      </c>
      <c r="M205">
        <v>3.7579027817451598</v>
      </c>
      <c r="N205" t="s">
        <v>45</v>
      </c>
      <c r="O205" t="s">
        <v>38</v>
      </c>
      <c r="P205">
        <f>VLOOKUP(O205, Coordinates!$A$2:$C$6, 2, FALSE)</f>
        <v>25.761700000000001</v>
      </c>
      <c r="Q205">
        <f>VLOOKUP(O205, Coordinates!$A$2:$C$6, 3, FALSE)</f>
        <v>-80.191800000000001</v>
      </c>
      <c r="R205">
        <v>28</v>
      </c>
      <c r="S205">
        <v>741</v>
      </c>
      <c r="T205">
        <v>3</v>
      </c>
      <c r="U205">
        <v>84.251258462546502</v>
      </c>
      <c r="V205" t="s">
        <v>39</v>
      </c>
      <c r="W205">
        <v>4.4024880838453599</v>
      </c>
      <c r="X205" t="s">
        <v>46</v>
      </c>
      <c r="Y205" t="s">
        <v>32</v>
      </c>
      <c r="Z205">
        <v>829.86800284865501</v>
      </c>
    </row>
    <row r="206" spans="1:26" x14ac:dyDescent="0.3">
      <c r="A206" t="s">
        <v>33</v>
      </c>
      <c r="B206" t="s">
        <v>262</v>
      </c>
      <c r="C206">
        <v>77.074257060545406</v>
      </c>
      <c r="D206">
        <v>12</v>
      </c>
      <c r="E206">
        <v>734</v>
      </c>
      <c r="F206">
        <v>5080.3354504374101</v>
      </c>
      <c r="G206" t="s">
        <v>26</v>
      </c>
      <c r="H206">
        <v>68</v>
      </c>
      <c r="I206">
        <v>22</v>
      </c>
      <c r="J206">
        <v>75</v>
      </c>
      <c r="K206">
        <v>6</v>
      </c>
      <c r="L206" t="s">
        <v>36</v>
      </c>
      <c r="M206">
        <v>14.458546053627</v>
      </c>
      <c r="N206" t="s">
        <v>28</v>
      </c>
      <c r="O206" t="s">
        <v>38</v>
      </c>
      <c r="P206">
        <f>VLOOKUP(O206, Coordinates!$A$2:$C$6, 2, FALSE)</f>
        <v>25.761700000000001</v>
      </c>
      <c r="Q206">
        <f>VLOOKUP(O206, Coordinates!$A$2:$C$6, 3, FALSE)</f>
        <v>-80.191800000000001</v>
      </c>
      <c r="R206">
        <v>28</v>
      </c>
      <c r="S206">
        <v>339</v>
      </c>
      <c r="T206">
        <v>29</v>
      </c>
      <c r="U206">
        <v>84.396395560000002</v>
      </c>
      <c r="V206" t="s">
        <v>39</v>
      </c>
      <c r="W206">
        <v>0.643175859494997</v>
      </c>
      <c r="X206" t="s">
        <v>40</v>
      </c>
      <c r="Y206" t="s">
        <v>60</v>
      </c>
      <c r="Z206">
        <v>418.641182980976</v>
      </c>
    </row>
    <row r="207" spans="1:26" x14ac:dyDescent="0.3">
      <c r="A207" t="s">
        <v>33</v>
      </c>
      <c r="B207" t="s">
        <v>263</v>
      </c>
      <c r="C207">
        <v>69.445988171238398</v>
      </c>
      <c r="D207">
        <v>70</v>
      </c>
      <c r="E207">
        <v>920</v>
      </c>
      <c r="F207">
        <v>5654.0879930199699</v>
      </c>
      <c r="G207" t="s">
        <v>48</v>
      </c>
      <c r="H207">
        <v>4</v>
      </c>
      <c r="I207">
        <v>27</v>
      </c>
      <c r="J207">
        <v>32</v>
      </c>
      <c r="K207">
        <v>5</v>
      </c>
      <c r="L207" t="s">
        <v>36</v>
      </c>
      <c r="M207">
        <v>4.4264151683836204</v>
      </c>
      <c r="N207" t="s">
        <v>28</v>
      </c>
      <c r="O207" t="s">
        <v>67</v>
      </c>
      <c r="P207">
        <f>VLOOKUP(O207, Coordinates!$A$2:$C$6, 2, FALSE)</f>
        <v>40.712800000000001</v>
      </c>
      <c r="Q207">
        <f>VLOOKUP(O207, Coordinates!$A$2:$C$6, 3, FALSE)</f>
        <v>-74.006</v>
      </c>
      <c r="R207">
        <v>18</v>
      </c>
      <c r="S207">
        <v>466</v>
      </c>
      <c r="T207">
        <v>12</v>
      </c>
      <c r="U207">
        <v>40.664688967630397</v>
      </c>
      <c r="V207" t="s">
        <v>30</v>
      </c>
      <c r="W207">
        <v>4.87028456435075</v>
      </c>
      <c r="X207" t="s">
        <v>40</v>
      </c>
      <c r="Y207" t="s">
        <v>41</v>
      </c>
      <c r="Z207">
        <v>862.14736975215999</v>
      </c>
    </row>
    <row r="208" spans="1:26" x14ac:dyDescent="0.3">
      <c r="A208" t="s">
        <v>33</v>
      </c>
      <c r="B208" t="s">
        <v>264</v>
      </c>
      <c r="C208">
        <v>76.845142499999994</v>
      </c>
      <c r="D208">
        <v>22</v>
      </c>
      <c r="E208">
        <v>578</v>
      </c>
      <c r="F208">
        <v>7872.4943165274199</v>
      </c>
      <c r="G208" t="s">
        <v>35</v>
      </c>
      <c r="H208">
        <v>96</v>
      </c>
      <c r="I208">
        <v>4</v>
      </c>
      <c r="J208">
        <v>79</v>
      </c>
      <c r="K208">
        <v>3</v>
      </c>
      <c r="L208" t="s">
        <v>44</v>
      </c>
      <c r="M208">
        <v>-10</v>
      </c>
      <c r="N208" t="s">
        <v>37</v>
      </c>
      <c r="O208" t="s">
        <v>65</v>
      </c>
      <c r="P208">
        <f>VLOOKUP(O208, Coordinates!$A$2:$C$6, 2, FALSE)</f>
        <v>41.878100000000003</v>
      </c>
      <c r="Q208">
        <f>VLOOKUP(O208, Coordinates!$A$2:$C$6, 3, FALSE)</f>
        <v>-87.629800000000003</v>
      </c>
      <c r="R208">
        <v>12</v>
      </c>
      <c r="S208">
        <v>955</v>
      </c>
      <c r="T208">
        <v>23</v>
      </c>
      <c r="U208">
        <v>32.335562779999997</v>
      </c>
      <c r="V208" t="s">
        <v>39</v>
      </c>
      <c r="W208">
        <v>0.12051253376080399</v>
      </c>
      <c r="X208" t="s">
        <v>31</v>
      </c>
      <c r="Y208" t="s">
        <v>41</v>
      </c>
      <c r="Z208">
        <v>393.51660183637199</v>
      </c>
    </row>
    <row r="209" spans="1:26" x14ac:dyDescent="0.3">
      <c r="A209" t="s">
        <v>33</v>
      </c>
      <c r="B209" t="s">
        <v>265</v>
      </c>
      <c r="C209">
        <v>84.987185292187306</v>
      </c>
      <c r="D209">
        <v>32</v>
      </c>
      <c r="E209">
        <v>332</v>
      </c>
      <c r="F209">
        <v>5025.9918399999997</v>
      </c>
      <c r="G209" t="s">
        <v>48</v>
      </c>
      <c r="H209">
        <v>76</v>
      </c>
      <c r="I209">
        <v>27</v>
      </c>
      <c r="J209">
        <v>64</v>
      </c>
      <c r="K209">
        <v>7</v>
      </c>
      <c r="L209" t="s">
        <v>44</v>
      </c>
      <c r="M209">
        <v>14.2145704635657</v>
      </c>
      <c r="N209" t="s">
        <v>28</v>
      </c>
      <c r="O209" t="s">
        <v>38</v>
      </c>
      <c r="P209">
        <f>VLOOKUP(O209, Coordinates!$A$2:$C$6, 2, FALSE)</f>
        <v>25.761700000000001</v>
      </c>
      <c r="Q209">
        <f>VLOOKUP(O209, Coordinates!$A$2:$C$6, 3, FALSE)</f>
        <v>-80.191800000000001</v>
      </c>
      <c r="R209">
        <v>7</v>
      </c>
      <c r="S209">
        <v>403</v>
      </c>
      <c r="T209">
        <v>28</v>
      </c>
      <c r="U209">
        <v>62.190391813794903</v>
      </c>
      <c r="V209" t="s">
        <v>55</v>
      </c>
      <c r="W209">
        <v>0.59115362299999996</v>
      </c>
      <c r="X209" t="s">
        <v>46</v>
      </c>
      <c r="Y209" t="s">
        <v>32</v>
      </c>
      <c r="Z209">
        <v>762.03822975918797</v>
      </c>
    </row>
    <row r="210" spans="1:26" x14ac:dyDescent="0.3">
      <c r="A210" t="s">
        <v>33</v>
      </c>
      <c r="B210" t="s">
        <v>266</v>
      </c>
      <c r="C210">
        <v>49.680310139669601</v>
      </c>
      <c r="D210">
        <v>84</v>
      </c>
      <c r="E210">
        <v>961</v>
      </c>
      <c r="F210">
        <v>8108.7815893198404</v>
      </c>
      <c r="G210" t="s">
        <v>48</v>
      </c>
      <c r="H210">
        <v>50</v>
      </c>
      <c r="I210">
        <v>24</v>
      </c>
      <c r="J210">
        <v>52</v>
      </c>
      <c r="K210">
        <v>8</v>
      </c>
      <c r="L210" t="s">
        <v>44</v>
      </c>
      <c r="M210">
        <v>13.6125839699325</v>
      </c>
      <c r="N210" t="s">
        <v>45</v>
      </c>
      <c r="O210" t="s">
        <v>38</v>
      </c>
      <c r="P210">
        <f>VLOOKUP(O210, Coordinates!$A$2:$C$6, 2, FALSE)</f>
        <v>25.761700000000001</v>
      </c>
      <c r="Q210">
        <f>VLOOKUP(O210, Coordinates!$A$2:$C$6, 3, FALSE)</f>
        <v>-80.191800000000001</v>
      </c>
      <c r="R210">
        <v>27</v>
      </c>
      <c r="S210">
        <v>716</v>
      </c>
      <c r="T210">
        <v>14</v>
      </c>
      <c r="U210">
        <v>73.449269537623707</v>
      </c>
      <c r="V210" t="s">
        <v>39</v>
      </c>
      <c r="W210">
        <v>3.69283942546125</v>
      </c>
      <c r="X210" t="s">
        <v>46</v>
      </c>
      <c r="Y210" t="s">
        <v>41</v>
      </c>
      <c r="Z210">
        <v>978.77699616622499</v>
      </c>
    </row>
    <row r="211" spans="1:26" x14ac:dyDescent="0.3">
      <c r="A211" t="s">
        <v>72</v>
      </c>
      <c r="B211" t="s">
        <v>267</v>
      </c>
      <c r="C211">
        <v>35.140943509942097</v>
      </c>
      <c r="D211">
        <v>1</v>
      </c>
      <c r="E211">
        <v>385</v>
      </c>
      <c r="F211">
        <v>12176.336926194899</v>
      </c>
      <c r="H211">
        <v>0</v>
      </c>
      <c r="I211">
        <v>2</v>
      </c>
      <c r="J211">
        <v>30</v>
      </c>
      <c r="K211">
        <v>3</v>
      </c>
      <c r="L211" t="s">
        <v>44</v>
      </c>
      <c r="M211">
        <v>4.4847523645187399</v>
      </c>
      <c r="N211" t="s">
        <v>45</v>
      </c>
      <c r="O211" t="s">
        <v>38</v>
      </c>
      <c r="P211">
        <f>VLOOKUP(O211, Coordinates!$A$2:$C$6, 2, FALSE)</f>
        <v>25.761700000000001</v>
      </c>
      <c r="Q211">
        <f>VLOOKUP(O211, Coordinates!$A$2:$C$6, 3, FALSE)</f>
        <v>-80.191800000000001</v>
      </c>
      <c r="R211">
        <v>25</v>
      </c>
      <c r="S211">
        <v>266</v>
      </c>
      <c r="T211">
        <v>17</v>
      </c>
      <c r="U211">
        <v>89.386548012023397</v>
      </c>
      <c r="V211" t="s">
        <v>55</v>
      </c>
      <c r="W211">
        <v>4.6356223786089998</v>
      </c>
      <c r="X211" t="s">
        <v>40</v>
      </c>
      <c r="Y211" t="s">
        <v>41</v>
      </c>
      <c r="Z211">
        <v>155.980496480695</v>
      </c>
    </row>
    <row r="212" spans="1:26" x14ac:dyDescent="0.3">
      <c r="A212" t="s">
        <v>72</v>
      </c>
      <c r="B212" t="s">
        <v>268</v>
      </c>
      <c r="C212">
        <v>25.484253383979599</v>
      </c>
      <c r="D212">
        <v>54</v>
      </c>
      <c r="E212">
        <v>677</v>
      </c>
      <c r="F212">
        <v>15527.5555868588</v>
      </c>
      <c r="G212" t="s">
        <v>48</v>
      </c>
      <c r="H212">
        <v>12</v>
      </c>
      <c r="I212">
        <v>7</v>
      </c>
      <c r="J212">
        <v>31</v>
      </c>
      <c r="K212">
        <v>5</v>
      </c>
      <c r="L212" t="s">
        <v>36</v>
      </c>
      <c r="M212">
        <v>13.106157973251801</v>
      </c>
      <c r="N212" t="s">
        <v>28</v>
      </c>
      <c r="O212" t="s">
        <v>29</v>
      </c>
      <c r="P212">
        <f>VLOOKUP(O212, Coordinates!$A$2:$C$6, 2, FALSE)</f>
        <v>29.760400000000001</v>
      </c>
      <c r="Q212">
        <f>VLOOKUP(O212, Coordinates!$A$2:$C$6, 3, FALSE)</f>
        <v>-95.369799999999998</v>
      </c>
      <c r="R212">
        <v>3</v>
      </c>
      <c r="S212">
        <v>653</v>
      </c>
      <c r="T212">
        <v>16</v>
      </c>
      <c r="U212">
        <v>75.437039867409297</v>
      </c>
      <c r="V212" t="s">
        <v>55</v>
      </c>
      <c r="W212">
        <v>1.08068079239661</v>
      </c>
      <c r="X212" t="s">
        <v>52</v>
      </c>
      <c r="Y212" t="s">
        <v>60</v>
      </c>
      <c r="Z212">
        <v>763.81831515061901</v>
      </c>
    </row>
    <row r="213" spans="1:26" x14ac:dyDescent="0.3">
      <c r="A213" t="s">
        <v>49</v>
      </c>
      <c r="B213" t="s">
        <v>269</v>
      </c>
      <c r="C213">
        <v>41.6107088894993</v>
      </c>
      <c r="D213">
        <v>58</v>
      </c>
      <c r="E213">
        <v>582</v>
      </c>
      <c r="F213">
        <v>2406.9829455355398</v>
      </c>
      <c r="G213" t="s">
        <v>35</v>
      </c>
      <c r="H213">
        <v>42</v>
      </c>
      <c r="I213">
        <v>19</v>
      </c>
      <c r="J213">
        <v>18</v>
      </c>
      <c r="K213">
        <v>2</v>
      </c>
      <c r="L213" t="s">
        <v>27</v>
      </c>
      <c r="M213">
        <v>4.4975249832056301</v>
      </c>
      <c r="N213" t="s">
        <v>45</v>
      </c>
      <c r="O213" t="s">
        <v>38</v>
      </c>
      <c r="P213">
        <f>VLOOKUP(O213, Coordinates!$A$2:$C$6, 2, FALSE)</f>
        <v>25.761700000000001</v>
      </c>
      <c r="Q213">
        <f>VLOOKUP(O213, Coordinates!$A$2:$C$6, 3, FALSE)</f>
        <v>-80.191800000000001</v>
      </c>
      <c r="R213">
        <v>28</v>
      </c>
      <c r="S213">
        <v>865</v>
      </c>
      <c r="T213">
        <v>17</v>
      </c>
      <c r="U213">
        <v>83.107076513416203</v>
      </c>
      <c r="V213" t="s">
        <v>39</v>
      </c>
      <c r="W213">
        <v>4.6805251324306401</v>
      </c>
      <c r="X213" t="s">
        <v>40</v>
      </c>
      <c r="Y213" t="s">
        <v>60</v>
      </c>
      <c r="Z213">
        <v>431.55839257514901</v>
      </c>
    </row>
    <row r="214" spans="1:26" x14ac:dyDescent="0.3">
      <c r="A214" t="s">
        <v>61</v>
      </c>
      <c r="B214" t="s">
        <v>270</v>
      </c>
      <c r="C214">
        <v>66.119692091619498</v>
      </c>
      <c r="D214">
        <v>70</v>
      </c>
      <c r="E214">
        <v>802</v>
      </c>
      <c r="F214">
        <v>4933.3035290479302</v>
      </c>
      <c r="G214" t="s">
        <v>48</v>
      </c>
      <c r="H214">
        <v>26</v>
      </c>
      <c r="I214">
        <v>14</v>
      </c>
      <c r="J214">
        <v>43</v>
      </c>
      <c r="K214">
        <v>10</v>
      </c>
      <c r="L214" t="s">
        <v>27</v>
      </c>
      <c r="M214">
        <v>2.1824983079402398</v>
      </c>
      <c r="N214" t="s">
        <v>28</v>
      </c>
      <c r="O214" t="s">
        <v>29</v>
      </c>
      <c r="P214">
        <f>VLOOKUP(O214, Coordinates!$A$2:$C$6, 2, FALSE)</f>
        <v>29.760400000000001</v>
      </c>
      <c r="Q214">
        <f>VLOOKUP(O214, Coordinates!$A$2:$C$6, 3, FALSE)</f>
        <v>-95.369799999999998</v>
      </c>
      <c r="R214">
        <v>15</v>
      </c>
      <c r="S214">
        <v>961</v>
      </c>
      <c r="T214">
        <v>24</v>
      </c>
      <c r="U214">
        <v>51.839290033431197</v>
      </c>
      <c r="V214" t="s">
        <v>30</v>
      </c>
      <c r="W214">
        <v>1.78770951712994</v>
      </c>
      <c r="X214" t="s">
        <v>46</v>
      </c>
      <c r="Y214" t="s">
        <v>41</v>
      </c>
      <c r="Z214">
        <v>453.695746737305</v>
      </c>
    </row>
    <row r="215" spans="1:26" x14ac:dyDescent="0.3">
      <c r="A215" t="s">
        <v>24</v>
      </c>
      <c r="B215" t="s">
        <v>271</v>
      </c>
      <c r="C215">
        <v>25.346547468873101</v>
      </c>
      <c r="D215">
        <v>83</v>
      </c>
      <c r="E215">
        <v>243</v>
      </c>
      <c r="F215">
        <v>5543.2899310000003</v>
      </c>
      <c r="G215" t="s">
        <v>35</v>
      </c>
      <c r="H215">
        <v>70</v>
      </c>
      <c r="I215">
        <v>19</v>
      </c>
      <c r="J215">
        <v>68</v>
      </c>
      <c r="K215">
        <v>10</v>
      </c>
      <c r="L215" t="s">
        <v>44</v>
      </c>
      <c r="M215">
        <v>12.485058877541499</v>
      </c>
      <c r="N215" t="s">
        <v>37</v>
      </c>
      <c r="O215" t="s">
        <v>67</v>
      </c>
      <c r="P215">
        <f>VLOOKUP(O215, Coordinates!$A$2:$C$6, 2, FALSE)</f>
        <v>40.712800000000001</v>
      </c>
      <c r="Q215">
        <f>VLOOKUP(O215, Coordinates!$A$2:$C$6, 3, FALSE)</f>
        <v>-74.006</v>
      </c>
      <c r="R215">
        <v>7</v>
      </c>
      <c r="S215">
        <v>400</v>
      </c>
      <c r="T215">
        <v>9</v>
      </c>
      <c r="U215">
        <v>90.7494691705311</v>
      </c>
      <c r="V215" t="s">
        <v>39</v>
      </c>
      <c r="W215">
        <v>0.19269166698468701</v>
      </c>
      <c r="X215" t="s">
        <v>31</v>
      </c>
      <c r="Y215" t="s">
        <v>32</v>
      </c>
      <c r="Z215">
        <v>616.73738235476105</v>
      </c>
    </row>
    <row r="216" spans="1:26" x14ac:dyDescent="0.3">
      <c r="A216" t="s">
        <v>33</v>
      </c>
      <c r="B216" t="s">
        <v>272</v>
      </c>
      <c r="C216">
        <v>25.634864280664999</v>
      </c>
      <c r="D216">
        <v>18</v>
      </c>
      <c r="E216">
        <v>845</v>
      </c>
      <c r="F216">
        <v>7691.89842673565</v>
      </c>
      <c r="G216" t="s">
        <v>48</v>
      </c>
      <c r="H216">
        <v>4</v>
      </c>
      <c r="I216">
        <v>26</v>
      </c>
      <c r="J216">
        <v>35</v>
      </c>
      <c r="K216">
        <v>4</v>
      </c>
      <c r="L216" t="s">
        <v>36</v>
      </c>
      <c r="M216">
        <v>11.801814209413999</v>
      </c>
      <c r="N216" t="s">
        <v>28</v>
      </c>
      <c r="O216" t="s">
        <v>67</v>
      </c>
      <c r="P216">
        <f>VLOOKUP(O216, Coordinates!$A$2:$C$6, 2, FALSE)</f>
        <v>40.712800000000001</v>
      </c>
      <c r="Q216">
        <f>VLOOKUP(O216, Coordinates!$A$2:$C$6, 3, FALSE)</f>
        <v>-74.006</v>
      </c>
      <c r="R216">
        <v>8</v>
      </c>
      <c r="S216">
        <v>997</v>
      </c>
      <c r="T216">
        <v>3</v>
      </c>
      <c r="U216">
        <v>86.167673444420103</v>
      </c>
      <c r="V216" t="s">
        <v>39</v>
      </c>
      <c r="W216">
        <v>4.3886098372032203</v>
      </c>
      <c r="X216" t="s">
        <v>46</v>
      </c>
      <c r="Y216" t="s">
        <v>32</v>
      </c>
      <c r="Z216">
        <v>988.18314390079695</v>
      </c>
    </row>
    <row r="217" spans="1:26" x14ac:dyDescent="0.3">
      <c r="A217" t="s">
        <v>82</v>
      </c>
      <c r="B217" t="s">
        <v>273</v>
      </c>
      <c r="C217">
        <v>18.093175420127299</v>
      </c>
      <c r="D217">
        <v>6</v>
      </c>
      <c r="E217">
        <v>704</v>
      </c>
      <c r="F217">
        <v>6226.6342581761601</v>
      </c>
      <c r="G217" t="s">
        <v>26</v>
      </c>
      <c r="H217">
        <v>57</v>
      </c>
      <c r="I217">
        <v>7</v>
      </c>
      <c r="J217">
        <v>10</v>
      </c>
      <c r="K217">
        <v>4</v>
      </c>
      <c r="L217" t="s">
        <v>44</v>
      </c>
      <c r="M217">
        <v>5.1253397039999999</v>
      </c>
      <c r="N217" t="s">
        <v>51</v>
      </c>
      <c r="O217" t="s">
        <v>65</v>
      </c>
      <c r="P217">
        <f>VLOOKUP(O217, Coordinates!$A$2:$C$6, 2, FALSE)</f>
        <v>41.878100000000003</v>
      </c>
      <c r="Q217">
        <f>VLOOKUP(O217, Coordinates!$A$2:$C$6, 3, FALSE)</f>
        <v>-87.629800000000003</v>
      </c>
      <c r="R217">
        <v>7</v>
      </c>
      <c r="S217">
        <v>304</v>
      </c>
      <c r="T217">
        <v>22</v>
      </c>
      <c r="U217">
        <v>59.287130389415204</v>
      </c>
      <c r="V217" t="s">
        <v>55</v>
      </c>
      <c r="W217">
        <v>4.71932836543031</v>
      </c>
      <c r="X217" t="s">
        <v>31</v>
      </c>
      <c r="Y217" t="s">
        <v>32</v>
      </c>
      <c r="Z217">
        <v>254.358821597082</v>
      </c>
    </row>
    <row r="218" spans="1:26" x14ac:dyDescent="0.3">
      <c r="A218" t="s">
        <v>24</v>
      </c>
      <c r="B218" t="s">
        <v>274</v>
      </c>
      <c r="C218">
        <v>31.648465762483301</v>
      </c>
      <c r="D218">
        <v>45</v>
      </c>
      <c r="E218">
        <v>86</v>
      </c>
      <c r="F218">
        <v>2449.5912500162099</v>
      </c>
      <c r="G218" t="s">
        <v>54</v>
      </c>
      <c r="H218">
        <v>88</v>
      </c>
      <c r="I218">
        <v>12</v>
      </c>
      <c r="J218">
        <v>14</v>
      </c>
      <c r="K218">
        <v>8</v>
      </c>
      <c r="L218" t="s">
        <v>44</v>
      </c>
      <c r="M218">
        <v>2.26194579171653</v>
      </c>
      <c r="N218" t="s">
        <v>37</v>
      </c>
      <c r="O218" t="s">
        <v>29</v>
      </c>
      <c r="P218">
        <f>VLOOKUP(O218, Coordinates!$A$2:$C$6, 2, FALSE)</f>
        <v>29.760400000000001</v>
      </c>
      <c r="Q218">
        <f>VLOOKUP(O218, Coordinates!$A$2:$C$6, 3, FALSE)</f>
        <v>-95.369799999999998</v>
      </c>
      <c r="R218">
        <v>3</v>
      </c>
      <c r="S218">
        <v>294</v>
      </c>
      <c r="T218">
        <v>14</v>
      </c>
      <c r="U218">
        <v>88.436988667173907</v>
      </c>
      <c r="V218" t="s">
        <v>30</v>
      </c>
      <c r="W218">
        <v>3.0928181121852201</v>
      </c>
      <c r="X218" t="s">
        <v>31</v>
      </c>
      <c r="Y218" t="s">
        <v>41</v>
      </c>
      <c r="Z218">
        <v>369.86867070625902</v>
      </c>
    </row>
    <row r="219" spans="1:26" x14ac:dyDescent="0.3">
      <c r="A219" t="s">
        <v>72</v>
      </c>
      <c r="B219" t="s">
        <v>275</v>
      </c>
      <c r="C219">
        <v>25.105742790851998</v>
      </c>
      <c r="D219">
        <v>97</v>
      </c>
      <c r="E219">
        <v>367</v>
      </c>
      <c r="F219">
        <v>8292.4268438184408</v>
      </c>
      <c r="G219" t="s">
        <v>26</v>
      </c>
      <c r="H219">
        <v>96</v>
      </c>
      <c r="I219">
        <v>3</v>
      </c>
      <c r="J219">
        <v>50</v>
      </c>
      <c r="K219">
        <v>3</v>
      </c>
      <c r="L219" t="s">
        <v>36</v>
      </c>
      <c r="M219">
        <v>3.8901443826800599</v>
      </c>
      <c r="N219" t="s">
        <v>45</v>
      </c>
      <c r="O219" t="s">
        <v>38</v>
      </c>
      <c r="P219">
        <f>VLOOKUP(O219, Coordinates!$A$2:$C$6, 2, FALSE)</f>
        <v>25.761700000000001</v>
      </c>
      <c r="Q219">
        <f>VLOOKUP(O219, Coordinates!$A$2:$C$6, 3, FALSE)</f>
        <v>-80.191800000000001</v>
      </c>
      <c r="R219">
        <v>25</v>
      </c>
      <c r="S219">
        <v>270</v>
      </c>
      <c r="T219">
        <v>3</v>
      </c>
      <c r="U219">
        <v>82.176974852121603</v>
      </c>
      <c r="V219" t="s">
        <v>39</v>
      </c>
      <c r="W219">
        <v>3.70877581751735</v>
      </c>
      <c r="X219" t="s">
        <v>31</v>
      </c>
      <c r="Y219" t="s">
        <v>32</v>
      </c>
      <c r="Z219">
        <v>683.83328648201496</v>
      </c>
    </row>
    <row r="220" spans="1:26" x14ac:dyDescent="0.3">
      <c r="A220" t="s">
        <v>82</v>
      </c>
      <c r="B220" t="s">
        <v>276</v>
      </c>
      <c r="C220">
        <v>21.945395509196299</v>
      </c>
      <c r="D220">
        <v>23</v>
      </c>
      <c r="E220">
        <v>509</v>
      </c>
      <c r="F220">
        <v>3041.5339209294498</v>
      </c>
      <c r="G220" t="s">
        <v>54</v>
      </c>
      <c r="H220">
        <v>16</v>
      </c>
      <c r="I220">
        <v>15</v>
      </c>
      <c r="J220">
        <v>72</v>
      </c>
      <c r="K220">
        <v>5</v>
      </c>
      <c r="L220" t="s">
        <v>27</v>
      </c>
      <c r="M220">
        <v>11.7947919926905</v>
      </c>
      <c r="N220" t="s">
        <v>45</v>
      </c>
      <c r="O220" t="s">
        <v>38</v>
      </c>
      <c r="P220">
        <f>VLOOKUP(O220, Coordinates!$A$2:$C$6, 2, FALSE)</f>
        <v>25.761700000000001</v>
      </c>
      <c r="Q220">
        <f>VLOOKUP(O220, Coordinates!$A$2:$C$6, 3, FALSE)</f>
        <v>-80.191800000000001</v>
      </c>
      <c r="R220">
        <v>26</v>
      </c>
      <c r="S220">
        <v>861</v>
      </c>
      <c r="T220">
        <v>6</v>
      </c>
      <c r="U220">
        <v>60.323633644532897</v>
      </c>
      <c r="V220" t="s">
        <v>39</v>
      </c>
      <c r="W220">
        <v>4.4234885827821602</v>
      </c>
      <c r="X220" t="s">
        <v>46</v>
      </c>
      <c r="Y220" t="s">
        <v>32</v>
      </c>
      <c r="Z220">
        <v>730.86697507360998</v>
      </c>
    </row>
    <row r="221" spans="1:26" x14ac:dyDescent="0.3">
      <c r="A221" t="s">
        <v>82</v>
      </c>
      <c r="B221" t="s">
        <v>277</v>
      </c>
      <c r="C221">
        <v>7.7617811326756003</v>
      </c>
      <c r="D221">
        <v>23</v>
      </c>
      <c r="E221">
        <v>206</v>
      </c>
      <c r="F221">
        <v>6179.50916622153</v>
      </c>
      <c r="G221" t="s">
        <v>35</v>
      </c>
      <c r="H221">
        <v>44</v>
      </c>
      <c r="I221">
        <v>5</v>
      </c>
      <c r="J221">
        <v>31</v>
      </c>
      <c r="K221">
        <v>5</v>
      </c>
      <c r="L221" t="s">
        <v>27</v>
      </c>
      <c r="M221">
        <v>14.506469409193899</v>
      </c>
      <c r="N221" t="s">
        <v>37</v>
      </c>
      <c r="O221" t="s">
        <v>29</v>
      </c>
      <c r="P221">
        <f>VLOOKUP(O221, Coordinates!$A$2:$C$6, 2, FALSE)</f>
        <v>29.760400000000001</v>
      </c>
      <c r="Q221">
        <f>VLOOKUP(O221, Coordinates!$A$2:$C$6, 3, FALSE)</f>
        <v>-95.369799999999998</v>
      </c>
      <c r="R221">
        <v>19</v>
      </c>
      <c r="S221">
        <v>715</v>
      </c>
      <c r="T221">
        <v>23</v>
      </c>
      <c r="U221">
        <v>10.502517761019</v>
      </c>
      <c r="V221" t="s">
        <v>30</v>
      </c>
      <c r="W221">
        <v>1.3441014089333201</v>
      </c>
      <c r="X221" t="s">
        <v>46</v>
      </c>
      <c r="Y221" t="s">
        <v>41</v>
      </c>
      <c r="Z221">
        <v>735.53073310000002</v>
      </c>
    </row>
    <row r="222" spans="1:26" x14ac:dyDescent="0.3">
      <c r="A222" t="s">
        <v>82</v>
      </c>
      <c r="B222" t="s">
        <v>278</v>
      </c>
      <c r="C222">
        <v>20.854086196212702</v>
      </c>
      <c r="D222">
        <v>26</v>
      </c>
      <c r="E222">
        <v>924</v>
      </c>
      <c r="F222">
        <v>4810.9492440981303</v>
      </c>
      <c r="G222" t="s">
        <v>54</v>
      </c>
      <c r="H222">
        <v>77</v>
      </c>
      <c r="I222">
        <v>8</v>
      </c>
      <c r="J222">
        <v>77</v>
      </c>
      <c r="K222">
        <v>2</v>
      </c>
      <c r="L222" t="s">
        <v>44</v>
      </c>
      <c r="M222">
        <v>4.6260290051228798</v>
      </c>
      <c r="N222" t="s">
        <v>51</v>
      </c>
      <c r="O222" t="s">
        <v>67</v>
      </c>
      <c r="P222">
        <f>VLOOKUP(O222, Coordinates!$A$2:$C$6, 2, FALSE)</f>
        <v>40.712800000000001</v>
      </c>
      <c r="Q222">
        <f>VLOOKUP(O222, Coordinates!$A$2:$C$6, 3, FALSE)</f>
        <v>-74.006</v>
      </c>
      <c r="R222">
        <v>29</v>
      </c>
      <c r="S222">
        <v>974</v>
      </c>
      <c r="T222">
        <v>21</v>
      </c>
      <c r="U222">
        <v>88.355425690279205</v>
      </c>
      <c r="V222" t="s">
        <v>30</v>
      </c>
      <c r="W222">
        <v>1.62615843839091</v>
      </c>
      <c r="X222" t="s">
        <v>52</v>
      </c>
      <c r="Y222" t="s">
        <v>60</v>
      </c>
      <c r="Z222">
        <v>635.864741319632</v>
      </c>
    </row>
    <row r="223" spans="1:26" x14ac:dyDescent="0.3">
      <c r="A223" t="s">
        <v>49</v>
      </c>
      <c r="B223" t="s">
        <v>279</v>
      </c>
      <c r="C223">
        <v>22.22533159</v>
      </c>
      <c r="D223">
        <v>77</v>
      </c>
      <c r="E223">
        <v>508</v>
      </c>
      <c r="F223">
        <v>5634.3475797460396</v>
      </c>
      <c r="G223" t="s">
        <v>48</v>
      </c>
      <c r="H223">
        <v>100</v>
      </c>
      <c r="I223">
        <v>14</v>
      </c>
      <c r="J223">
        <v>57</v>
      </c>
      <c r="K223">
        <v>9</v>
      </c>
      <c r="L223" t="s">
        <v>36</v>
      </c>
      <c r="M223">
        <v>12.4556232144962</v>
      </c>
      <c r="N223" t="s">
        <v>37</v>
      </c>
      <c r="O223" t="s">
        <v>65</v>
      </c>
      <c r="P223">
        <f>VLOOKUP(O223, Coordinates!$A$2:$C$6, 2, FALSE)</f>
        <v>41.878100000000003</v>
      </c>
      <c r="Q223">
        <f>VLOOKUP(O223, Coordinates!$A$2:$C$6, 3, FALSE)</f>
        <v>-87.629800000000003</v>
      </c>
      <c r="R223">
        <v>18</v>
      </c>
      <c r="S223">
        <v>501</v>
      </c>
      <c r="T223">
        <v>19</v>
      </c>
      <c r="U223">
        <v>35.627597229999999</v>
      </c>
      <c r="V223" t="s">
        <v>39</v>
      </c>
      <c r="W223">
        <v>4.8037658347424799</v>
      </c>
      <c r="X223" t="s">
        <v>40</v>
      </c>
      <c r="Y223" t="s">
        <v>60</v>
      </c>
      <c r="Z223">
        <v>629.45547794780305</v>
      </c>
    </row>
    <row r="224" spans="1:26" x14ac:dyDescent="0.3">
      <c r="A224" t="s">
        <v>72</v>
      </c>
      <c r="B224" t="s">
        <v>280</v>
      </c>
      <c r="C224">
        <v>32.823099195117997</v>
      </c>
      <c r="D224">
        <v>7</v>
      </c>
      <c r="E224">
        <v>648</v>
      </c>
      <c r="F224">
        <v>19142.431450592801</v>
      </c>
      <c r="G224" t="s">
        <v>48</v>
      </c>
      <c r="H224">
        <v>57</v>
      </c>
      <c r="I224">
        <v>29</v>
      </c>
      <c r="J224">
        <v>75</v>
      </c>
      <c r="K224">
        <v>4</v>
      </c>
      <c r="L224" t="s">
        <v>27</v>
      </c>
      <c r="M224">
        <v>4.1910572027201596</v>
      </c>
      <c r="N224" t="s">
        <v>57</v>
      </c>
      <c r="O224" t="s">
        <v>38</v>
      </c>
      <c r="P224">
        <f>VLOOKUP(O224, Coordinates!$A$2:$C$6, 2, FALSE)</f>
        <v>25.761700000000001</v>
      </c>
      <c r="Q224">
        <f>VLOOKUP(O224, Coordinates!$A$2:$C$6, 3, FALSE)</f>
        <v>-80.191800000000001</v>
      </c>
      <c r="R224">
        <v>30</v>
      </c>
      <c r="S224">
        <v>138</v>
      </c>
      <c r="T224">
        <v>24</v>
      </c>
      <c r="U224">
        <v>83.339718207961397</v>
      </c>
      <c r="V224" t="s">
        <v>55</v>
      </c>
      <c r="W224">
        <v>2.5611131995368299</v>
      </c>
      <c r="X224" t="s">
        <v>46</v>
      </c>
      <c r="Y224" t="s">
        <v>41</v>
      </c>
      <c r="Z224">
        <v>233.29625460268699</v>
      </c>
    </row>
    <row r="225" spans="1:26" x14ac:dyDescent="0.3">
      <c r="A225" t="s">
        <v>82</v>
      </c>
      <c r="B225" t="s">
        <v>281</v>
      </c>
      <c r="C225">
        <v>43.221076845222797</v>
      </c>
      <c r="D225">
        <v>79</v>
      </c>
      <c r="E225">
        <v>41</v>
      </c>
      <c r="F225">
        <v>6966.1562711010902</v>
      </c>
      <c r="G225" t="s">
        <v>26</v>
      </c>
      <c r="H225">
        <v>55</v>
      </c>
      <c r="I225">
        <v>4</v>
      </c>
      <c r="J225">
        <v>25</v>
      </c>
      <c r="K225">
        <v>9</v>
      </c>
      <c r="L225" t="s">
        <v>27</v>
      </c>
      <c r="M225">
        <v>10.5144054855511</v>
      </c>
      <c r="N225" t="s">
        <v>51</v>
      </c>
      <c r="O225" t="s">
        <v>38</v>
      </c>
      <c r="P225">
        <f>VLOOKUP(O225, Coordinates!$A$2:$C$6, 2, FALSE)</f>
        <v>25.761700000000001</v>
      </c>
      <c r="Q225">
        <f>VLOOKUP(O225, Coordinates!$A$2:$C$6, 3, FALSE)</f>
        <v>-80.191800000000001</v>
      </c>
      <c r="R225">
        <v>7</v>
      </c>
      <c r="S225">
        <v>847</v>
      </c>
      <c r="T225">
        <v>13</v>
      </c>
      <c r="U225">
        <v>28.439794230527799</v>
      </c>
      <c r="V225" t="s">
        <v>39</v>
      </c>
      <c r="W225">
        <v>3.7067794069799903E-2</v>
      </c>
      <c r="X225" t="s">
        <v>31</v>
      </c>
      <c r="Y225" t="s">
        <v>60</v>
      </c>
      <c r="Z225">
        <v>851.16283563770298</v>
      </c>
    </row>
    <row r="226" spans="1:26" x14ac:dyDescent="0.3">
      <c r="A226" t="s">
        <v>33</v>
      </c>
      <c r="B226" t="s">
        <v>282</v>
      </c>
      <c r="C226">
        <v>88.054934707972507</v>
      </c>
      <c r="D226">
        <v>44</v>
      </c>
      <c r="E226">
        <v>648</v>
      </c>
      <c r="F226">
        <v>8672.8486677036999</v>
      </c>
      <c r="H226">
        <v>53</v>
      </c>
      <c r="I226">
        <v>7</v>
      </c>
      <c r="J226">
        <v>89</v>
      </c>
      <c r="K226">
        <v>9</v>
      </c>
      <c r="L226" t="s">
        <v>36</v>
      </c>
      <c r="M226">
        <v>2.17058856644136</v>
      </c>
      <c r="N226" t="s">
        <v>37</v>
      </c>
      <c r="O226" t="s">
        <v>65</v>
      </c>
      <c r="P226">
        <f>VLOOKUP(O226, Coordinates!$A$2:$C$6, 2, FALSE)</f>
        <v>41.878100000000003</v>
      </c>
      <c r="Q226">
        <f>VLOOKUP(O226, Coordinates!$A$2:$C$6, 3, FALSE)</f>
        <v>-87.629800000000003</v>
      </c>
      <c r="R226">
        <v>19</v>
      </c>
      <c r="S226">
        <v>745</v>
      </c>
      <c r="T226">
        <v>5</v>
      </c>
      <c r="U226">
        <v>36.728521160947601</v>
      </c>
      <c r="V226" t="s">
        <v>30</v>
      </c>
      <c r="W226">
        <v>1.9009291143504701</v>
      </c>
      <c r="X226" t="s">
        <v>46</v>
      </c>
      <c r="Y226" t="s">
        <v>32</v>
      </c>
      <c r="Z226">
        <v>108.00623009631801</v>
      </c>
    </row>
    <row r="227" spans="1:26" x14ac:dyDescent="0.3">
      <c r="A227" t="s">
        <v>42</v>
      </c>
      <c r="B227" t="s">
        <v>283</v>
      </c>
      <c r="C227">
        <v>53.460422687388302</v>
      </c>
      <c r="D227">
        <v>27</v>
      </c>
      <c r="E227">
        <v>839</v>
      </c>
      <c r="F227">
        <v>3321.4555610820998</v>
      </c>
      <c r="G227" t="s">
        <v>35</v>
      </c>
      <c r="H227">
        <v>2</v>
      </c>
      <c r="I227">
        <v>26</v>
      </c>
      <c r="J227">
        <v>62</v>
      </c>
      <c r="K227">
        <v>2</v>
      </c>
      <c r="L227" t="s">
        <v>36</v>
      </c>
      <c r="M227">
        <v>9.1941389653516392</v>
      </c>
      <c r="N227" t="s">
        <v>57</v>
      </c>
      <c r="O227" t="s">
        <v>67</v>
      </c>
      <c r="P227">
        <f>VLOOKUP(O227, Coordinates!$A$2:$C$6, 2, FALSE)</f>
        <v>40.712800000000001</v>
      </c>
      <c r="Q227">
        <f>VLOOKUP(O227, Coordinates!$A$2:$C$6, 3, FALSE)</f>
        <v>-74.006</v>
      </c>
      <c r="R227">
        <v>5</v>
      </c>
      <c r="S227">
        <v>351</v>
      </c>
      <c r="T227">
        <v>1</v>
      </c>
      <c r="U227">
        <v>71.798396326033</v>
      </c>
      <c r="V227" t="s">
        <v>39</v>
      </c>
      <c r="W227">
        <v>3.8753004000000001E-2</v>
      </c>
      <c r="X227" t="s">
        <v>46</v>
      </c>
      <c r="Y227" t="s">
        <v>41</v>
      </c>
      <c r="Z227">
        <v>475.81953461485301</v>
      </c>
    </row>
    <row r="228" spans="1:26" x14ac:dyDescent="0.3">
      <c r="A228" t="s">
        <v>82</v>
      </c>
      <c r="B228" t="s">
        <v>284</v>
      </c>
      <c r="C228">
        <v>73.723452733167093</v>
      </c>
      <c r="D228">
        <v>26</v>
      </c>
      <c r="E228">
        <v>605</v>
      </c>
      <c r="F228">
        <v>5423.6280324864301</v>
      </c>
      <c r="G228" t="s">
        <v>35</v>
      </c>
      <c r="H228">
        <v>87</v>
      </c>
      <c r="I228">
        <v>18</v>
      </c>
      <c r="J228">
        <v>95</v>
      </c>
      <c r="K228">
        <v>9</v>
      </c>
      <c r="L228" t="s">
        <v>27</v>
      </c>
      <c r="M228">
        <v>4.76865847672605</v>
      </c>
      <c r="N228" t="s">
        <v>28</v>
      </c>
      <c r="O228" t="s">
        <v>58</v>
      </c>
      <c r="P228">
        <f>VLOOKUP(O228, Coordinates!$A$2:$C$6, 2, FALSE)</f>
        <v>34.052199999999999</v>
      </c>
      <c r="Q228">
        <f>VLOOKUP(O228, Coordinates!$A$2:$C$6, 3, FALSE)</f>
        <v>-118.2437</v>
      </c>
      <c r="R228">
        <v>23</v>
      </c>
      <c r="S228">
        <v>781</v>
      </c>
      <c r="T228">
        <v>12</v>
      </c>
      <c r="U228">
        <v>48.6616015934122</v>
      </c>
      <c r="V228" t="s">
        <v>55</v>
      </c>
      <c r="W228">
        <v>1.1890287023622199</v>
      </c>
      <c r="X228" t="s">
        <v>40</v>
      </c>
      <c r="Y228" t="s">
        <v>41</v>
      </c>
      <c r="Z228">
        <v>293.868326607337</v>
      </c>
    </row>
    <row r="229" spans="1:26" x14ac:dyDescent="0.3">
      <c r="A229" t="s">
        <v>49</v>
      </c>
      <c r="B229" t="s">
        <v>285</v>
      </c>
      <c r="C229">
        <v>14.893049002427301</v>
      </c>
      <c r="D229">
        <v>97</v>
      </c>
      <c r="E229">
        <v>977</v>
      </c>
      <c r="F229">
        <v>9779.7459611881095</v>
      </c>
      <c r="G229" t="s">
        <v>48</v>
      </c>
      <c r="H229">
        <v>28</v>
      </c>
      <c r="I229">
        <v>14</v>
      </c>
      <c r="J229">
        <v>74</v>
      </c>
      <c r="K229">
        <v>9</v>
      </c>
      <c r="L229" t="s">
        <v>44</v>
      </c>
      <c r="M229">
        <v>13.961843282271101</v>
      </c>
      <c r="N229" t="s">
        <v>51</v>
      </c>
      <c r="O229" t="s">
        <v>65</v>
      </c>
      <c r="P229">
        <f>VLOOKUP(O229, Coordinates!$A$2:$C$6, 2, FALSE)</f>
        <v>41.878100000000003</v>
      </c>
      <c r="Q229">
        <f>VLOOKUP(O229, Coordinates!$A$2:$C$6, 3, FALSE)</f>
        <v>-87.629800000000003</v>
      </c>
      <c r="R229">
        <v>13</v>
      </c>
      <c r="S229">
        <v>382</v>
      </c>
      <c r="T229">
        <v>15</v>
      </c>
      <c r="U229">
        <v>66.441756752324807</v>
      </c>
      <c r="V229" t="s">
        <v>55</v>
      </c>
      <c r="W229">
        <v>2.2735003357058798</v>
      </c>
      <c r="X229" t="s">
        <v>46</v>
      </c>
      <c r="Y229" t="s">
        <v>60</v>
      </c>
      <c r="Z229">
        <v>193.905921668904</v>
      </c>
    </row>
    <row r="230" spans="1:26" x14ac:dyDescent="0.3">
      <c r="A230" t="s">
        <v>24</v>
      </c>
      <c r="B230" t="s">
        <v>286</v>
      </c>
      <c r="C230">
        <v>38.1770323579482</v>
      </c>
      <c r="D230">
        <v>79</v>
      </c>
      <c r="E230">
        <v>406</v>
      </c>
      <c r="F230">
        <v>13949.887623594201</v>
      </c>
      <c r="G230" t="s">
        <v>35</v>
      </c>
      <c r="H230">
        <v>53</v>
      </c>
      <c r="I230">
        <v>8</v>
      </c>
      <c r="J230">
        <v>88</v>
      </c>
      <c r="K230">
        <v>2</v>
      </c>
      <c r="L230" t="s">
        <v>44</v>
      </c>
      <c r="M230">
        <v>5.0565124429999999</v>
      </c>
      <c r="N230" t="s">
        <v>28</v>
      </c>
      <c r="O230" t="s">
        <v>58</v>
      </c>
      <c r="P230">
        <f>VLOOKUP(O230, Coordinates!$A$2:$C$6, 2, FALSE)</f>
        <v>34.052199999999999</v>
      </c>
      <c r="Q230">
        <f>VLOOKUP(O230, Coordinates!$A$2:$C$6, 3, FALSE)</f>
        <v>-118.2437</v>
      </c>
      <c r="R230">
        <v>2</v>
      </c>
      <c r="S230">
        <v>306</v>
      </c>
      <c r="T230">
        <v>25</v>
      </c>
      <c r="U230">
        <v>81.532278135714193</v>
      </c>
      <c r="V230" t="s">
        <v>30</v>
      </c>
      <c r="W230">
        <v>1.61696527710418</v>
      </c>
      <c r="X230" t="s">
        <v>31</v>
      </c>
      <c r="Y230" t="s">
        <v>41</v>
      </c>
      <c r="Z230">
        <v>387.541724423262</v>
      </c>
    </row>
    <row r="231" spans="1:26" x14ac:dyDescent="0.3">
      <c r="A231" t="s">
        <v>72</v>
      </c>
      <c r="B231" t="s">
        <v>287</v>
      </c>
      <c r="C231">
        <v>28.092684816470499</v>
      </c>
      <c r="D231">
        <v>36</v>
      </c>
      <c r="E231">
        <v>769</v>
      </c>
      <c r="F231">
        <v>19442.947161479198</v>
      </c>
      <c r="G231" t="s">
        <v>48</v>
      </c>
      <c r="H231">
        <v>26</v>
      </c>
      <c r="I231">
        <v>26</v>
      </c>
      <c r="J231">
        <v>73</v>
      </c>
      <c r="K231">
        <v>6</v>
      </c>
      <c r="L231" t="s">
        <v>27</v>
      </c>
      <c r="M231">
        <v>6.5781697280722904</v>
      </c>
      <c r="N231" t="s">
        <v>57</v>
      </c>
      <c r="O231" t="s">
        <v>29</v>
      </c>
      <c r="P231">
        <f>VLOOKUP(O231, Coordinates!$A$2:$C$6, 2, FALSE)</f>
        <v>29.760400000000001</v>
      </c>
      <c r="Q231">
        <f>VLOOKUP(O231, Coordinates!$A$2:$C$6, 3, FALSE)</f>
        <v>-95.369799999999998</v>
      </c>
      <c r="R231">
        <v>24</v>
      </c>
      <c r="S231">
        <v>599</v>
      </c>
      <c r="T231">
        <v>19</v>
      </c>
      <c r="U231">
        <v>85.485731715435193</v>
      </c>
      <c r="V231" t="s">
        <v>55</v>
      </c>
      <c r="W231">
        <v>0.163671061425853</v>
      </c>
      <c r="X231" t="s">
        <v>40</v>
      </c>
      <c r="Y231" t="s">
        <v>41</v>
      </c>
      <c r="Z231">
        <v>691.46856360000004</v>
      </c>
    </row>
    <row r="232" spans="1:26" x14ac:dyDescent="0.3">
      <c r="A232" t="s">
        <v>49</v>
      </c>
      <c r="B232" t="s">
        <v>288</v>
      </c>
      <c r="D232">
        <v>55</v>
      </c>
      <c r="E232">
        <v>860</v>
      </c>
      <c r="F232">
        <v>1811.76130180219</v>
      </c>
      <c r="G232" t="s">
        <v>48</v>
      </c>
      <c r="H232">
        <v>44</v>
      </c>
      <c r="I232">
        <v>12</v>
      </c>
      <c r="J232">
        <v>97</v>
      </c>
      <c r="K232">
        <v>9</v>
      </c>
      <c r="L232" t="s">
        <v>44</v>
      </c>
      <c r="M232">
        <v>12.7695075561641</v>
      </c>
      <c r="N232" t="s">
        <v>45</v>
      </c>
      <c r="O232" t="s">
        <v>38</v>
      </c>
      <c r="P232">
        <f>VLOOKUP(O232, Coordinates!$A$2:$C$6, 2, FALSE)</f>
        <v>25.761700000000001</v>
      </c>
      <c r="Q232">
        <f>VLOOKUP(O232, Coordinates!$A$2:$C$6, 3, FALSE)</f>
        <v>-80.191800000000001</v>
      </c>
      <c r="R232">
        <v>26</v>
      </c>
      <c r="S232">
        <v>242</v>
      </c>
      <c r="T232">
        <v>2</v>
      </c>
      <c r="U232">
        <v>61.150603449343599</v>
      </c>
      <c r="V232" t="s">
        <v>39</v>
      </c>
      <c r="W232">
        <v>4.9178439569119998</v>
      </c>
      <c r="X232" t="s">
        <v>52</v>
      </c>
      <c r="Y232" t="s">
        <v>32</v>
      </c>
      <c r="Z232">
        <v>547.37461928306402</v>
      </c>
    </row>
    <row r="233" spans="1:26" x14ac:dyDescent="0.3">
      <c r="A233" t="s">
        <v>82</v>
      </c>
      <c r="B233" t="s">
        <v>289</v>
      </c>
      <c r="C233">
        <v>51.226777913156504</v>
      </c>
      <c r="D233">
        <v>64</v>
      </c>
      <c r="E233">
        <v>710</v>
      </c>
      <c r="F233">
        <v>6454.1350223149802</v>
      </c>
      <c r="G233" t="s">
        <v>48</v>
      </c>
      <c r="H233">
        <v>86</v>
      </c>
      <c r="I233">
        <v>10</v>
      </c>
      <c r="J233">
        <v>77</v>
      </c>
      <c r="K233">
        <v>4</v>
      </c>
      <c r="L233" t="s">
        <v>44</v>
      </c>
      <c r="M233">
        <v>7.1358441560000001</v>
      </c>
      <c r="N233" t="s">
        <v>45</v>
      </c>
      <c r="O233" t="s">
        <v>38</v>
      </c>
      <c r="P233">
        <f>VLOOKUP(O233, Coordinates!$A$2:$C$6, 2, FALSE)</f>
        <v>25.761700000000001</v>
      </c>
      <c r="Q233">
        <f>VLOOKUP(O233, Coordinates!$A$2:$C$6, 3, FALSE)</f>
        <v>-80.191800000000001</v>
      </c>
      <c r="R233">
        <v>30</v>
      </c>
      <c r="S233">
        <v>118</v>
      </c>
      <c r="T233">
        <v>3</v>
      </c>
      <c r="U233">
        <v>79.982910403582196</v>
      </c>
      <c r="V233" t="s">
        <v>39</v>
      </c>
      <c r="W233">
        <v>3.6409112684343898</v>
      </c>
      <c r="X233" t="s">
        <v>31</v>
      </c>
      <c r="Y233" t="s">
        <v>41</v>
      </c>
      <c r="Z233">
        <v>886.17327568643498</v>
      </c>
    </row>
    <row r="234" spans="1:26" x14ac:dyDescent="0.3">
      <c r="A234" t="s">
        <v>72</v>
      </c>
      <c r="B234" t="s">
        <v>290</v>
      </c>
      <c r="C234">
        <v>38.871068219999998</v>
      </c>
      <c r="D234">
        <v>91</v>
      </c>
      <c r="E234">
        <v>180</v>
      </c>
      <c r="F234">
        <v>6297.1130519999997</v>
      </c>
      <c r="G234" t="s">
        <v>26</v>
      </c>
      <c r="H234">
        <v>30</v>
      </c>
      <c r="I234">
        <v>14</v>
      </c>
      <c r="J234">
        <v>72</v>
      </c>
      <c r="K234">
        <v>2</v>
      </c>
      <c r="L234" t="s">
        <v>36</v>
      </c>
      <c r="M234">
        <v>4.3377715251288498</v>
      </c>
      <c r="N234" t="s">
        <v>45</v>
      </c>
      <c r="O234" t="s">
        <v>38</v>
      </c>
      <c r="P234">
        <f>VLOOKUP(O234, Coordinates!$A$2:$C$6, 2, FALSE)</f>
        <v>25.761700000000001</v>
      </c>
      <c r="Q234">
        <f>VLOOKUP(O234, Coordinates!$A$2:$C$6, 3, FALSE)</f>
        <v>-80.191800000000001</v>
      </c>
      <c r="R234">
        <v>25</v>
      </c>
      <c r="S234">
        <v>801</v>
      </c>
      <c r="T234">
        <v>7</v>
      </c>
      <c r="U234">
        <v>77.173512683870101</v>
      </c>
      <c r="V234" t="s">
        <v>39</v>
      </c>
      <c r="W234">
        <v>3.7469101567973202</v>
      </c>
      <c r="X234" t="s">
        <v>31</v>
      </c>
      <c r="Y234" t="s">
        <v>41</v>
      </c>
      <c r="Z234">
        <v>639.71690912090901</v>
      </c>
    </row>
    <row r="235" spans="1:26" x14ac:dyDescent="0.3">
      <c r="A235" t="s">
        <v>42</v>
      </c>
      <c r="B235" t="s">
        <v>291</v>
      </c>
      <c r="C235">
        <v>62.203836180000003</v>
      </c>
      <c r="D235">
        <v>57</v>
      </c>
      <c r="E235">
        <v>828</v>
      </c>
      <c r="F235">
        <v>9633.1189179143894</v>
      </c>
      <c r="G235" t="s">
        <v>26</v>
      </c>
      <c r="H235">
        <v>5</v>
      </c>
      <c r="I235">
        <v>23</v>
      </c>
      <c r="J235">
        <v>71</v>
      </c>
      <c r="K235">
        <v>7</v>
      </c>
      <c r="L235" t="s">
        <v>36</v>
      </c>
      <c r="M235">
        <v>8.6656204930000005</v>
      </c>
      <c r="N235" t="s">
        <v>28</v>
      </c>
      <c r="O235" t="s">
        <v>67</v>
      </c>
      <c r="P235">
        <f>VLOOKUP(O235, Coordinates!$A$2:$C$6, 2, FALSE)</f>
        <v>40.712800000000001</v>
      </c>
      <c r="Q235">
        <f>VLOOKUP(O235, Coordinates!$A$2:$C$6, 3, FALSE)</f>
        <v>-74.006</v>
      </c>
      <c r="R235">
        <v>8</v>
      </c>
      <c r="S235">
        <v>675</v>
      </c>
      <c r="T235">
        <v>28</v>
      </c>
      <c r="U235">
        <v>58.585909238366497</v>
      </c>
      <c r="V235" t="s">
        <v>30</v>
      </c>
      <c r="W235">
        <v>2.0227450611645099</v>
      </c>
      <c r="X235" t="s">
        <v>46</v>
      </c>
      <c r="Y235" t="s">
        <v>41</v>
      </c>
      <c r="Z235">
        <v>327.82063241366097</v>
      </c>
    </row>
    <row r="236" spans="1:26" x14ac:dyDescent="0.3">
      <c r="A236" t="s">
        <v>82</v>
      </c>
      <c r="B236" t="s">
        <v>292</v>
      </c>
      <c r="C236">
        <v>7.1786170704639902</v>
      </c>
      <c r="D236">
        <v>69</v>
      </c>
      <c r="E236">
        <v>574</v>
      </c>
      <c r="F236">
        <v>7440.9638686507997</v>
      </c>
      <c r="G236" t="s">
        <v>48</v>
      </c>
      <c r="H236">
        <v>80</v>
      </c>
      <c r="I236">
        <v>6</v>
      </c>
      <c r="J236">
        <v>91</v>
      </c>
      <c r="K236">
        <v>9</v>
      </c>
      <c r="L236" t="s">
        <v>36</v>
      </c>
      <c r="M236">
        <v>12.759876739099701</v>
      </c>
      <c r="N236" t="s">
        <v>51</v>
      </c>
      <c r="O236" t="s">
        <v>29</v>
      </c>
      <c r="P236">
        <f>VLOOKUP(O236, Coordinates!$A$2:$C$6, 2, FALSE)</f>
        <v>29.760400000000001</v>
      </c>
      <c r="Q236">
        <f>VLOOKUP(O236, Coordinates!$A$2:$C$6, 3, FALSE)</f>
        <v>-95.369799999999998</v>
      </c>
      <c r="R236">
        <v>11</v>
      </c>
      <c r="S236">
        <v>841</v>
      </c>
      <c r="T236">
        <v>11</v>
      </c>
      <c r="U236">
        <v>44.504515965461898</v>
      </c>
      <c r="V236" t="s">
        <v>39</v>
      </c>
      <c r="W236">
        <v>3.6574087321245301</v>
      </c>
      <c r="X236" t="s">
        <v>52</v>
      </c>
      <c r="Y236" t="s">
        <v>41</v>
      </c>
      <c r="Z236">
        <v>563.69885076183505</v>
      </c>
    </row>
    <row r="237" spans="1:26" x14ac:dyDescent="0.3">
      <c r="A237" t="s">
        <v>49</v>
      </c>
      <c r="B237" t="s">
        <v>293</v>
      </c>
      <c r="C237">
        <v>35.600260401772601</v>
      </c>
      <c r="D237">
        <v>61</v>
      </c>
      <c r="E237">
        <v>471</v>
      </c>
      <c r="F237">
        <v>8093.4380932213498</v>
      </c>
      <c r="G237" t="s">
        <v>48</v>
      </c>
      <c r="H237">
        <v>60</v>
      </c>
      <c r="I237">
        <v>30</v>
      </c>
      <c r="J237">
        <v>90</v>
      </c>
      <c r="K237">
        <v>6</v>
      </c>
      <c r="L237" t="s">
        <v>44</v>
      </c>
      <c r="M237">
        <v>7.0644865680651296</v>
      </c>
      <c r="N237" t="s">
        <v>28</v>
      </c>
      <c r="O237" t="s">
        <v>58</v>
      </c>
      <c r="P237">
        <f>VLOOKUP(O237, Coordinates!$A$2:$C$6, 2, FALSE)</f>
        <v>34.052199999999999</v>
      </c>
      <c r="Q237">
        <f>VLOOKUP(O237, Coordinates!$A$2:$C$6, 3, FALSE)</f>
        <v>-118.2437</v>
      </c>
      <c r="R237">
        <v>1</v>
      </c>
      <c r="S237">
        <v>918</v>
      </c>
      <c r="T237">
        <v>28</v>
      </c>
      <c r="U237">
        <v>46.675178310971503</v>
      </c>
      <c r="V237" t="s">
        <v>55</v>
      </c>
      <c r="W237">
        <v>0.81666444257571802</v>
      </c>
      <c r="X237" t="s">
        <v>40</v>
      </c>
      <c r="Y237" t="s">
        <v>60</v>
      </c>
      <c r="Z237">
        <v>304.64722341583598</v>
      </c>
    </row>
    <row r="238" spans="1:26" x14ac:dyDescent="0.3">
      <c r="A238" t="s">
        <v>61</v>
      </c>
      <c r="B238" t="s">
        <v>294</v>
      </c>
      <c r="C238">
        <v>65.466611849669604</v>
      </c>
      <c r="D238">
        <v>2</v>
      </c>
      <c r="E238">
        <v>205</v>
      </c>
      <c r="F238">
        <v>7336.9392469447303</v>
      </c>
      <c r="G238" t="s">
        <v>48</v>
      </c>
      <c r="H238">
        <v>36</v>
      </c>
      <c r="I238">
        <v>5</v>
      </c>
      <c r="J238">
        <v>80</v>
      </c>
      <c r="K238">
        <v>4</v>
      </c>
      <c r="L238" t="s">
        <v>36</v>
      </c>
      <c r="M238">
        <v>2.86043884886814</v>
      </c>
      <c r="N238" t="s">
        <v>28</v>
      </c>
      <c r="O238" t="s">
        <v>67</v>
      </c>
      <c r="P238">
        <f>VLOOKUP(O238, Coordinates!$A$2:$C$6, 2, FALSE)</f>
        <v>40.712800000000001</v>
      </c>
      <c r="Q238">
        <f>VLOOKUP(O238, Coordinates!$A$2:$C$6, 3, FALSE)</f>
        <v>-74.006</v>
      </c>
      <c r="R238">
        <v>28</v>
      </c>
      <c r="S238">
        <v>786</v>
      </c>
      <c r="T238">
        <v>10</v>
      </c>
      <c r="U238">
        <v>48.982169079663898</v>
      </c>
      <c r="V238" t="s">
        <v>30</v>
      </c>
      <c r="W238">
        <v>0.61028973903842998</v>
      </c>
      <c r="X238" t="s">
        <v>52</v>
      </c>
      <c r="Y238" t="s">
        <v>41</v>
      </c>
      <c r="Z238">
        <v>260.79082760783001</v>
      </c>
    </row>
    <row r="239" spans="1:26" x14ac:dyDescent="0.3">
      <c r="A239" t="s">
        <v>33</v>
      </c>
      <c r="B239" t="s">
        <v>295</v>
      </c>
      <c r="C239">
        <v>19.154974934178099</v>
      </c>
      <c r="D239">
        <v>55</v>
      </c>
      <c r="E239">
        <v>544</v>
      </c>
      <c r="F239">
        <v>6307.5613246881903</v>
      </c>
      <c r="G239" t="s">
        <v>35</v>
      </c>
      <c r="H239">
        <v>66</v>
      </c>
      <c r="I239">
        <v>1</v>
      </c>
      <c r="J239">
        <v>54</v>
      </c>
      <c r="K239">
        <v>1</v>
      </c>
      <c r="L239" t="s">
        <v>36</v>
      </c>
      <c r="M239">
        <v>6.3632167836032298</v>
      </c>
      <c r="N239" t="s">
        <v>45</v>
      </c>
      <c r="O239" t="s">
        <v>38</v>
      </c>
      <c r="P239">
        <f>VLOOKUP(O239, Coordinates!$A$2:$C$6, 2, FALSE)</f>
        <v>25.761700000000001</v>
      </c>
      <c r="Q239">
        <f>VLOOKUP(O239, Coordinates!$A$2:$C$6, 3, FALSE)</f>
        <v>-80.191800000000001</v>
      </c>
      <c r="R239">
        <v>30</v>
      </c>
      <c r="S239">
        <v>924</v>
      </c>
      <c r="T239">
        <v>8</v>
      </c>
      <c r="U239">
        <v>41.396097605153599</v>
      </c>
      <c r="V239" t="s">
        <v>39</v>
      </c>
      <c r="W239">
        <v>4.6482868420000001</v>
      </c>
      <c r="X239" t="s">
        <v>46</v>
      </c>
      <c r="Y239" t="s">
        <v>32</v>
      </c>
      <c r="Z239">
        <v>959.51847287922396</v>
      </c>
    </row>
    <row r="240" spans="1:26" x14ac:dyDescent="0.3">
      <c r="A240" t="s">
        <v>24</v>
      </c>
      <c r="B240" t="s">
        <v>296</v>
      </c>
      <c r="C240">
        <v>38.8452549488835</v>
      </c>
      <c r="D240">
        <v>97</v>
      </c>
      <c r="E240">
        <v>551</v>
      </c>
      <c r="F240">
        <v>19263.361929151299</v>
      </c>
      <c r="G240" t="s">
        <v>48</v>
      </c>
      <c r="H240">
        <v>35</v>
      </c>
      <c r="I240">
        <v>1</v>
      </c>
      <c r="J240">
        <v>61</v>
      </c>
      <c r="K240">
        <v>4</v>
      </c>
      <c r="L240" t="s">
        <v>27</v>
      </c>
      <c r="M240">
        <v>14.3626518633186</v>
      </c>
      <c r="N240" t="s">
        <v>28</v>
      </c>
      <c r="O240" t="s">
        <v>29</v>
      </c>
      <c r="P240">
        <f>VLOOKUP(O240, Coordinates!$A$2:$C$6, 2, FALSE)</f>
        <v>29.760400000000001</v>
      </c>
      <c r="Q240">
        <f>VLOOKUP(O240, Coordinates!$A$2:$C$6, 3, FALSE)</f>
        <v>-95.369799999999998</v>
      </c>
      <c r="R240">
        <v>6</v>
      </c>
      <c r="S240">
        <v>119</v>
      </c>
      <c r="T240">
        <v>2</v>
      </c>
      <c r="U240">
        <v>91.898298769031101</v>
      </c>
      <c r="V240" t="s">
        <v>30</v>
      </c>
      <c r="W240">
        <v>1.6960667424609901</v>
      </c>
      <c r="X240" t="s">
        <v>52</v>
      </c>
      <c r="Y240" t="s">
        <v>60</v>
      </c>
      <c r="Z240">
        <v>521.22954909999999</v>
      </c>
    </row>
    <row r="241" spans="1:26" x14ac:dyDescent="0.3">
      <c r="A241" t="s">
        <v>49</v>
      </c>
      <c r="B241" t="s">
        <v>297</v>
      </c>
      <c r="C241">
        <v>75.862894837298995</v>
      </c>
      <c r="D241">
        <v>80</v>
      </c>
      <c r="E241">
        <v>641</v>
      </c>
      <c r="F241">
        <v>8725.3604178495607</v>
      </c>
      <c r="G241" t="s">
        <v>48</v>
      </c>
      <c r="H241">
        <v>4</v>
      </c>
      <c r="I241">
        <v>25</v>
      </c>
      <c r="J241">
        <v>83</v>
      </c>
      <c r="K241">
        <v>3</v>
      </c>
      <c r="L241" t="s">
        <v>36</v>
      </c>
      <c r="M241">
        <v>2.0083026851208099</v>
      </c>
      <c r="N241" t="s">
        <v>57</v>
      </c>
      <c r="O241" t="s">
        <v>65</v>
      </c>
      <c r="P241">
        <f>VLOOKUP(O241, Coordinates!$A$2:$C$6, 2, FALSE)</f>
        <v>41.878100000000003</v>
      </c>
      <c r="Q241">
        <f>VLOOKUP(O241, Coordinates!$A$2:$C$6, 3, FALSE)</f>
        <v>-87.629800000000003</v>
      </c>
      <c r="R241">
        <v>4</v>
      </c>
      <c r="S241">
        <v>887</v>
      </c>
      <c r="T241">
        <v>14</v>
      </c>
      <c r="U241">
        <v>21.287372704464602</v>
      </c>
      <c r="V241" t="s">
        <v>55</v>
      </c>
      <c r="W241">
        <v>2.16123960972212</v>
      </c>
      <c r="X241" t="s">
        <v>31</v>
      </c>
      <c r="Y241" t="s">
        <v>41</v>
      </c>
      <c r="Z241">
        <v>686.08728166244498</v>
      </c>
    </row>
    <row r="242" spans="1:26" x14ac:dyDescent="0.3">
      <c r="A242" t="s">
        <v>72</v>
      </c>
      <c r="B242" t="s">
        <v>298</v>
      </c>
      <c r="C242">
        <v>24.151381541661902</v>
      </c>
      <c r="D242">
        <v>87</v>
      </c>
      <c r="E242">
        <v>398</v>
      </c>
      <c r="F242">
        <v>8651.0248682232996</v>
      </c>
      <c r="G242" t="s">
        <v>54</v>
      </c>
      <c r="H242">
        <v>45</v>
      </c>
      <c r="I242">
        <v>30</v>
      </c>
      <c r="J242">
        <v>74</v>
      </c>
      <c r="K242">
        <v>7</v>
      </c>
      <c r="L242" t="s">
        <v>27</v>
      </c>
      <c r="M242">
        <v>6.7182324142722702</v>
      </c>
      <c r="N242" t="s">
        <v>37</v>
      </c>
      <c r="O242" t="s">
        <v>29</v>
      </c>
      <c r="P242">
        <f>VLOOKUP(O242, Coordinates!$A$2:$C$6, 2, FALSE)</f>
        <v>29.760400000000001</v>
      </c>
      <c r="Q242">
        <f>VLOOKUP(O242, Coordinates!$A$2:$C$6, 3, FALSE)</f>
        <v>-95.369799999999998</v>
      </c>
      <c r="R242">
        <v>6</v>
      </c>
      <c r="S242">
        <v>949</v>
      </c>
      <c r="T242">
        <v>13</v>
      </c>
      <c r="U242">
        <v>84.561073569703396</v>
      </c>
      <c r="V242" t="s">
        <v>39</v>
      </c>
      <c r="W242">
        <v>4.7379080115864802</v>
      </c>
      <c r="X242" t="s">
        <v>31</v>
      </c>
      <c r="Y242" t="s">
        <v>60</v>
      </c>
      <c r="Z242">
        <v>886.08904947063002</v>
      </c>
    </row>
    <row r="243" spans="1:26" x14ac:dyDescent="0.3">
      <c r="A243" t="s">
        <v>82</v>
      </c>
      <c r="B243" t="s">
        <v>299</v>
      </c>
      <c r="C243">
        <v>24.9349895113588</v>
      </c>
      <c r="D243">
        <v>38</v>
      </c>
      <c r="E243">
        <v>837</v>
      </c>
      <c r="G243" t="s">
        <v>54</v>
      </c>
      <c r="H243">
        <v>78</v>
      </c>
      <c r="I243">
        <v>20</v>
      </c>
      <c r="J243">
        <v>11</v>
      </c>
      <c r="K243">
        <v>10</v>
      </c>
      <c r="L243" t="s">
        <v>44</v>
      </c>
      <c r="M243">
        <v>10.072403115162301</v>
      </c>
      <c r="N243" t="s">
        <v>37</v>
      </c>
      <c r="O243" t="s">
        <v>58</v>
      </c>
      <c r="P243">
        <f>VLOOKUP(O243, Coordinates!$A$2:$C$6, 2, FALSE)</f>
        <v>34.052199999999999</v>
      </c>
      <c r="Q243">
        <f>VLOOKUP(O243, Coordinates!$A$2:$C$6, 3, FALSE)</f>
        <v>-118.2437</v>
      </c>
      <c r="R243">
        <v>13</v>
      </c>
      <c r="S243">
        <v>547</v>
      </c>
      <c r="T243">
        <v>7</v>
      </c>
      <c r="U243">
        <v>80.108695177438605</v>
      </c>
      <c r="V243" t="s">
        <v>30</v>
      </c>
      <c r="W243">
        <v>2.12056163968554</v>
      </c>
      <c r="X243" t="s">
        <v>52</v>
      </c>
      <c r="Y243" t="s">
        <v>41</v>
      </c>
      <c r="Z243">
        <v>389.95988679999999</v>
      </c>
    </row>
    <row r="244" spans="1:26" x14ac:dyDescent="0.3">
      <c r="A244" t="s">
        <v>33</v>
      </c>
      <c r="B244" t="s">
        <v>300</v>
      </c>
      <c r="C244">
        <v>83.387413428280894</v>
      </c>
      <c r="D244">
        <v>80</v>
      </c>
      <c r="E244">
        <v>46</v>
      </c>
      <c r="F244">
        <v>9383.8154423973501</v>
      </c>
      <c r="G244" t="s">
        <v>54</v>
      </c>
      <c r="H244">
        <v>51</v>
      </c>
      <c r="I244">
        <v>17</v>
      </c>
      <c r="J244">
        <v>58</v>
      </c>
      <c r="K244">
        <v>5</v>
      </c>
      <c r="L244" t="s">
        <v>36</v>
      </c>
      <c r="M244">
        <v>2.0992481669999998</v>
      </c>
      <c r="N244" t="s">
        <v>37</v>
      </c>
      <c r="O244" t="s">
        <v>58</v>
      </c>
      <c r="P244">
        <f>VLOOKUP(O244, Coordinates!$A$2:$C$6, 2, FALSE)</f>
        <v>34.052199999999999</v>
      </c>
      <c r="Q244">
        <f>VLOOKUP(O244, Coordinates!$A$2:$C$6, 3, FALSE)</f>
        <v>-118.2437</v>
      </c>
      <c r="R244">
        <v>29</v>
      </c>
      <c r="S244">
        <v>325</v>
      </c>
      <c r="T244">
        <v>27</v>
      </c>
      <c r="U244">
        <v>36.834674695009603</v>
      </c>
      <c r="V244" t="s">
        <v>55</v>
      </c>
      <c r="W244">
        <v>1.7450529259521098E-2</v>
      </c>
      <c r="X244" t="s">
        <v>52</v>
      </c>
      <c r="Y244" t="s">
        <v>41</v>
      </c>
      <c r="Z244">
        <v>810.12271610062601</v>
      </c>
    </row>
    <row r="245" spans="1:26" x14ac:dyDescent="0.3">
      <c r="A245" t="s">
        <v>82</v>
      </c>
      <c r="B245" t="s">
        <v>301</v>
      </c>
      <c r="C245">
        <v>54.4281748072721</v>
      </c>
      <c r="D245">
        <v>78</v>
      </c>
      <c r="E245">
        <v>601</v>
      </c>
      <c r="F245">
        <v>6249.9961898966503</v>
      </c>
      <c r="G245" t="s">
        <v>54</v>
      </c>
      <c r="H245">
        <v>48</v>
      </c>
      <c r="I245">
        <v>11</v>
      </c>
      <c r="J245">
        <v>31</v>
      </c>
      <c r="K245">
        <v>3</v>
      </c>
      <c r="L245" t="s">
        <v>27</v>
      </c>
      <c r="M245">
        <v>5.8293356580429503</v>
      </c>
      <c r="N245" t="s">
        <v>45</v>
      </c>
      <c r="O245" t="s">
        <v>38</v>
      </c>
      <c r="P245">
        <f>VLOOKUP(O245, Coordinates!$A$2:$C$6, 2, FALSE)</f>
        <v>25.761700000000001</v>
      </c>
      <c r="Q245">
        <f>VLOOKUP(O245, Coordinates!$A$2:$C$6, 3, FALSE)</f>
        <v>-80.191800000000001</v>
      </c>
      <c r="R245">
        <v>25</v>
      </c>
      <c r="S245">
        <v>842</v>
      </c>
      <c r="T245">
        <v>21</v>
      </c>
      <c r="U245">
        <v>13.8292812343572</v>
      </c>
      <c r="V245" t="s">
        <v>39</v>
      </c>
      <c r="W245">
        <v>4.0053885503675799</v>
      </c>
      <c r="X245" t="s">
        <v>31</v>
      </c>
      <c r="Y245" t="s">
        <v>60</v>
      </c>
      <c r="Z245">
        <v>809.94424096197497</v>
      </c>
    </row>
    <row r="246" spans="1:26" x14ac:dyDescent="0.3">
      <c r="A246" t="s">
        <v>72</v>
      </c>
      <c r="B246" t="s">
        <v>302</v>
      </c>
      <c r="C246">
        <v>28.635732016505798</v>
      </c>
      <c r="D246">
        <v>29</v>
      </c>
      <c r="E246">
        <v>397</v>
      </c>
      <c r="F246">
        <v>10231.5470494975</v>
      </c>
      <c r="G246" t="s">
        <v>48</v>
      </c>
      <c r="H246">
        <v>5</v>
      </c>
      <c r="I246">
        <v>26</v>
      </c>
      <c r="J246">
        <v>38</v>
      </c>
      <c r="K246">
        <v>2</v>
      </c>
      <c r="L246" t="s">
        <v>27</v>
      </c>
      <c r="M246">
        <v>14.1680969551636</v>
      </c>
      <c r="N246" t="s">
        <v>45</v>
      </c>
      <c r="O246" t="s">
        <v>38</v>
      </c>
      <c r="P246">
        <f>VLOOKUP(O246, Coordinates!$A$2:$C$6, 2, FALSE)</f>
        <v>25.761700000000001</v>
      </c>
      <c r="Q246">
        <f>VLOOKUP(O246, Coordinates!$A$2:$C$6, 3, FALSE)</f>
        <v>-80.191800000000001</v>
      </c>
      <c r="R246">
        <v>26</v>
      </c>
      <c r="S246">
        <v>200</v>
      </c>
      <c r="T246">
        <v>9</v>
      </c>
      <c r="U246">
        <v>75.862043566613593</v>
      </c>
      <c r="V246" t="s">
        <v>39</v>
      </c>
      <c r="W246">
        <v>4.9333574104521301</v>
      </c>
      <c r="X246" t="s">
        <v>52</v>
      </c>
      <c r="Y246" t="s">
        <v>60</v>
      </c>
      <c r="Z246">
        <v>841.61071208021804</v>
      </c>
    </row>
    <row r="247" spans="1:26" x14ac:dyDescent="0.3">
      <c r="A247" t="s">
        <v>82</v>
      </c>
      <c r="B247" t="s">
        <v>303</v>
      </c>
      <c r="C247">
        <v>16.625791945891901</v>
      </c>
      <c r="D247">
        <v>26</v>
      </c>
      <c r="E247">
        <v>704</v>
      </c>
      <c r="F247">
        <v>5090.3445970000002</v>
      </c>
      <c r="G247" t="s">
        <v>54</v>
      </c>
      <c r="H247">
        <v>9</v>
      </c>
      <c r="I247">
        <v>12</v>
      </c>
      <c r="J247">
        <v>44</v>
      </c>
      <c r="K247">
        <v>2</v>
      </c>
      <c r="L247" t="s">
        <v>27</v>
      </c>
      <c r="M247">
        <v>1.4288996908860001</v>
      </c>
      <c r="N247" t="s">
        <v>37</v>
      </c>
      <c r="O247" t="s">
        <v>58</v>
      </c>
      <c r="P247">
        <f>VLOOKUP(O247, Coordinates!$A$2:$C$6, 2, FALSE)</f>
        <v>34.052199999999999</v>
      </c>
      <c r="Q247">
        <f>VLOOKUP(O247, Coordinates!$A$2:$C$6, 3, FALSE)</f>
        <v>-118.2437</v>
      </c>
      <c r="R247">
        <v>30</v>
      </c>
      <c r="S247">
        <v>838</v>
      </c>
      <c r="T247">
        <v>7</v>
      </c>
      <c r="U247">
        <v>76.092314047284901</v>
      </c>
      <c r="V247" t="s">
        <v>30</v>
      </c>
      <c r="W247">
        <v>3.3114314186459901</v>
      </c>
      <c r="X247" t="s">
        <v>31</v>
      </c>
      <c r="Y247" t="s">
        <v>60</v>
      </c>
      <c r="Z247">
        <v>270.51808984338101</v>
      </c>
    </row>
    <row r="248" spans="1:26" x14ac:dyDescent="0.3">
      <c r="A248" t="s">
        <v>61</v>
      </c>
      <c r="B248" t="s">
        <v>304</v>
      </c>
      <c r="C248">
        <v>74.873032616315996</v>
      </c>
      <c r="D248">
        <v>35</v>
      </c>
      <c r="E248">
        <v>627</v>
      </c>
      <c r="F248">
        <v>2883.58985377107</v>
      </c>
      <c r="G248" t="s">
        <v>35</v>
      </c>
      <c r="H248">
        <v>95</v>
      </c>
      <c r="I248">
        <v>3</v>
      </c>
      <c r="J248">
        <v>90</v>
      </c>
      <c r="K248">
        <v>5</v>
      </c>
      <c r="L248" t="s">
        <v>44</v>
      </c>
      <c r="M248">
        <v>11.5243863130832</v>
      </c>
      <c r="N248" t="s">
        <v>51</v>
      </c>
      <c r="O248" t="s">
        <v>65</v>
      </c>
      <c r="P248">
        <f>VLOOKUP(O248, Coordinates!$A$2:$C$6, 2, FALSE)</f>
        <v>41.878100000000003</v>
      </c>
      <c r="Q248">
        <f>VLOOKUP(O248, Coordinates!$A$2:$C$6, 3, FALSE)</f>
        <v>-87.629800000000003</v>
      </c>
      <c r="R248">
        <v>9</v>
      </c>
      <c r="S248">
        <v>393</v>
      </c>
      <c r="T248">
        <v>1</v>
      </c>
      <c r="U248">
        <v>96.726034947481807</v>
      </c>
      <c r="V248" t="s">
        <v>39</v>
      </c>
      <c r="W248">
        <v>1.6144545476625101</v>
      </c>
      <c r="X248" t="s">
        <v>52</v>
      </c>
      <c r="Y248" t="s">
        <v>60</v>
      </c>
      <c r="Z248">
        <v>966.55621082141499</v>
      </c>
    </row>
    <row r="249" spans="1:26" x14ac:dyDescent="0.3">
      <c r="A249" t="s">
        <v>33</v>
      </c>
      <c r="B249" t="s">
        <v>305</v>
      </c>
      <c r="C249">
        <v>27.406471918650201</v>
      </c>
      <c r="D249">
        <v>79</v>
      </c>
      <c r="E249">
        <v>787</v>
      </c>
      <c r="F249">
        <v>1033.4769473625299</v>
      </c>
      <c r="G249" t="s">
        <v>35</v>
      </c>
      <c r="H249">
        <v>22</v>
      </c>
      <c r="I249">
        <v>6</v>
      </c>
      <c r="J249">
        <v>85</v>
      </c>
      <c r="K249">
        <v>8</v>
      </c>
      <c r="L249" t="s">
        <v>36</v>
      </c>
      <c r="M249">
        <v>12.7792495259039</v>
      </c>
      <c r="N249" t="s">
        <v>37</v>
      </c>
      <c r="O249" t="s">
        <v>65</v>
      </c>
      <c r="P249">
        <f>VLOOKUP(O249, Coordinates!$A$2:$C$6, 2, FALSE)</f>
        <v>41.878100000000003</v>
      </c>
      <c r="Q249">
        <f>VLOOKUP(O249, Coordinates!$A$2:$C$6, 3, FALSE)</f>
        <v>-87.629800000000003</v>
      </c>
      <c r="R249">
        <v>27</v>
      </c>
      <c r="S249">
        <v>649</v>
      </c>
      <c r="T249">
        <v>1</v>
      </c>
      <c r="U249">
        <v>32.833500181764798</v>
      </c>
      <c r="V249" t="s">
        <v>55</v>
      </c>
      <c r="W249">
        <v>2.35195378280102</v>
      </c>
      <c r="X249" t="s">
        <v>40</v>
      </c>
      <c r="Y249" t="s">
        <v>32</v>
      </c>
      <c r="Z249">
        <v>347.30316512813999</v>
      </c>
    </row>
    <row r="250" spans="1:26" x14ac:dyDescent="0.3">
      <c r="A250" t="s">
        <v>33</v>
      </c>
      <c r="B250" t="s">
        <v>306</v>
      </c>
      <c r="C250">
        <v>40.285090177939303</v>
      </c>
      <c r="D250">
        <v>67</v>
      </c>
      <c r="E250">
        <v>999</v>
      </c>
      <c r="F250">
        <v>3173.5560417045499</v>
      </c>
      <c r="G250" t="s">
        <v>54</v>
      </c>
      <c r="H250">
        <v>16</v>
      </c>
      <c r="I250">
        <v>30</v>
      </c>
      <c r="J250">
        <v>33</v>
      </c>
      <c r="K250">
        <v>8</v>
      </c>
      <c r="L250" t="s">
        <v>44</v>
      </c>
      <c r="M250">
        <v>4.8788501558485002</v>
      </c>
      <c r="N250" t="s">
        <v>28</v>
      </c>
      <c r="O250" t="s">
        <v>29</v>
      </c>
      <c r="P250">
        <f>VLOOKUP(O250, Coordinates!$A$2:$C$6, 2, FALSE)</f>
        <v>29.760400000000001</v>
      </c>
      <c r="Q250">
        <f>VLOOKUP(O250, Coordinates!$A$2:$C$6, 3, FALSE)</f>
        <v>-95.369799999999998</v>
      </c>
      <c r="R250">
        <v>14</v>
      </c>
      <c r="S250">
        <v>164</v>
      </c>
      <c r="T250">
        <v>6</v>
      </c>
      <c r="U250">
        <v>17.445258118380099</v>
      </c>
      <c r="V250" t="s">
        <v>30</v>
      </c>
      <c r="W250">
        <v>2.7364258384809199</v>
      </c>
      <c r="X250" t="s">
        <v>40</v>
      </c>
      <c r="Y250" t="s">
        <v>60</v>
      </c>
      <c r="Z250">
        <v>799.13329633507203</v>
      </c>
    </row>
    <row r="251" spans="1:26" x14ac:dyDescent="0.3">
      <c r="A251" t="s">
        <v>72</v>
      </c>
      <c r="B251" t="s">
        <v>307</v>
      </c>
      <c r="C251">
        <v>39.802279084193103</v>
      </c>
      <c r="D251">
        <v>87</v>
      </c>
      <c r="E251">
        <v>445</v>
      </c>
      <c r="F251">
        <v>15940.812773219301</v>
      </c>
      <c r="G251" t="s">
        <v>26</v>
      </c>
      <c r="H251">
        <v>83</v>
      </c>
      <c r="I251">
        <v>11</v>
      </c>
      <c r="J251">
        <v>39</v>
      </c>
      <c r="K251">
        <v>5</v>
      </c>
      <c r="L251" t="s">
        <v>27</v>
      </c>
      <c r="M251">
        <v>4.0060011732773697</v>
      </c>
      <c r="N251" t="s">
        <v>37</v>
      </c>
      <c r="O251" t="s">
        <v>58</v>
      </c>
      <c r="P251">
        <f>VLOOKUP(O251, Coordinates!$A$2:$C$6, 2, FALSE)</f>
        <v>34.052199999999999</v>
      </c>
      <c r="Q251">
        <f>VLOOKUP(O251, Coordinates!$A$2:$C$6, 3, FALSE)</f>
        <v>-118.2437</v>
      </c>
      <c r="R251">
        <v>12</v>
      </c>
      <c r="S251">
        <v>598</v>
      </c>
      <c r="T251">
        <v>25</v>
      </c>
      <c r="U251">
        <v>86.059234817139</v>
      </c>
      <c r="V251" t="s">
        <v>30</v>
      </c>
      <c r="W251">
        <v>2.04230028647777</v>
      </c>
      <c r="X251" t="s">
        <v>46</v>
      </c>
      <c r="Y251" t="s">
        <v>32</v>
      </c>
      <c r="Z251">
        <v>246.07530965829801</v>
      </c>
    </row>
    <row r="252" spans="1:26" x14ac:dyDescent="0.3">
      <c r="A252" t="s">
        <v>24</v>
      </c>
      <c r="B252" t="s">
        <v>308</v>
      </c>
      <c r="C252">
        <v>22.569817851704698</v>
      </c>
      <c r="D252">
        <v>29</v>
      </c>
      <c r="E252">
        <v>841</v>
      </c>
      <c r="F252">
        <v>17083.095131955299</v>
      </c>
      <c r="G252" t="s">
        <v>35</v>
      </c>
      <c r="H252">
        <v>43</v>
      </c>
      <c r="I252">
        <v>29</v>
      </c>
      <c r="J252">
        <v>93</v>
      </c>
      <c r="K252">
        <v>2</v>
      </c>
      <c r="L252" t="s">
        <v>44</v>
      </c>
      <c r="M252">
        <v>13.807492510206799</v>
      </c>
      <c r="N252" t="s">
        <v>37</v>
      </c>
      <c r="O252" t="s">
        <v>58</v>
      </c>
      <c r="P252">
        <f>VLOOKUP(O252, Coordinates!$A$2:$C$6, 2, FALSE)</f>
        <v>34.052199999999999</v>
      </c>
      <c r="Q252">
        <f>VLOOKUP(O252, Coordinates!$A$2:$C$6, 3, FALSE)</f>
        <v>-118.2437</v>
      </c>
      <c r="R252">
        <v>4</v>
      </c>
      <c r="S252">
        <v>175</v>
      </c>
      <c r="T252">
        <v>1</v>
      </c>
      <c r="U252">
        <v>93.610342715237607</v>
      </c>
      <c r="V252" t="s">
        <v>30</v>
      </c>
      <c r="W252">
        <v>3.8718439359108401</v>
      </c>
      <c r="X252" t="s">
        <v>31</v>
      </c>
      <c r="Y252" t="s">
        <v>41</v>
      </c>
      <c r="Z252">
        <v>931.80435269999998</v>
      </c>
    </row>
    <row r="253" spans="1:26" x14ac:dyDescent="0.3">
      <c r="A253" t="s">
        <v>61</v>
      </c>
      <c r="B253" t="s">
        <v>309</v>
      </c>
      <c r="C253">
        <v>77.825909777306094</v>
      </c>
      <c r="D253">
        <v>34</v>
      </c>
      <c r="E253">
        <v>621</v>
      </c>
      <c r="F253">
        <v>5036.3670520237001</v>
      </c>
      <c r="G253" t="s">
        <v>35</v>
      </c>
      <c r="H253">
        <v>40</v>
      </c>
      <c r="I253">
        <v>13</v>
      </c>
      <c r="J253">
        <v>51</v>
      </c>
      <c r="K253">
        <v>4</v>
      </c>
      <c r="L253" t="s">
        <v>44</v>
      </c>
      <c r="M253">
        <v>11.696023736730099</v>
      </c>
      <c r="N253" t="s">
        <v>51</v>
      </c>
      <c r="O253" t="s">
        <v>38</v>
      </c>
      <c r="P253">
        <f>VLOOKUP(O253, Coordinates!$A$2:$C$6, 2, FALSE)</f>
        <v>25.761700000000001</v>
      </c>
      <c r="Q253">
        <f>VLOOKUP(O253, Coordinates!$A$2:$C$6, 3, FALSE)</f>
        <v>-80.191800000000001</v>
      </c>
      <c r="R253">
        <v>8</v>
      </c>
      <c r="S253">
        <v>803</v>
      </c>
      <c r="T253">
        <v>16</v>
      </c>
      <c r="U253">
        <v>74.937830259149294</v>
      </c>
      <c r="V253" t="s">
        <v>55</v>
      </c>
      <c r="W253">
        <v>4.6535320479999998</v>
      </c>
      <c r="X253" t="s">
        <v>40</v>
      </c>
      <c r="Y253" t="s">
        <v>41</v>
      </c>
      <c r="Z253">
        <v>485.06076793814901</v>
      </c>
    </row>
    <row r="254" spans="1:26" x14ac:dyDescent="0.3">
      <c r="A254" t="s">
        <v>49</v>
      </c>
      <c r="B254" t="s">
        <v>310</v>
      </c>
      <c r="C254">
        <v>74.693503854019596</v>
      </c>
      <c r="D254">
        <v>97</v>
      </c>
      <c r="E254">
        <v>510</v>
      </c>
      <c r="F254">
        <v>9825.8339760764393</v>
      </c>
      <c r="G254" t="s">
        <v>54</v>
      </c>
      <c r="H254">
        <v>14</v>
      </c>
      <c r="I254">
        <v>11</v>
      </c>
      <c r="J254">
        <v>80</v>
      </c>
      <c r="K254">
        <v>7</v>
      </c>
      <c r="L254" t="s">
        <v>27</v>
      </c>
      <c r="M254">
        <v>2.5873299344980301</v>
      </c>
      <c r="N254" t="s">
        <v>45</v>
      </c>
      <c r="O254" t="s">
        <v>38</v>
      </c>
      <c r="P254">
        <f>VLOOKUP(O254, Coordinates!$A$2:$C$6, 2, FALSE)</f>
        <v>25.761700000000001</v>
      </c>
      <c r="Q254">
        <f>VLOOKUP(O254, Coordinates!$A$2:$C$6, 3, FALSE)</f>
        <v>-80.191800000000001</v>
      </c>
      <c r="R254">
        <v>25</v>
      </c>
      <c r="S254">
        <v>734</v>
      </c>
      <c r="T254">
        <v>3</v>
      </c>
      <c r="U254">
        <v>15.459367404490999</v>
      </c>
      <c r="V254" t="s">
        <v>55</v>
      </c>
      <c r="W254">
        <v>4.4365445634727196</v>
      </c>
      <c r="X254" t="s">
        <v>31</v>
      </c>
      <c r="Y254" t="s">
        <v>60</v>
      </c>
      <c r="Z254">
        <v>701.78810670086</v>
      </c>
    </row>
    <row r="255" spans="1:26" x14ac:dyDescent="0.3">
      <c r="A255" t="s">
        <v>82</v>
      </c>
      <c r="B255" t="s">
        <v>311</v>
      </c>
      <c r="C255">
        <v>33.447133496729201</v>
      </c>
      <c r="D255">
        <v>41</v>
      </c>
      <c r="E255">
        <v>922</v>
      </c>
      <c r="F255">
        <v>4152.4513360239398</v>
      </c>
      <c r="G255" t="s">
        <v>54</v>
      </c>
      <c r="H255">
        <v>43</v>
      </c>
      <c r="I255">
        <v>8</v>
      </c>
      <c r="J255">
        <v>59</v>
      </c>
      <c r="K255">
        <v>6</v>
      </c>
      <c r="L255" t="s">
        <v>36</v>
      </c>
      <c r="M255">
        <v>3.9707615772296401</v>
      </c>
      <c r="N255" t="s">
        <v>45</v>
      </c>
      <c r="O255" t="s">
        <v>38</v>
      </c>
      <c r="P255">
        <f>VLOOKUP(O255, Coordinates!$A$2:$C$6, 2, FALSE)</f>
        <v>25.761700000000001</v>
      </c>
      <c r="Q255">
        <f>VLOOKUP(O255, Coordinates!$A$2:$C$6, 3, FALSE)</f>
        <v>-80.191800000000001</v>
      </c>
      <c r="R255">
        <v>30</v>
      </c>
      <c r="S255">
        <v>224</v>
      </c>
      <c r="T255">
        <v>13</v>
      </c>
      <c r="U255">
        <v>78.452632447854995</v>
      </c>
      <c r="V255" t="s">
        <v>55</v>
      </c>
      <c r="W255">
        <v>4.2248004814162501</v>
      </c>
      <c r="X255" t="s">
        <v>40</v>
      </c>
      <c r="Y255" t="s">
        <v>41</v>
      </c>
      <c r="Z255">
        <v>865.172639141849</v>
      </c>
    </row>
    <row r="256" spans="1:26" x14ac:dyDescent="0.3">
      <c r="A256" t="s">
        <v>42</v>
      </c>
      <c r="B256" t="s">
        <v>312</v>
      </c>
      <c r="C256">
        <v>21.480607055265899</v>
      </c>
      <c r="D256">
        <v>41</v>
      </c>
      <c r="E256">
        <v>324</v>
      </c>
      <c r="F256">
        <v>5069.6464542409703</v>
      </c>
      <c r="G256" t="s">
        <v>48</v>
      </c>
      <c r="H256">
        <v>57</v>
      </c>
      <c r="I256">
        <v>29</v>
      </c>
      <c r="J256">
        <v>80</v>
      </c>
      <c r="K256">
        <v>10</v>
      </c>
      <c r="L256" t="s">
        <v>36</v>
      </c>
      <c r="M256">
        <v>9.6989721698957592</v>
      </c>
      <c r="N256" t="s">
        <v>28</v>
      </c>
      <c r="O256" t="s">
        <v>58</v>
      </c>
      <c r="P256">
        <f>VLOOKUP(O256, Coordinates!$A$2:$C$6, 2, FALSE)</f>
        <v>34.052199999999999</v>
      </c>
      <c r="Q256">
        <f>VLOOKUP(O256, Coordinates!$A$2:$C$6, 3, FALSE)</f>
        <v>-118.2437</v>
      </c>
      <c r="R256">
        <v>5</v>
      </c>
      <c r="S256">
        <v>126</v>
      </c>
      <c r="T256">
        <v>21</v>
      </c>
      <c r="U256">
        <v>21.4323307423426</v>
      </c>
      <c r="V256" t="s">
        <v>30</v>
      </c>
      <c r="W256">
        <v>0.64335570450322499</v>
      </c>
      <c r="X256" t="s">
        <v>46</v>
      </c>
      <c r="Y256" t="s">
        <v>32</v>
      </c>
      <c r="Z256">
        <v>354.14786450000003</v>
      </c>
    </row>
    <row r="257" spans="1:26" x14ac:dyDescent="0.3">
      <c r="A257" t="s">
        <v>82</v>
      </c>
      <c r="B257" t="s">
        <v>313</v>
      </c>
      <c r="C257">
        <v>65.5675601246718</v>
      </c>
      <c r="D257">
        <v>23</v>
      </c>
      <c r="E257">
        <v>557</v>
      </c>
      <c r="F257">
        <v>2201.6399621753699</v>
      </c>
      <c r="G257" t="s">
        <v>35</v>
      </c>
      <c r="H257">
        <v>85</v>
      </c>
      <c r="I257">
        <v>10</v>
      </c>
      <c r="J257">
        <v>69</v>
      </c>
      <c r="K257">
        <v>7</v>
      </c>
      <c r="L257" t="s">
        <v>44</v>
      </c>
      <c r="M257">
        <v>6.8718370045564896</v>
      </c>
      <c r="N257" t="s">
        <v>37</v>
      </c>
      <c r="O257" t="s">
        <v>29</v>
      </c>
      <c r="P257">
        <f>VLOOKUP(O257, Coordinates!$A$2:$C$6, 2, FALSE)</f>
        <v>29.760400000000001</v>
      </c>
      <c r="Q257">
        <f>VLOOKUP(O257, Coordinates!$A$2:$C$6, 3, FALSE)</f>
        <v>-95.369799999999998</v>
      </c>
      <c r="R257">
        <v>3</v>
      </c>
      <c r="S257">
        <v>714</v>
      </c>
      <c r="T257">
        <v>4</v>
      </c>
      <c r="U257">
        <v>72.602771323744307</v>
      </c>
      <c r="V257" t="s">
        <v>30</v>
      </c>
      <c r="W257">
        <v>0.40138591624803799</v>
      </c>
      <c r="X257" t="s">
        <v>31</v>
      </c>
      <c r="Y257" t="s">
        <v>32</v>
      </c>
      <c r="Z257">
        <v>450.09641126173102</v>
      </c>
    </row>
    <row r="258" spans="1:26" x14ac:dyDescent="0.3">
      <c r="A258" t="s">
        <v>82</v>
      </c>
      <c r="B258" t="s">
        <v>314</v>
      </c>
      <c r="C258">
        <v>52.135806490755797</v>
      </c>
      <c r="D258">
        <v>71</v>
      </c>
      <c r="E258">
        <v>219</v>
      </c>
      <c r="F258">
        <v>1431.61959193288</v>
      </c>
      <c r="G258" t="s">
        <v>54</v>
      </c>
      <c r="H258">
        <v>49</v>
      </c>
      <c r="I258">
        <v>2</v>
      </c>
      <c r="J258">
        <v>39</v>
      </c>
      <c r="K258">
        <v>5</v>
      </c>
      <c r="L258" t="s">
        <v>36</v>
      </c>
      <c r="M258">
        <v>8.0584411861305902</v>
      </c>
      <c r="N258" t="s">
        <v>57</v>
      </c>
      <c r="O258" t="s">
        <v>29</v>
      </c>
      <c r="P258">
        <f>VLOOKUP(O258, Coordinates!$A$2:$C$6, 2, FALSE)</f>
        <v>29.760400000000001</v>
      </c>
      <c r="Q258">
        <f>VLOOKUP(O258, Coordinates!$A$2:$C$6, 3, FALSE)</f>
        <v>-95.369799999999998</v>
      </c>
      <c r="R258">
        <v>4</v>
      </c>
      <c r="S258">
        <v>375</v>
      </c>
      <c r="T258">
        <v>17</v>
      </c>
      <c r="U258">
        <v>57.910874306806399</v>
      </c>
      <c r="V258" t="s">
        <v>55</v>
      </c>
      <c r="W258">
        <v>4.7791572636106396</v>
      </c>
      <c r="X258" t="s">
        <v>40</v>
      </c>
      <c r="Y258" t="s">
        <v>60</v>
      </c>
      <c r="Z258">
        <v>382.0502869</v>
      </c>
    </row>
    <row r="259" spans="1:26" x14ac:dyDescent="0.3">
      <c r="A259" t="s">
        <v>49</v>
      </c>
      <c r="B259" t="s">
        <v>315</v>
      </c>
      <c r="C259">
        <v>21.9339843559409</v>
      </c>
      <c r="D259">
        <v>3</v>
      </c>
      <c r="E259">
        <v>75</v>
      </c>
      <c r="F259">
        <v>7978.6856313324497</v>
      </c>
      <c r="G259" t="s">
        <v>54</v>
      </c>
      <c r="H259">
        <v>51</v>
      </c>
      <c r="I259">
        <v>24</v>
      </c>
      <c r="J259">
        <v>21</v>
      </c>
      <c r="K259">
        <v>2</v>
      </c>
      <c r="L259" t="s">
        <v>27</v>
      </c>
      <c r="M259">
        <v>14.321594091431701</v>
      </c>
      <c r="N259" t="s">
        <v>28</v>
      </c>
      <c r="O259" t="s">
        <v>29</v>
      </c>
      <c r="P259">
        <f>VLOOKUP(O259, Coordinates!$A$2:$C$6, 2, FALSE)</f>
        <v>29.760400000000001</v>
      </c>
      <c r="Q259">
        <f>VLOOKUP(O259, Coordinates!$A$2:$C$6, 3, FALSE)</f>
        <v>-95.369799999999998</v>
      </c>
      <c r="R259">
        <v>8</v>
      </c>
      <c r="S259">
        <v>671</v>
      </c>
      <c r="T259">
        <v>10</v>
      </c>
      <c r="U259">
        <v>95.993931742053405</v>
      </c>
      <c r="V259" t="s">
        <v>30</v>
      </c>
      <c r="W259">
        <v>2.446488907</v>
      </c>
      <c r="X259" t="s">
        <v>31</v>
      </c>
      <c r="Y259" t="s">
        <v>60</v>
      </c>
      <c r="Z259">
        <v>354.58346263019598</v>
      </c>
    </row>
    <row r="260" spans="1:26" x14ac:dyDescent="0.3">
      <c r="A260" t="s">
        <v>82</v>
      </c>
      <c r="B260" t="s">
        <v>316</v>
      </c>
      <c r="C260">
        <v>70.161570749736995</v>
      </c>
      <c r="D260">
        <v>58</v>
      </c>
      <c r="E260">
        <v>572</v>
      </c>
      <c r="F260">
        <v>6136.1485756477996</v>
      </c>
      <c r="G260" t="s">
        <v>48</v>
      </c>
      <c r="H260">
        <v>69</v>
      </c>
      <c r="I260">
        <v>14</v>
      </c>
      <c r="J260">
        <v>58</v>
      </c>
      <c r="K260">
        <v>8</v>
      </c>
      <c r="L260" t="s">
        <v>36</v>
      </c>
      <c r="M260">
        <v>6.8832964846876301</v>
      </c>
      <c r="N260" t="s">
        <v>45</v>
      </c>
      <c r="O260" t="s">
        <v>38</v>
      </c>
      <c r="P260">
        <f>VLOOKUP(O260, Coordinates!$A$2:$C$6, 2, FALSE)</f>
        <v>25.761700000000001</v>
      </c>
      <c r="Q260">
        <f>VLOOKUP(O260, Coordinates!$A$2:$C$6, 3, FALSE)</f>
        <v>-80.191800000000001</v>
      </c>
      <c r="R260">
        <v>26</v>
      </c>
      <c r="S260">
        <v>779</v>
      </c>
      <c r="T260">
        <v>4</v>
      </c>
      <c r="U260">
        <v>13.322587876960799</v>
      </c>
      <c r="V260" t="s">
        <v>39</v>
      </c>
      <c r="W260">
        <v>4.0064952683497603</v>
      </c>
      <c r="X260" t="s">
        <v>46</v>
      </c>
      <c r="Y260" t="s">
        <v>60</v>
      </c>
      <c r="Z260">
        <v>559.27130481685299</v>
      </c>
    </row>
    <row r="261" spans="1:26" x14ac:dyDescent="0.3">
      <c r="A261" t="s">
        <v>61</v>
      </c>
      <c r="B261" t="s">
        <v>317</v>
      </c>
      <c r="C261">
        <v>99.157011023023799</v>
      </c>
      <c r="D261">
        <v>32</v>
      </c>
      <c r="E261">
        <v>923</v>
      </c>
      <c r="F261">
        <v>7846.3432543950503</v>
      </c>
      <c r="G261" t="s">
        <v>35</v>
      </c>
      <c r="H261">
        <v>67</v>
      </c>
      <c r="I261">
        <v>29</v>
      </c>
      <c r="J261">
        <v>91</v>
      </c>
      <c r="K261">
        <v>2</v>
      </c>
      <c r="L261" t="s">
        <v>44</v>
      </c>
      <c r="M261">
        <v>13.3435479413997</v>
      </c>
      <c r="N261" t="s">
        <v>51</v>
      </c>
      <c r="O261" t="s">
        <v>65</v>
      </c>
      <c r="P261">
        <f>VLOOKUP(O261, Coordinates!$A$2:$C$6, 2, FALSE)</f>
        <v>41.878100000000003</v>
      </c>
      <c r="Q261">
        <f>VLOOKUP(O261, Coordinates!$A$2:$C$6, 3, FALSE)</f>
        <v>-87.629800000000003</v>
      </c>
      <c r="R261">
        <v>11</v>
      </c>
      <c r="S261">
        <v>182</v>
      </c>
      <c r="T261">
        <v>20</v>
      </c>
      <c r="U261">
        <v>36.284387122005199</v>
      </c>
      <c r="V261" t="s">
        <v>30</v>
      </c>
      <c r="W261">
        <v>2.8497855660854401</v>
      </c>
      <c r="X261" t="s">
        <v>46</v>
      </c>
      <c r="Y261" t="s">
        <v>32</v>
      </c>
      <c r="Z261">
        <v>592.07049433748</v>
      </c>
    </row>
    <row r="262" spans="1:26" x14ac:dyDescent="0.3">
      <c r="A262" t="s">
        <v>61</v>
      </c>
      <c r="B262" t="s">
        <v>318</v>
      </c>
      <c r="C262">
        <v>75.985860835493497</v>
      </c>
      <c r="D262">
        <v>31</v>
      </c>
      <c r="E262">
        <v>240</v>
      </c>
      <c r="F262">
        <v>2348.7651899789598</v>
      </c>
      <c r="G262" t="s">
        <v>54</v>
      </c>
      <c r="H262">
        <v>62</v>
      </c>
      <c r="I262">
        <v>16</v>
      </c>
      <c r="J262">
        <v>55</v>
      </c>
      <c r="K262">
        <v>8</v>
      </c>
      <c r="L262" t="s">
        <v>27</v>
      </c>
      <c r="M262">
        <v>10.250426061248</v>
      </c>
      <c r="N262" t="s">
        <v>45</v>
      </c>
      <c r="O262" t="s">
        <v>38</v>
      </c>
      <c r="P262">
        <f>VLOOKUP(O262, Coordinates!$A$2:$C$6, 2, FALSE)</f>
        <v>25.761700000000001</v>
      </c>
      <c r="Q262">
        <f>VLOOKUP(O262, Coordinates!$A$2:$C$6, 3, FALSE)</f>
        <v>-80.191800000000001</v>
      </c>
      <c r="R262">
        <v>30</v>
      </c>
      <c r="S262">
        <v>585</v>
      </c>
      <c r="T262">
        <v>27</v>
      </c>
      <c r="U262">
        <v>16.2558025600819</v>
      </c>
      <c r="V262" t="s">
        <v>39</v>
      </c>
      <c r="W262">
        <v>3.8586871052200502</v>
      </c>
      <c r="X262" t="s">
        <v>40</v>
      </c>
      <c r="Y262" t="s">
        <v>60</v>
      </c>
      <c r="Z262">
        <v>169.14047967101899</v>
      </c>
    </row>
    <row r="263" spans="1:26" x14ac:dyDescent="0.3">
      <c r="A263" t="s">
        <v>33</v>
      </c>
      <c r="B263" t="s">
        <v>319</v>
      </c>
      <c r="C263">
        <v>75.298706735133095</v>
      </c>
      <c r="D263">
        <v>82</v>
      </c>
      <c r="E263">
        <v>285</v>
      </c>
      <c r="F263">
        <v>6146.4589406442101</v>
      </c>
      <c r="G263" t="s">
        <v>48</v>
      </c>
      <c r="H263">
        <v>57</v>
      </c>
      <c r="I263">
        <v>17</v>
      </c>
      <c r="J263">
        <v>52</v>
      </c>
      <c r="K263">
        <v>7</v>
      </c>
      <c r="L263" t="s">
        <v>27</v>
      </c>
      <c r="M263">
        <v>2.7026724219897802</v>
      </c>
      <c r="N263" t="s">
        <v>45</v>
      </c>
      <c r="O263" t="s">
        <v>38</v>
      </c>
      <c r="P263">
        <f>VLOOKUP(O263, Coordinates!$A$2:$C$6, 2, FALSE)</f>
        <v>25.761700000000001</v>
      </c>
      <c r="Q263">
        <f>VLOOKUP(O263, Coordinates!$A$2:$C$6, 3, FALSE)</f>
        <v>-80.191800000000001</v>
      </c>
      <c r="R263">
        <v>25</v>
      </c>
      <c r="S263">
        <v>562</v>
      </c>
      <c r="T263">
        <v>12</v>
      </c>
      <c r="U263">
        <v>89.127787171574695</v>
      </c>
      <c r="V263" t="s">
        <v>55</v>
      </c>
      <c r="W263">
        <v>4.4750312035269504</v>
      </c>
      <c r="X263" t="s">
        <v>52</v>
      </c>
      <c r="Y263" t="s">
        <v>32</v>
      </c>
      <c r="Z263">
        <v>705.96357439631095</v>
      </c>
    </row>
    <row r="264" spans="1:26" x14ac:dyDescent="0.3">
      <c r="A264" t="s">
        <v>72</v>
      </c>
      <c r="B264" t="s">
        <v>320</v>
      </c>
      <c r="C264">
        <v>29.507064455771602</v>
      </c>
      <c r="D264">
        <v>43</v>
      </c>
      <c r="E264">
        <v>991</v>
      </c>
      <c r="F264">
        <v>26317.3507881027</v>
      </c>
      <c r="G264" t="s">
        <v>54</v>
      </c>
      <c r="H264">
        <v>22</v>
      </c>
      <c r="I264">
        <v>11</v>
      </c>
      <c r="J264">
        <v>11</v>
      </c>
      <c r="K264">
        <v>3</v>
      </c>
      <c r="L264" t="s">
        <v>27</v>
      </c>
      <c r="M264">
        <v>11.423098513068</v>
      </c>
      <c r="N264" t="s">
        <v>51</v>
      </c>
      <c r="O264" t="s">
        <v>58</v>
      </c>
      <c r="P264">
        <f>VLOOKUP(O264, Coordinates!$A$2:$C$6, 2, FALSE)</f>
        <v>34.052199999999999</v>
      </c>
      <c r="Q264">
        <f>VLOOKUP(O264, Coordinates!$A$2:$C$6, 3, FALSE)</f>
        <v>-118.2437</v>
      </c>
      <c r="R264">
        <v>27</v>
      </c>
      <c r="S264">
        <v>105</v>
      </c>
      <c r="T264">
        <v>26</v>
      </c>
      <c r="U264">
        <v>76.7492101212938</v>
      </c>
      <c r="V264" t="s">
        <v>55</v>
      </c>
      <c r="W264">
        <v>3.12329796939955</v>
      </c>
      <c r="X264" t="s">
        <v>46</v>
      </c>
      <c r="Y264" t="s">
        <v>32</v>
      </c>
      <c r="Z264">
        <v>478.00118080841497</v>
      </c>
    </row>
    <row r="265" spans="1:26" x14ac:dyDescent="0.3">
      <c r="A265" t="s">
        <v>24</v>
      </c>
      <c r="B265" t="s">
        <v>321</v>
      </c>
      <c r="C265">
        <v>28.637567205536001</v>
      </c>
      <c r="D265">
        <v>7</v>
      </c>
      <c r="E265">
        <v>621</v>
      </c>
      <c r="F265">
        <v>16005.536311174001</v>
      </c>
      <c r="G265" t="s">
        <v>26</v>
      </c>
      <c r="H265">
        <v>43</v>
      </c>
      <c r="I265">
        <v>2</v>
      </c>
      <c r="J265">
        <v>84</v>
      </c>
      <c r="K265">
        <v>4</v>
      </c>
      <c r="L265" t="s">
        <v>44</v>
      </c>
      <c r="M265">
        <v>8.2829270353884006</v>
      </c>
      <c r="N265" t="s">
        <v>37</v>
      </c>
      <c r="O265" t="s">
        <v>29</v>
      </c>
      <c r="P265">
        <f>VLOOKUP(O265, Coordinates!$A$2:$C$6, 2, FALSE)</f>
        <v>29.760400000000001</v>
      </c>
      <c r="Q265">
        <f>VLOOKUP(O265, Coordinates!$A$2:$C$6, 3, FALSE)</f>
        <v>-95.369799999999998</v>
      </c>
      <c r="R265">
        <v>30</v>
      </c>
      <c r="S265">
        <v>775</v>
      </c>
      <c r="T265">
        <v>13</v>
      </c>
      <c r="U265">
        <v>77.4638513073441</v>
      </c>
      <c r="V265" t="s">
        <v>30</v>
      </c>
      <c r="W265">
        <v>4.3463491443499702</v>
      </c>
      <c r="X265" t="s">
        <v>52</v>
      </c>
      <c r="Y265" t="s">
        <v>41</v>
      </c>
      <c r="Z265">
        <v>900.57640610232897</v>
      </c>
    </row>
    <row r="266" spans="1:26" x14ac:dyDescent="0.3">
      <c r="A266" t="s">
        <v>42</v>
      </c>
      <c r="B266" t="s">
        <v>322</v>
      </c>
      <c r="C266">
        <v>58.727246667536797</v>
      </c>
      <c r="D266">
        <v>1</v>
      </c>
      <c r="E266">
        <v>906</v>
      </c>
      <c r="F266">
        <v>1103.73412647686</v>
      </c>
      <c r="G266" t="s">
        <v>26</v>
      </c>
      <c r="H266">
        <v>82</v>
      </c>
      <c r="I266">
        <v>24</v>
      </c>
      <c r="J266">
        <v>89</v>
      </c>
      <c r="K266">
        <v>8</v>
      </c>
      <c r="L266" t="s">
        <v>44</v>
      </c>
      <c r="M266">
        <v>4.1513615049999997</v>
      </c>
      <c r="N266" t="s">
        <v>37</v>
      </c>
      <c r="O266" t="s">
        <v>65</v>
      </c>
      <c r="P266">
        <f>VLOOKUP(O266, Coordinates!$A$2:$C$6, 2, FALSE)</f>
        <v>41.878100000000003</v>
      </c>
      <c r="Q266">
        <f>VLOOKUP(O266, Coordinates!$A$2:$C$6, 3, FALSE)</f>
        <v>-87.629800000000003</v>
      </c>
      <c r="R266">
        <v>2</v>
      </c>
      <c r="S266">
        <v>467</v>
      </c>
      <c r="T266">
        <v>4</v>
      </c>
      <c r="U266">
        <v>21.831210290467801</v>
      </c>
      <c r="V266" t="s">
        <v>30</v>
      </c>
      <c r="W266">
        <v>1.54069913465415E-2</v>
      </c>
      <c r="X266" t="s">
        <v>46</v>
      </c>
      <c r="Y266" t="s">
        <v>41</v>
      </c>
      <c r="Z266">
        <v>857.13595264545302</v>
      </c>
    </row>
    <row r="267" spans="1:26" x14ac:dyDescent="0.3">
      <c r="A267" t="s">
        <v>82</v>
      </c>
      <c r="B267" t="s">
        <v>323</v>
      </c>
      <c r="C267">
        <v>98.066437928218903</v>
      </c>
      <c r="D267">
        <v>61</v>
      </c>
      <c r="E267">
        <v>891</v>
      </c>
      <c r="F267">
        <v>2173.0665121216398</v>
      </c>
      <c r="G267" t="s">
        <v>54</v>
      </c>
      <c r="H267">
        <v>94</v>
      </c>
      <c r="I267">
        <v>23</v>
      </c>
      <c r="J267">
        <v>63</v>
      </c>
      <c r="K267">
        <v>4</v>
      </c>
      <c r="L267" t="s">
        <v>36</v>
      </c>
      <c r="M267">
        <v>5.05369052315217</v>
      </c>
      <c r="N267" t="s">
        <v>45</v>
      </c>
      <c r="O267" t="s">
        <v>38</v>
      </c>
      <c r="P267">
        <f>VLOOKUP(O267, Coordinates!$A$2:$C$6, 2, FALSE)</f>
        <v>25.761700000000001</v>
      </c>
      <c r="Q267">
        <f>VLOOKUP(O267, Coordinates!$A$2:$C$6, 3, FALSE)</f>
        <v>-80.191800000000001</v>
      </c>
      <c r="R267">
        <v>27</v>
      </c>
      <c r="S267">
        <v>570</v>
      </c>
      <c r="T267">
        <v>16</v>
      </c>
      <c r="U267">
        <v>54.012903158174502</v>
      </c>
      <c r="V267" t="s">
        <v>55</v>
      </c>
      <c r="W267">
        <v>4.3880434433905204</v>
      </c>
      <c r="X267" t="s">
        <v>40</v>
      </c>
      <c r="Y267" t="s">
        <v>60</v>
      </c>
      <c r="Z267">
        <v>748.08350503703105</v>
      </c>
    </row>
    <row r="268" spans="1:26" x14ac:dyDescent="0.3">
      <c r="A268" t="s">
        <v>82</v>
      </c>
      <c r="B268" t="s">
        <v>324</v>
      </c>
      <c r="C268">
        <v>20.702940542166498</v>
      </c>
      <c r="D268">
        <v>14</v>
      </c>
      <c r="E268">
        <v>166</v>
      </c>
      <c r="F268">
        <v>3783.41300349725</v>
      </c>
      <c r="G268" t="s">
        <v>35</v>
      </c>
      <c r="H268">
        <v>43</v>
      </c>
      <c r="I268">
        <v>5</v>
      </c>
      <c r="J268">
        <v>44</v>
      </c>
      <c r="K268">
        <v>9</v>
      </c>
      <c r="L268" t="s">
        <v>44</v>
      </c>
      <c r="M268">
        <v>8.8026539465105103</v>
      </c>
      <c r="N268" t="s">
        <v>28</v>
      </c>
      <c r="O268" t="s">
        <v>58</v>
      </c>
      <c r="P268">
        <f>VLOOKUP(O268, Coordinates!$A$2:$C$6, 2, FALSE)</f>
        <v>34.052199999999999</v>
      </c>
      <c r="Q268">
        <f>VLOOKUP(O268, Coordinates!$A$2:$C$6, 3, FALSE)</f>
        <v>-118.2437</v>
      </c>
      <c r="R268">
        <v>7</v>
      </c>
      <c r="S268">
        <v>813</v>
      </c>
      <c r="T268">
        <v>19</v>
      </c>
      <c r="U268">
        <v>45.883328965823303</v>
      </c>
      <c r="V268" t="s">
        <v>30</v>
      </c>
      <c r="W268">
        <v>0.481352714593897</v>
      </c>
      <c r="X268" t="s">
        <v>52</v>
      </c>
      <c r="Y268" t="s">
        <v>60</v>
      </c>
      <c r="Z268">
        <v>868.404869204649</v>
      </c>
    </row>
    <row r="269" spans="1:26" x14ac:dyDescent="0.3">
      <c r="A269" t="s">
        <v>49</v>
      </c>
      <c r="B269" t="s">
        <v>325</v>
      </c>
      <c r="C269">
        <v>71.523936147229406</v>
      </c>
      <c r="D269">
        <v>52</v>
      </c>
      <c r="E269">
        <v>195</v>
      </c>
      <c r="F269">
        <v>2051.9088453184499</v>
      </c>
      <c r="G269" t="s">
        <v>26</v>
      </c>
      <c r="H269">
        <v>51</v>
      </c>
      <c r="I269">
        <v>29</v>
      </c>
      <c r="J269">
        <v>61</v>
      </c>
      <c r="K269">
        <v>7</v>
      </c>
      <c r="L269" t="s">
        <v>27</v>
      </c>
      <c r="M269">
        <v>9.4238348620410992</v>
      </c>
      <c r="N269" t="s">
        <v>57</v>
      </c>
      <c r="O269" t="s">
        <v>67</v>
      </c>
      <c r="P269">
        <f>VLOOKUP(O269, Coordinates!$A$2:$C$6, 2, FALSE)</f>
        <v>40.712800000000001</v>
      </c>
      <c r="Q269">
        <f>VLOOKUP(O269, Coordinates!$A$2:$C$6, 3, FALSE)</f>
        <v>-74.006</v>
      </c>
      <c r="R269">
        <v>1</v>
      </c>
      <c r="S269">
        <v>548</v>
      </c>
      <c r="T269">
        <v>7</v>
      </c>
      <c r="U269">
        <v>38.417668132511999</v>
      </c>
      <c r="V269" t="s">
        <v>39</v>
      </c>
      <c r="W269">
        <v>0.485488507795312</v>
      </c>
      <c r="X269" t="s">
        <v>31</v>
      </c>
      <c r="Y269" t="s">
        <v>60</v>
      </c>
      <c r="Z269">
        <v>930.26267818128895</v>
      </c>
    </row>
    <row r="270" spans="1:26" x14ac:dyDescent="0.3">
      <c r="A270" t="s">
        <v>72</v>
      </c>
      <c r="B270" t="s">
        <v>326</v>
      </c>
      <c r="C270">
        <v>36.199889365824198</v>
      </c>
      <c r="D270">
        <v>96</v>
      </c>
      <c r="E270">
        <v>13</v>
      </c>
      <c r="F270">
        <v>423.53870558014302</v>
      </c>
      <c r="G270" t="s">
        <v>48</v>
      </c>
      <c r="H270">
        <v>66</v>
      </c>
      <c r="I270">
        <v>16</v>
      </c>
      <c r="J270">
        <v>42</v>
      </c>
      <c r="K270">
        <v>1</v>
      </c>
      <c r="L270" t="s">
        <v>44</v>
      </c>
      <c r="M270">
        <v>14.554469656412699</v>
      </c>
      <c r="N270" t="s">
        <v>28</v>
      </c>
      <c r="O270" t="s">
        <v>29</v>
      </c>
      <c r="P270">
        <f>VLOOKUP(O270, Coordinates!$A$2:$C$6, 2, FALSE)</f>
        <v>29.760400000000001</v>
      </c>
      <c r="Q270">
        <f>VLOOKUP(O270, Coordinates!$A$2:$C$6, 3, FALSE)</f>
        <v>-95.369799999999998</v>
      </c>
      <c r="R270">
        <v>29</v>
      </c>
      <c r="S270">
        <v>788</v>
      </c>
      <c r="T270">
        <v>1</v>
      </c>
      <c r="U270">
        <v>82.743665660000005</v>
      </c>
      <c r="V270" t="s">
        <v>30</v>
      </c>
      <c r="W270">
        <v>4.7288870656995199</v>
      </c>
      <c r="X270" t="s">
        <v>46</v>
      </c>
      <c r="Y270" t="s">
        <v>60</v>
      </c>
      <c r="Z270">
        <v>619.59598327533797</v>
      </c>
    </row>
    <row r="271" spans="1:26" x14ac:dyDescent="0.3">
      <c r="A271" t="s">
        <v>61</v>
      </c>
      <c r="B271" t="s">
        <v>327</v>
      </c>
      <c r="C271">
        <v>60.715513757927098</v>
      </c>
      <c r="D271">
        <v>6</v>
      </c>
      <c r="E271">
        <v>64</v>
      </c>
      <c r="F271">
        <v>3777.6938367155499</v>
      </c>
      <c r="G271" t="s">
        <v>54</v>
      </c>
      <c r="H271">
        <v>27</v>
      </c>
      <c r="I271">
        <v>16</v>
      </c>
      <c r="J271">
        <v>94</v>
      </c>
      <c r="K271">
        <v>1</v>
      </c>
      <c r="L271" t="s">
        <v>44</v>
      </c>
      <c r="M271">
        <v>12.966081909748301</v>
      </c>
      <c r="N271" t="s">
        <v>28</v>
      </c>
      <c r="O271" t="s">
        <v>65</v>
      </c>
      <c r="P271">
        <f>VLOOKUP(O271, Coordinates!$A$2:$C$6, 2, FALSE)</f>
        <v>41.878100000000003</v>
      </c>
      <c r="Q271">
        <f>VLOOKUP(O271, Coordinates!$A$2:$C$6, 3, FALSE)</f>
        <v>-87.629800000000003</v>
      </c>
      <c r="R271">
        <v>2</v>
      </c>
      <c r="S271">
        <v>469</v>
      </c>
      <c r="T271">
        <v>16</v>
      </c>
      <c r="U271">
        <v>15.51484358501</v>
      </c>
      <c r="V271" t="s">
        <v>55</v>
      </c>
      <c r="W271">
        <v>4.6804146725752602</v>
      </c>
      <c r="X271" t="s">
        <v>40</v>
      </c>
      <c r="Y271" t="s">
        <v>32</v>
      </c>
      <c r="Z271">
        <v>974.71572325224497</v>
      </c>
    </row>
    <row r="272" spans="1:26" x14ac:dyDescent="0.3">
      <c r="A272" t="s">
        <v>42</v>
      </c>
      <c r="B272" t="s">
        <v>328</v>
      </c>
      <c r="C272">
        <v>71.278709614407106</v>
      </c>
      <c r="D272">
        <v>10</v>
      </c>
      <c r="E272">
        <v>897</v>
      </c>
      <c r="F272">
        <v>2172.9155203209498</v>
      </c>
      <c r="G272" t="s">
        <v>48</v>
      </c>
      <c r="H272">
        <v>66</v>
      </c>
      <c r="I272">
        <v>26</v>
      </c>
      <c r="J272">
        <v>93</v>
      </c>
      <c r="K272">
        <v>4</v>
      </c>
      <c r="L272" t="s">
        <v>36</v>
      </c>
      <c r="M272">
        <v>3.88175001793386</v>
      </c>
      <c r="N272" t="s">
        <v>45</v>
      </c>
      <c r="O272" t="s">
        <v>38</v>
      </c>
      <c r="P272">
        <f>VLOOKUP(O272, Coordinates!$A$2:$C$6, 2, FALSE)</f>
        <v>25.761700000000001</v>
      </c>
      <c r="Q272">
        <f>VLOOKUP(O272, Coordinates!$A$2:$C$6, 3, FALSE)</f>
        <v>-80.191800000000001</v>
      </c>
      <c r="R272">
        <v>25</v>
      </c>
      <c r="S272">
        <v>439</v>
      </c>
      <c r="T272">
        <v>2</v>
      </c>
      <c r="U272">
        <v>68.201715462598102</v>
      </c>
      <c r="V272" t="s">
        <v>39</v>
      </c>
      <c r="W272">
        <v>4.0368692309999998</v>
      </c>
      <c r="X272" t="s">
        <v>31</v>
      </c>
      <c r="Y272" t="s">
        <v>60</v>
      </c>
      <c r="Z272">
        <v>959.85897525092605</v>
      </c>
    </row>
    <row r="273" spans="1:26" x14ac:dyDescent="0.3">
      <c r="A273" t="s">
        <v>33</v>
      </c>
      <c r="B273" t="s">
        <v>329</v>
      </c>
      <c r="C273">
        <v>93.313607669999996</v>
      </c>
      <c r="D273">
        <v>71</v>
      </c>
      <c r="E273">
        <v>821</v>
      </c>
      <c r="F273">
        <v>2791.7408154516102</v>
      </c>
      <c r="G273" t="s">
        <v>26</v>
      </c>
      <c r="H273">
        <v>77</v>
      </c>
      <c r="I273">
        <v>2</v>
      </c>
      <c r="J273">
        <v>81</v>
      </c>
      <c r="K273">
        <v>9</v>
      </c>
      <c r="L273" t="s">
        <v>27</v>
      </c>
      <c r="M273">
        <v>11.835888987940001</v>
      </c>
      <c r="N273" t="s">
        <v>45</v>
      </c>
      <c r="O273" t="s">
        <v>38</v>
      </c>
      <c r="P273">
        <f>VLOOKUP(O273, Coordinates!$A$2:$C$6, 2, FALSE)</f>
        <v>25.761700000000001</v>
      </c>
      <c r="Q273">
        <f>VLOOKUP(O273, Coordinates!$A$2:$C$6, 3, FALSE)</f>
        <v>-80.191800000000001</v>
      </c>
      <c r="R273">
        <v>25</v>
      </c>
      <c r="S273">
        <v>767</v>
      </c>
      <c r="T273">
        <v>1</v>
      </c>
      <c r="U273">
        <v>84.069372808199006</v>
      </c>
      <c r="V273" t="s">
        <v>55</v>
      </c>
      <c r="W273">
        <v>4.8766651195151702</v>
      </c>
      <c r="X273" t="s">
        <v>52</v>
      </c>
      <c r="Y273" t="s">
        <v>41</v>
      </c>
      <c r="Z273">
        <v>198.89439809637</v>
      </c>
    </row>
    <row r="274" spans="1:26" x14ac:dyDescent="0.3">
      <c r="A274" t="s">
        <v>61</v>
      </c>
      <c r="B274" t="s">
        <v>330</v>
      </c>
      <c r="C274">
        <v>79.345284289999995</v>
      </c>
      <c r="D274">
        <v>90</v>
      </c>
      <c r="E274">
        <v>229</v>
      </c>
      <c r="F274">
        <v>6289.32905507328</v>
      </c>
      <c r="G274" t="s">
        <v>35</v>
      </c>
      <c r="H274">
        <v>17</v>
      </c>
      <c r="I274">
        <v>16</v>
      </c>
      <c r="J274">
        <v>60</v>
      </c>
      <c r="K274">
        <v>4</v>
      </c>
      <c r="L274" t="s">
        <v>36</v>
      </c>
      <c r="M274">
        <v>1.11608531412303</v>
      </c>
      <c r="N274" t="s">
        <v>57</v>
      </c>
      <c r="O274" t="s">
        <v>29</v>
      </c>
      <c r="P274">
        <f>VLOOKUP(O274, Coordinates!$A$2:$C$6, 2, FALSE)</f>
        <v>29.760400000000001</v>
      </c>
      <c r="Q274">
        <f>VLOOKUP(O274, Coordinates!$A$2:$C$6, 3, FALSE)</f>
        <v>-95.369799999999998</v>
      </c>
      <c r="R274">
        <v>13</v>
      </c>
      <c r="S274">
        <v>377</v>
      </c>
      <c r="T274">
        <v>14</v>
      </c>
      <c r="U274">
        <v>91.657655457429101</v>
      </c>
      <c r="V274" t="s">
        <v>55</v>
      </c>
      <c r="W274">
        <v>4.2398522317885101</v>
      </c>
      <c r="X274" t="s">
        <v>40</v>
      </c>
      <c r="Y274" t="s">
        <v>60</v>
      </c>
      <c r="Z274">
        <v>570.47953279940498</v>
      </c>
    </row>
    <row r="275" spans="1:26" x14ac:dyDescent="0.3">
      <c r="A275" t="s">
        <v>72</v>
      </c>
      <c r="B275" t="s">
        <v>331</v>
      </c>
      <c r="C275">
        <v>23.241713880038201</v>
      </c>
      <c r="D275">
        <v>98</v>
      </c>
      <c r="E275">
        <v>823</v>
      </c>
      <c r="F275">
        <v>17215.137470944301</v>
      </c>
      <c r="G275" t="s">
        <v>48</v>
      </c>
      <c r="H275">
        <v>26</v>
      </c>
      <c r="I275">
        <v>25</v>
      </c>
      <c r="J275">
        <v>35</v>
      </c>
      <c r="K275">
        <v>5</v>
      </c>
      <c r="L275" t="s">
        <v>36</v>
      </c>
      <c r="M275">
        <v>2.8173184563120102</v>
      </c>
      <c r="N275" t="s">
        <v>57</v>
      </c>
      <c r="O275" t="s">
        <v>38</v>
      </c>
      <c r="P275">
        <f>VLOOKUP(O275, Coordinates!$A$2:$C$6, 2, FALSE)</f>
        <v>25.761700000000001</v>
      </c>
      <c r="Q275">
        <f>VLOOKUP(O275, Coordinates!$A$2:$C$6, 3, FALSE)</f>
        <v>-80.191800000000001</v>
      </c>
      <c r="R275">
        <v>11</v>
      </c>
      <c r="S275">
        <v>439</v>
      </c>
      <c r="T275">
        <v>20</v>
      </c>
      <c r="U275">
        <v>89.712485214696599</v>
      </c>
      <c r="V275" t="s">
        <v>55</v>
      </c>
      <c r="W275">
        <v>0.29204369045283701</v>
      </c>
      <c r="X275" t="s">
        <v>31</v>
      </c>
      <c r="Y275" t="s">
        <v>32</v>
      </c>
      <c r="Z275">
        <v>203.020717897682</v>
      </c>
    </row>
    <row r="276" spans="1:26" x14ac:dyDescent="0.3">
      <c r="A276" t="s">
        <v>24</v>
      </c>
      <c r="B276" t="s">
        <v>332</v>
      </c>
      <c r="C276">
        <v>24.4302013796963</v>
      </c>
      <c r="D276">
        <v>30</v>
      </c>
      <c r="E276">
        <v>704</v>
      </c>
      <c r="F276">
        <v>15478.975594175599</v>
      </c>
      <c r="G276" t="s">
        <v>26</v>
      </c>
      <c r="H276">
        <v>50</v>
      </c>
      <c r="I276">
        <v>5</v>
      </c>
      <c r="J276">
        <v>71</v>
      </c>
      <c r="K276">
        <v>1</v>
      </c>
      <c r="L276" t="s">
        <v>36</v>
      </c>
      <c r="M276">
        <v>3.7958058249279598</v>
      </c>
      <c r="N276" t="s">
        <v>57</v>
      </c>
      <c r="O276" t="s">
        <v>29</v>
      </c>
      <c r="P276">
        <f>VLOOKUP(O276, Coordinates!$A$2:$C$6, 2, FALSE)</f>
        <v>29.760400000000001</v>
      </c>
      <c r="Q276">
        <f>VLOOKUP(O276, Coordinates!$A$2:$C$6, 3, FALSE)</f>
        <v>-95.369799999999998</v>
      </c>
      <c r="R276">
        <v>3</v>
      </c>
      <c r="S276">
        <v>914</v>
      </c>
      <c r="T276">
        <v>5</v>
      </c>
      <c r="U276">
        <v>87.092438741506896</v>
      </c>
      <c r="V276" t="s">
        <v>39</v>
      </c>
      <c r="W276">
        <v>0.597428965506142</v>
      </c>
      <c r="X276" t="s">
        <v>40</v>
      </c>
      <c r="Y276" t="s">
        <v>41</v>
      </c>
      <c r="Z276">
        <v>715.72020846086798</v>
      </c>
    </row>
    <row r="277" spans="1:26" x14ac:dyDescent="0.3">
      <c r="A277" t="s">
        <v>33</v>
      </c>
      <c r="B277" t="s">
        <v>333</v>
      </c>
      <c r="C277">
        <v>26.426426339999999</v>
      </c>
      <c r="D277">
        <v>100</v>
      </c>
      <c r="E277">
        <v>586</v>
      </c>
      <c r="F277">
        <v>9653.4971131343209</v>
      </c>
      <c r="G277" t="s">
        <v>26</v>
      </c>
      <c r="H277">
        <v>59</v>
      </c>
      <c r="I277">
        <v>8</v>
      </c>
      <c r="J277">
        <v>70</v>
      </c>
      <c r="K277">
        <v>2</v>
      </c>
      <c r="L277" t="s">
        <v>27</v>
      </c>
      <c r="M277">
        <v>9.3607909370000009</v>
      </c>
      <c r="N277" t="s">
        <v>45</v>
      </c>
      <c r="O277" t="s">
        <v>38</v>
      </c>
      <c r="P277">
        <f>VLOOKUP(O277, Coordinates!$A$2:$C$6, 2, FALSE)</f>
        <v>25.761700000000001</v>
      </c>
      <c r="Q277">
        <f>VLOOKUP(O277, Coordinates!$A$2:$C$6, 3, FALSE)</f>
        <v>-80.191800000000001</v>
      </c>
      <c r="R277">
        <v>28</v>
      </c>
      <c r="S277">
        <v>713</v>
      </c>
      <c r="T277">
        <v>27</v>
      </c>
      <c r="U277">
        <v>64.045671447133302</v>
      </c>
      <c r="V277" t="s">
        <v>55</v>
      </c>
      <c r="W277">
        <v>4.6427058429360804</v>
      </c>
      <c r="X277" t="s">
        <v>52</v>
      </c>
      <c r="Y277" t="s">
        <v>41</v>
      </c>
      <c r="Z277">
        <v>788.74820729148905</v>
      </c>
    </row>
    <row r="278" spans="1:26" x14ac:dyDescent="0.3">
      <c r="A278" t="s">
        <v>24</v>
      </c>
      <c r="B278" t="s">
        <v>334</v>
      </c>
      <c r="C278">
        <v>23.511065712447699</v>
      </c>
      <c r="D278">
        <v>21</v>
      </c>
      <c r="E278">
        <v>809</v>
      </c>
      <c r="F278">
        <v>17118.406945233201</v>
      </c>
      <c r="G278" t="s">
        <v>26</v>
      </c>
      <c r="H278">
        <v>73</v>
      </c>
      <c r="I278">
        <v>29</v>
      </c>
      <c r="J278">
        <v>35</v>
      </c>
      <c r="K278">
        <v>4</v>
      </c>
      <c r="L278" t="s">
        <v>36</v>
      </c>
      <c r="M278">
        <v>3.7255900882026101</v>
      </c>
      <c r="N278" t="s">
        <v>45</v>
      </c>
      <c r="O278" t="s">
        <v>38</v>
      </c>
      <c r="P278">
        <f>VLOOKUP(O278, Coordinates!$A$2:$C$6, 2, FALSE)</f>
        <v>25.761700000000001</v>
      </c>
      <c r="Q278">
        <f>VLOOKUP(O278, Coordinates!$A$2:$C$6, 3, FALSE)</f>
        <v>-80.191800000000001</v>
      </c>
      <c r="R278">
        <v>27</v>
      </c>
      <c r="S278">
        <v>179</v>
      </c>
      <c r="T278">
        <v>15</v>
      </c>
      <c r="U278">
        <v>84.1591898066346</v>
      </c>
      <c r="V278" t="s">
        <v>39</v>
      </c>
      <c r="W278">
        <v>3.8901010653053598</v>
      </c>
      <c r="X278" t="s">
        <v>31</v>
      </c>
      <c r="Y278" t="s">
        <v>60</v>
      </c>
      <c r="Z278">
        <v>896.21016961625901</v>
      </c>
    </row>
    <row r="279" spans="1:26" x14ac:dyDescent="0.3">
      <c r="A279" t="s">
        <v>49</v>
      </c>
      <c r="B279" t="s">
        <v>335</v>
      </c>
      <c r="C279">
        <v>48.864617293176302</v>
      </c>
      <c r="D279">
        <v>60</v>
      </c>
      <c r="E279">
        <v>291</v>
      </c>
      <c r="F279">
        <v>5050.8574173177303</v>
      </c>
      <c r="G279" t="s">
        <v>48</v>
      </c>
      <c r="H279">
        <v>48</v>
      </c>
      <c r="I279">
        <v>20</v>
      </c>
      <c r="J279">
        <v>46</v>
      </c>
      <c r="K279">
        <v>4</v>
      </c>
      <c r="L279" t="s">
        <v>27</v>
      </c>
      <c r="M279">
        <v>6.1138211880000002</v>
      </c>
      <c r="N279" t="s">
        <v>28</v>
      </c>
      <c r="O279" t="s">
        <v>67</v>
      </c>
      <c r="P279">
        <f>VLOOKUP(O279, Coordinates!$A$2:$C$6, 2, FALSE)</f>
        <v>40.712800000000001</v>
      </c>
      <c r="Q279">
        <f>VLOOKUP(O279, Coordinates!$A$2:$C$6, 3, FALSE)</f>
        <v>-74.006</v>
      </c>
      <c r="R279">
        <v>1</v>
      </c>
      <c r="S279">
        <v>805</v>
      </c>
      <c r="T279">
        <v>10</v>
      </c>
      <c r="U279">
        <v>20.535456137029801</v>
      </c>
      <c r="V279" t="s">
        <v>39</v>
      </c>
      <c r="W279">
        <v>2.3611627138325502</v>
      </c>
      <c r="X279" t="s">
        <v>46</v>
      </c>
      <c r="Y279" t="s">
        <v>41</v>
      </c>
      <c r="Z279">
        <v>685.00858464713394</v>
      </c>
    </row>
    <row r="280" spans="1:26" x14ac:dyDescent="0.3">
      <c r="A280" t="s">
        <v>49</v>
      </c>
      <c r="B280" t="s">
        <v>336</v>
      </c>
      <c r="C280">
        <v>50.6860700715416</v>
      </c>
      <c r="D280">
        <v>81</v>
      </c>
      <c r="E280">
        <v>998</v>
      </c>
      <c r="F280">
        <v>1199.2100592654699</v>
      </c>
      <c r="G280" t="s">
        <v>26</v>
      </c>
      <c r="H280">
        <v>14</v>
      </c>
      <c r="I280">
        <v>14</v>
      </c>
      <c r="J280">
        <v>39</v>
      </c>
      <c r="K280">
        <v>10</v>
      </c>
      <c r="L280" t="s">
        <v>36</v>
      </c>
      <c r="M280">
        <v>4.3989169499891103</v>
      </c>
      <c r="N280" t="s">
        <v>45</v>
      </c>
      <c r="O280" t="s">
        <v>38</v>
      </c>
      <c r="P280">
        <f>VLOOKUP(O280, Coordinates!$A$2:$C$6, 2, FALSE)</f>
        <v>25.761700000000001</v>
      </c>
      <c r="Q280">
        <f>VLOOKUP(O280, Coordinates!$A$2:$C$6, 3, FALSE)</f>
        <v>-80.191800000000001</v>
      </c>
      <c r="R280">
        <v>26</v>
      </c>
      <c r="S280">
        <v>892</v>
      </c>
      <c r="T280">
        <v>21</v>
      </c>
      <c r="U280">
        <v>67.476172792466301</v>
      </c>
      <c r="V280" t="s">
        <v>39</v>
      </c>
      <c r="W280">
        <v>4.9150489586119601</v>
      </c>
      <c r="X280" t="s">
        <v>46</v>
      </c>
      <c r="Y280" t="s">
        <v>41</v>
      </c>
      <c r="Z280">
        <v>508.59349797886603</v>
      </c>
    </row>
    <row r="281" spans="1:26" x14ac:dyDescent="0.3">
      <c r="A281" t="s">
        <v>82</v>
      </c>
      <c r="B281" t="s">
        <v>337</v>
      </c>
      <c r="C281">
        <v>46.34213793</v>
      </c>
      <c r="D281">
        <v>97</v>
      </c>
      <c r="E281">
        <v>173</v>
      </c>
      <c r="F281">
        <v>6766.3920225449901</v>
      </c>
      <c r="G281" t="s">
        <v>54</v>
      </c>
      <c r="H281">
        <v>82</v>
      </c>
      <c r="I281">
        <v>25</v>
      </c>
      <c r="J281">
        <v>20</v>
      </c>
      <c r="K281">
        <v>6</v>
      </c>
      <c r="L281" t="s">
        <v>36</v>
      </c>
      <c r="M281">
        <v>5.7238327413194803</v>
      </c>
      <c r="N281" t="s">
        <v>37</v>
      </c>
      <c r="O281" t="s">
        <v>38</v>
      </c>
      <c r="P281">
        <f>VLOOKUP(O281, Coordinates!$A$2:$C$6, 2, FALSE)</f>
        <v>25.761700000000001</v>
      </c>
      <c r="Q281">
        <f>VLOOKUP(O281, Coordinates!$A$2:$C$6, 3, FALSE)</f>
        <v>-80.191800000000001</v>
      </c>
      <c r="R281">
        <v>3</v>
      </c>
      <c r="S281">
        <v>702</v>
      </c>
      <c r="T281">
        <v>2</v>
      </c>
      <c r="U281">
        <v>86.599688912578202</v>
      </c>
      <c r="V281" t="s">
        <v>39</v>
      </c>
      <c r="W281">
        <v>1.14632714826903</v>
      </c>
      <c r="X281" t="s">
        <v>40</v>
      </c>
      <c r="Y281" t="s">
        <v>60</v>
      </c>
      <c r="Z281">
        <v>240.34328979294699</v>
      </c>
    </row>
    <row r="282" spans="1:26" x14ac:dyDescent="0.3">
      <c r="A282" t="s">
        <v>24</v>
      </c>
      <c r="B282" t="s">
        <v>338</v>
      </c>
      <c r="C282">
        <v>23.332597213743199</v>
      </c>
      <c r="D282">
        <v>74</v>
      </c>
      <c r="E282">
        <v>66</v>
      </c>
      <c r="F282">
        <v>1385.95627449634</v>
      </c>
      <c r="G282" t="s">
        <v>26</v>
      </c>
      <c r="H282">
        <v>72</v>
      </c>
      <c r="I282">
        <v>10</v>
      </c>
      <c r="J282">
        <v>62</v>
      </c>
      <c r="K282">
        <v>6</v>
      </c>
      <c r="L282" t="s">
        <v>27</v>
      </c>
      <c r="M282">
        <v>14.194320226276901</v>
      </c>
      <c r="N282" t="s">
        <v>37</v>
      </c>
      <c r="O282" t="s">
        <v>29</v>
      </c>
      <c r="P282">
        <f>VLOOKUP(O282, Coordinates!$A$2:$C$6, 2, FALSE)</f>
        <v>29.760400000000001</v>
      </c>
      <c r="Q282">
        <f>VLOOKUP(O282, Coordinates!$A$2:$C$6, 3, FALSE)</f>
        <v>-95.369799999999998</v>
      </c>
      <c r="R282">
        <v>22</v>
      </c>
      <c r="S282">
        <v>166</v>
      </c>
      <c r="T282">
        <v>11</v>
      </c>
      <c r="U282">
        <v>94.854917818753904</v>
      </c>
      <c r="V282" t="s">
        <v>39</v>
      </c>
      <c r="W282">
        <v>3.2419374058676298</v>
      </c>
      <c r="X282" t="s">
        <v>46</v>
      </c>
      <c r="Y282" t="s">
        <v>60</v>
      </c>
      <c r="Z282">
        <v>212.59358353218801</v>
      </c>
    </row>
    <row r="283" spans="1:26" x14ac:dyDescent="0.3">
      <c r="A283" t="s">
        <v>72</v>
      </c>
      <c r="B283" t="s">
        <v>339</v>
      </c>
      <c r="C283">
        <v>25.155740359625302</v>
      </c>
      <c r="D283">
        <v>63</v>
      </c>
      <c r="E283">
        <v>353</v>
      </c>
      <c r="F283">
        <v>7991.9787122529797</v>
      </c>
      <c r="G283" t="s">
        <v>54</v>
      </c>
      <c r="H283">
        <v>67</v>
      </c>
      <c r="I283">
        <v>23</v>
      </c>
      <c r="J283">
        <v>50</v>
      </c>
      <c r="K283">
        <v>8</v>
      </c>
      <c r="L283" t="s">
        <v>44</v>
      </c>
      <c r="M283">
        <v>14.963268936336</v>
      </c>
      <c r="N283" t="s">
        <v>57</v>
      </c>
      <c r="O283" t="s">
        <v>65</v>
      </c>
      <c r="P283">
        <f>VLOOKUP(O283, Coordinates!$A$2:$C$6, 2, FALSE)</f>
        <v>41.878100000000003</v>
      </c>
      <c r="Q283">
        <f>VLOOKUP(O283, Coordinates!$A$2:$C$6, 3, FALSE)</f>
        <v>-87.629800000000003</v>
      </c>
      <c r="R283">
        <v>16</v>
      </c>
      <c r="S283">
        <v>314</v>
      </c>
      <c r="T283">
        <v>16</v>
      </c>
      <c r="U283">
        <v>78.715865663098796</v>
      </c>
      <c r="V283" t="s">
        <v>30</v>
      </c>
      <c r="W283">
        <v>4.4392107703113197</v>
      </c>
      <c r="X283" t="s">
        <v>52</v>
      </c>
      <c r="Y283" t="s">
        <v>32</v>
      </c>
      <c r="Z283">
        <v>537.10055978240496</v>
      </c>
    </row>
    <row r="284" spans="1:26" x14ac:dyDescent="0.3">
      <c r="A284" t="s">
        <v>42</v>
      </c>
      <c r="B284" t="s">
        <v>340</v>
      </c>
      <c r="C284">
        <v>64.961211370000001</v>
      </c>
      <c r="D284">
        <v>42</v>
      </c>
      <c r="E284">
        <v>446</v>
      </c>
      <c r="F284">
        <v>2861.5339955494701</v>
      </c>
      <c r="G284" t="s">
        <v>35</v>
      </c>
      <c r="H284">
        <v>14</v>
      </c>
      <c r="I284">
        <v>2</v>
      </c>
      <c r="J284">
        <v>14</v>
      </c>
      <c r="K284">
        <v>9</v>
      </c>
      <c r="L284" t="s">
        <v>36</v>
      </c>
      <c r="M284">
        <v>10.6001094876975</v>
      </c>
      <c r="N284" t="s">
        <v>45</v>
      </c>
      <c r="O284" t="s">
        <v>38</v>
      </c>
      <c r="P284">
        <f>VLOOKUP(O284, Coordinates!$A$2:$C$6, 2, FALSE)</f>
        <v>25.761700000000001</v>
      </c>
      <c r="Q284">
        <f>VLOOKUP(O284, Coordinates!$A$2:$C$6, 3, FALSE)</f>
        <v>-80.191800000000001</v>
      </c>
      <c r="R284">
        <v>26</v>
      </c>
      <c r="S284">
        <v>515</v>
      </c>
      <c r="T284">
        <v>19</v>
      </c>
      <c r="U284">
        <v>60.904657668642102</v>
      </c>
      <c r="V284" t="s">
        <v>55</v>
      </c>
      <c r="W284">
        <v>4.6333086371999403</v>
      </c>
      <c r="X284" t="s">
        <v>52</v>
      </c>
      <c r="Y284" t="s">
        <v>41</v>
      </c>
      <c r="Z284">
        <v>849.29293160049804</v>
      </c>
    </row>
    <row r="285" spans="1:26" x14ac:dyDescent="0.3">
      <c r="A285" t="s">
        <v>33</v>
      </c>
      <c r="B285" t="s">
        <v>341</v>
      </c>
      <c r="C285">
        <v>9.7349926393794401</v>
      </c>
      <c r="D285">
        <v>51</v>
      </c>
      <c r="E285">
        <v>18</v>
      </c>
      <c r="F285">
        <v>6886.2076989288398</v>
      </c>
      <c r="G285" t="s">
        <v>54</v>
      </c>
      <c r="H285">
        <v>50</v>
      </c>
      <c r="I285">
        <v>3</v>
      </c>
      <c r="J285">
        <v>75</v>
      </c>
      <c r="K285">
        <v>1</v>
      </c>
      <c r="L285" t="s">
        <v>44</v>
      </c>
      <c r="M285">
        <v>9.0123102003795292</v>
      </c>
      <c r="N285" t="s">
        <v>37</v>
      </c>
      <c r="O285" t="s">
        <v>58</v>
      </c>
      <c r="P285">
        <f>VLOOKUP(O285, Coordinates!$A$2:$C$6, 2, FALSE)</f>
        <v>34.052199999999999</v>
      </c>
      <c r="Q285">
        <f>VLOOKUP(O285, Coordinates!$A$2:$C$6, 3, FALSE)</f>
        <v>-118.2437</v>
      </c>
      <c r="R285">
        <v>24</v>
      </c>
      <c r="S285">
        <v>244</v>
      </c>
      <c r="T285">
        <v>4</v>
      </c>
      <c r="U285">
        <v>29.639067491740601</v>
      </c>
      <c r="V285" t="s">
        <v>30</v>
      </c>
      <c r="W285">
        <v>3.09592969884942</v>
      </c>
      <c r="X285" t="s">
        <v>31</v>
      </c>
      <c r="Y285" t="s">
        <v>60</v>
      </c>
      <c r="Z285">
        <v>775.64685734584498</v>
      </c>
    </row>
    <row r="286" spans="1:26" x14ac:dyDescent="0.3">
      <c r="A286" t="s">
        <v>61</v>
      </c>
      <c r="B286" t="s">
        <v>342</v>
      </c>
      <c r="C286">
        <v>90.871766370000003</v>
      </c>
      <c r="D286">
        <v>64</v>
      </c>
      <c r="E286">
        <v>168</v>
      </c>
      <c r="F286">
        <v>4745.9532790000003</v>
      </c>
      <c r="G286" t="s">
        <v>35</v>
      </c>
      <c r="H286">
        <v>47</v>
      </c>
      <c r="I286">
        <v>30</v>
      </c>
      <c r="J286">
        <v>22</v>
      </c>
      <c r="K286">
        <v>1</v>
      </c>
      <c r="L286" t="s">
        <v>36</v>
      </c>
      <c r="M286">
        <v>10.9182698414279</v>
      </c>
      <c r="N286" t="s">
        <v>28</v>
      </c>
      <c r="O286" t="s">
        <v>65</v>
      </c>
      <c r="P286">
        <f>VLOOKUP(O286, Coordinates!$A$2:$C$6, 2, FALSE)</f>
        <v>41.878100000000003</v>
      </c>
      <c r="Q286">
        <f>VLOOKUP(O286, Coordinates!$A$2:$C$6, 3, FALSE)</f>
        <v>-87.629800000000003</v>
      </c>
      <c r="R286">
        <v>6</v>
      </c>
      <c r="S286">
        <v>651</v>
      </c>
      <c r="T286">
        <v>10</v>
      </c>
      <c r="U286">
        <v>65.063631049999998</v>
      </c>
      <c r="V286" t="s">
        <v>30</v>
      </c>
      <c r="W286">
        <v>1.6597448205591101</v>
      </c>
      <c r="X286" t="s">
        <v>31</v>
      </c>
      <c r="Y286" t="s">
        <v>41</v>
      </c>
      <c r="Z286">
        <v>892.72158517291098</v>
      </c>
    </row>
    <row r="287" spans="1:26" x14ac:dyDescent="0.3">
      <c r="A287" t="s">
        <v>72</v>
      </c>
      <c r="B287" t="s">
        <v>343</v>
      </c>
      <c r="C287">
        <v>30.564417397501899</v>
      </c>
      <c r="D287">
        <v>76</v>
      </c>
      <c r="E287">
        <v>424</v>
      </c>
      <c r="F287">
        <v>11663.381678886701</v>
      </c>
      <c r="G287" t="s">
        <v>35</v>
      </c>
      <c r="H287">
        <v>71</v>
      </c>
      <c r="I287">
        <v>18</v>
      </c>
      <c r="J287">
        <v>72</v>
      </c>
      <c r="K287">
        <v>6</v>
      </c>
      <c r="L287" t="s">
        <v>44</v>
      </c>
      <c r="M287">
        <v>11.803130805864701</v>
      </c>
      <c r="N287" t="s">
        <v>51</v>
      </c>
      <c r="O287" t="s">
        <v>65</v>
      </c>
      <c r="P287">
        <f>VLOOKUP(O287, Coordinates!$A$2:$C$6, 2, FALSE)</f>
        <v>41.878100000000003</v>
      </c>
      <c r="Q287">
        <f>VLOOKUP(O287, Coordinates!$A$2:$C$6, 3, FALSE)</f>
        <v>-87.629800000000003</v>
      </c>
      <c r="R287">
        <v>14</v>
      </c>
      <c r="S287">
        <v>823</v>
      </c>
      <c r="T287">
        <v>22</v>
      </c>
      <c r="U287">
        <v>91.435135898478904</v>
      </c>
      <c r="V287" t="s">
        <v>39</v>
      </c>
      <c r="W287">
        <v>3.9635955591716501</v>
      </c>
      <c r="X287" t="s">
        <v>31</v>
      </c>
      <c r="Y287" t="s">
        <v>60</v>
      </c>
      <c r="Z287">
        <v>829.89118950509703</v>
      </c>
    </row>
    <row r="288" spans="1:26" x14ac:dyDescent="0.3">
      <c r="A288" t="s">
        <v>72</v>
      </c>
      <c r="B288" t="s">
        <v>344</v>
      </c>
      <c r="C288">
        <v>34.137846504638503</v>
      </c>
      <c r="D288">
        <v>56</v>
      </c>
      <c r="E288">
        <v>761</v>
      </c>
      <c r="F288">
        <v>23381.0110710269</v>
      </c>
      <c r="G288" t="s">
        <v>54</v>
      </c>
      <c r="H288">
        <v>0</v>
      </c>
      <c r="I288">
        <v>21</v>
      </c>
      <c r="J288">
        <v>91</v>
      </c>
      <c r="K288">
        <v>4</v>
      </c>
      <c r="L288" t="s">
        <v>44</v>
      </c>
      <c r="M288">
        <v>11.3461784105332</v>
      </c>
      <c r="N288" t="s">
        <v>28</v>
      </c>
      <c r="O288" t="s">
        <v>67</v>
      </c>
      <c r="P288">
        <f>VLOOKUP(O288, Coordinates!$A$2:$C$6, 2, FALSE)</f>
        <v>40.712800000000001</v>
      </c>
      <c r="Q288">
        <f>VLOOKUP(O288, Coordinates!$A$2:$C$6, 3, FALSE)</f>
        <v>-74.006</v>
      </c>
      <c r="R288">
        <v>23</v>
      </c>
      <c r="S288">
        <v>385</v>
      </c>
      <c r="T288">
        <v>22</v>
      </c>
      <c r="U288">
        <v>77.476739017961805</v>
      </c>
      <c r="V288" t="s">
        <v>39</v>
      </c>
      <c r="W288">
        <v>2.3747986849615801</v>
      </c>
      <c r="X288" t="s">
        <v>40</v>
      </c>
      <c r="Y288" t="s">
        <v>32</v>
      </c>
      <c r="Z288">
        <v>284.91990019999997</v>
      </c>
    </row>
    <row r="289" spans="1:26" x14ac:dyDescent="0.3">
      <c r="A289" t="s">
        <v>49</v>
      </c>
      <c r="B289" t="s">
        <v>345</v>
      </c>
      <c r="C289">
        <v>5.6677743622938097</v>
      </c>
      <c r="D289">
        <v>80</v>
      </c>
      <c r="E289">
        <v>851</v>
      </c>
      <c r="F289">
        <v>6085.6505473302404</v>
      </c>
      <c r="G289" t="s">
        <v>35</v>
      </c>
      <c r="H289">
        <v>6</v>
      </c>
      <c r="I289">
        <v>2</v>
      </c>
      <c r="J289">
        <v>99</v>
      </c>
      <c r="K289">
        <v>4</v>
      </c>
      <c r="L289" t="s">
        <v>44</v>
      </c>
      <c r="M289">
        <v>2.14649539480006</v>
      </c>
      <c r="N289" t="s">
        <v>51</v>
      </c>
      <c r="O289" t="s">
        <v>58</v>
      </c>
      <c r="P289">
        <f>VLOOKUP(O289, Coordinates!$A$2:$C$6, 2, FALSE)</f>
        <v>34.052199999999999</v>
      </c>
      <c r="Q289">
        <f>VLOOKUP(O289, Coordinates!$A$2:$C$6, 3, FALSE)</f>
        <v>-118.2437</v>
      </c>
      <c r="R289">
        <v>11</v>
      </c>
      <c r="S289">
        <v>670</v>
      </c>
      <c r="T289">
        <v>12</v>
      </c>
      <c r="U289">
        <v>59.101748394834402</v>
      </c>
      <c r="V289" t="s">
        <v>39</v>
      </c>
      <c r="W289">
        <v>1.69734511109852</v>
      </c>
      <c r="X289" t="s">
        <v>40</v>
      </c>
      <c r="Y289" t="s">
        <v>60</v>
      </c>
      <c r="Z289">
        <v>280.29196940071802</v>
      </c>
    </row>
    <row r="290" spans="1:26" x14ac:dyDescent="0.3">
      <c r="A290" t="s">
        <v>24</v>
      </c>
      <c r="B290" t="s">
        <v>346</v>
      </c>
      <c r="C290">
        <v>27.606182637955801</v>
      </c>
      <c r="D290">
        <v>41</v>
      </c>
      <c r="E290">
        <v>524</v>
      </c>
      <c r="F290">
        <v>13019.0757320599</v>
      </c>
      <c r="G290" t="s">
        <v>54</v>
      </c>
      <c r="H290">
        <v>52</v>
      </c>
      <c r="I290">
        <v>21</v>
      </c>
      <c r="J290">
        <v>34</v>
      </c>
      <c r="K290">
        <v>1</v>
      </c>
      <c r="L290" t="s">
        <v>44</v>
      </c>
      <c r="M290">
        <v>5.3441078700148301</v>
      </c>
      <c r="N290" t="s">
        <v>28</v>
      </c>
      <c r="O290" t="s">
        <v>58</v>
      </c>
      <c r="P290">
        <f>VLOOKUP(O290, Coordinates!$A$2:$C$6, 2, FALSE)</f>
        <v>34.052199999999999</v>
      </c>
      <c r="Q290">
        <f>VLOOKUP(O290, Coordinates!$A$2:$C$6, 3, FALSE)</f>
        <v>-118.2437</v>
      </c>
      <c r="R290">
        <v>22</v>
      </c>
      <c r="S290">
        <v>639</v>
      </c>
      <c r="T290">
        <v>2</v>
      </c>
      <c r="U290">
        <v>78.592140525527199</v>
      </c>
      <c r="V290" t="s">
        <v>39</v>
      </c>
      <c r="W290">
        <v>2.1002442710564502</v>
      </c>
      <c r="X290" t="s">
        <v>52</v>
      </c>
      <c r="Y290" t="s">
        <v>60</v>
      </c>
      <c r="Z290">
        <v>512.21197064776698</v>
      </c>
    </row>
    <row r="291" spans="1:26" x14ac:dyDescent="0.3">
      <c r="A291" t="s">
        <v>82</v>
      </c>
      <c r="B291" t="s">
        <v>347</v>
      </c>
      <c r="C291">
        <v>26.396251715506502</v>
      </c>
      <c r="D291">
        <v>32</v>
      </c>
      <c r="E291">
        <v>670</v>
      </c>
      <c r="F291">
        <v>2057.2830898884299</v>
      </c>
      <c r="G291" t="s">
        <v>48</v>
      </c>
      <c r="H291">
        <v>30</v>
      </c>
      <c r="I291">
        <v>29</v>
      </c>
      <c r="J291">
        <v>53</v>
      </c>
      <c r="K291">
        <v>9</v>
      </c>
      <c r="L291" t="s">
        <v>44</v>
      </c>
      <c r="M291">
        <v>5.80803934505649</v>
      </c>
      <c r="N291" t="s">
        <v>37</v>
      </c>
      <c r="O291" t="s">
        <v>67</v>
      </c>
      <c r="P291">
        <f>VLOOKUP(O291, Coordinates!$A$2:$C$6, 2, FALSE)</f>
        <v>40.712800000000001</v>
      </c>
      <c r="Q291">
        <f>VLOOKUP(O291, Coordinates!$A$2:$C$6, 3, FALSE)</f>
        <v>-74.006</v>
      </c>
      <c r="R291">
        <v>23</v>
      </c>
      <c r="S291">
        <v>146</v>
      </c>
      <c r="T291">
        <v>2</v>
      </c>
      <c r="U291">
        <v>71.660977489999993</v>
      </c>
      <c r="V291" t="s">
        <v>30</v>
      </c>
      <c r="W291">
        <v>0.45613760698114098</v>
      </c>
      <c r="X291" t="s">
        <v>52</v>
      </c>
      <c r="Y291" t="s">
        <v>32</v>
      </c>
      <c r="Z291">
        <v>272.04015901210499</v>
      </c>
    </row>
    <row r="292" spans="1:26" x14ac:dyDescent="0.3">
      <c r="A292" t="s">
        <v>82</v>
      </c>
      <c r="B292" t="s">
        <v>348</v>
      </c>
      <c r="C292">
        <v>17.478193773766101</v>
      </c>
      <c r="D292">
        <v>15</v>
      </c>
      <c r="E292">
        <v>552</v>
      </c>
      <c r="F292">
        <v>8070.9994175001002</v>
      </c>
      <c r="G292" t="s">
        <v>35</v>
      </c>
      <c r="H292">
        <v>17</v>
      </c>
      <c r="I292">
        <v>9</v>
      </c>
      <c r="J292">
        <v>23</v>
      </c>
      <c r="K292">
        <v>3</v>
      </c>
      <c r="L292" t="s">
        <v>27</v>
      </c>
      <c r="M292">
        <v>6.1695626381019704</v>
      </c>
      <c r="N292" t="s">
        <v>45</v>
      </c>
      <c r="O292" t="s">
        <v>38</v>
      </c>
      <c r="P292">
        <f>VLOOKUP(O292, Coordinates!$A$2:$C$6, 2, FALSE)</f>
        <v>25.761700000000001</v>
      </c>
      <c r="Q292">
        <f>VLOOKUP(O292, Coordinates!$A$2:$C$6, 3, FALSE)</f>
        <v>-80.191800000000001</v>
      </c>
      <c r="R292">
        <v>29</v>
      </c>
      <c r="S292">
        <v>336</v>
      </c>
      <c r="T292">
        <v>9</v>
      </c>
      <c r="U292">
        <v>83.6852623782368</v>
      </c>
      <c r="V292" t="s">
        <v>39</v>
      </c>
      <c r="W292">
        <v>4.8456603908476499</v>
      </c>
      <c r="X292" t="s">
        <v>40</v>
      </c>
      <c r="Y292" t="s">
        <v>60</v>
      </c>
      <c r="Z292">
        <v>268.72684249999998</v>
      </c>
    </row>
    <row r="293" spans="1:26" x14ac:dyDescent="0.3">
      <c r="A293" t="s">
        <v>33</v>
      </c>
      <c r="B293" t="s">
        <v>349</v>
      </c>
      <c r="C293">
        <v>42.889422821854197</v>
      </c>
      <c r="D293">
        <v>62</v>
      </c>
      <c r="E293">
        <v>564</v>
      </c>
      <c r="F293">
        <v>7061.6510813553296</v>
      </c>
      <c r="G293" t="s">
        <v>54</v>
      </c>
      <c r="H293">
        <v>11</v>
      </c>
      <c r="I293">
        <v>2</v>
      </c>
      <c r="J293">
        <v>78</v>
      </c>
      <c r="K293">
        <v>5</v>
      </c>
      <c r="L293" t="s">
        <v>44</v>
      </c>
      <c r="M293">
        <v>5.82039290112158</v>
      </c>
      <c r="N293" t="s">
        <v>51</v>
      </c>
      <c r="O293" t="s">
        <v>65</v>
      </c>
      <c r="P293">
        <f>VLOOKUP(O293, Coordinates!$A$2:$C$6, 2, FALSE)</f>
        <v>41.878100000000003</v>
      </c>
      <c r="Q293">
        <f>VLOOKUP(O293, Coordinates!$A$2:$C$6, 3, FALSE)</f>
        <v>-87.629800000000003</v>
      </c>
      <c r="R293">
        <v>25</v>
      </c>
      <c r="S293">
        <v>216</v>
      </c>
      <c r="T293">
        <v>12</v>
      </c>
      <c r="U293">
        <v>33.970165695104299</v>
      </c>
      <c r="V293" t="s">
        <v>39</v>
      </c>
      <c r="W293">
        <v>4.7903452766905197</v>
      </c>
      <c r="X293" t="s">
        <v>31</v>
      </c>
      <c r="Y293" t="s">
        <v>32</v>
      </c>
      <c r="Z293">
        <v>341.00104234135199</v>
      </c>
    </row>
    <row r="294" spans="1:26" x14ac:dyDescent="0.3">
      <c r="A294" t="s">
        <v>49</v>
      </c>
      <c r="B294" t="s">
        <v>350</v>
      </c>
      <c r="C294">
        <v>92.649190518340006</v>
      </c>
      <c r="D294">
        <v>27</v>
      </c>
      <c r="E294">
        <v>601</v>
      </c>
      <c r="F294">
        <v>2035.09843145288</v>
      </c>
      <c r="G294" t="s">
        <v>35</v>
      </c>
      <c r="H294">
        <v>47</v>
      </c>
      <c r="I294">
        <v>25</v>
      </c>
      <c r="J294">
        <v>68</v>
      </c>
      <c r="K294">
        <v>10</v>
      </c>
      <c r="L294" t="s">
        <v>27</v>
      </c>
      <c r="M294">
        <v>12.019292164304501</v>
      </c>
      <c r="N294" t="s">
        <v>45</v>
      </c>
      <c r="O294" t="s">
        <v>38</v>
      </c>
      <c r="P294">
        <f>VLOOKUP(O294, Coordinates!$A$2:$C$6, 2, FALSE)</f>
        <v>25.761700000000001</v>
      </c>
      <c r="Q294">
        <f>VLOOKUP(O294, Coordinates!$A$2:$C$6, 3, FALSE)</f>
        <v>-80.191800000000001</v>
      </c>
      <c r="R294">
        <v>27</v>
      </c>
      <c r="S294">
        <v>250</v>
      </c>
      <c r="T294">
        <v>2</v>
      </c>
      <c r="U294">
        <v>89.738078616732295</v>
      </c>
      <c r="V294" t="s">
        <v>39</v>
      </c>
      <c r="W294">
        <v>3.7043299468745698</v>
      </c>
      <c r="X294" t="s">
        <v>40</v>
      </c>
      <c r="Y294" t="s">
        <v>41</v>
      </c>
      <c r="Z294">
        <v>120.31046807226799</v>
      </c>
    </row>
    <row r="295" spans="1:26" x14ac:dyDescent="0.3">
      <c r="A295" t="s">
        <v>72</v>
      </c>
      <c r="B295" t="s">
        <v>351</v>
      </c>
      <c r="C295">
        <v>28.92458663</v>
      </c>
      <c r="D295">
        <v>28</v>
      </c>
      <c r="E295">
        <v>32</v>
      </c>
      <c r="F295">
        <v>833.02809494178496</v>
      </c>
      <c r="G295" t="s">
        <v>26</v>
      </c>
      <c r="H295">
        <v>29</v>
      </c>
      <c r="I295">
        <v>7</v>
      </c>
      <c r="J295">
        <v>65</v>
      </c>
      <c r="K295">
        <v>1</v>
      </c>
      <c r="L295" t="s">
        <v>36</v>
      </c>
      <c r="M295">
        <v>11.466465350381201</v>
      </c>
      <c r="N295" t="s">
        <v>45</v>
      </c>
      <c r="O295" t="s">
        <v>38</v>
      </c>
      <c r="P295">
        <f>VLOOKUP(O295, Coordinates!$A$2:$C$6, 2, FALSE)</f>
        <v>25.761700000000001</v>
      </c>
      <c r="Q295">
        <f>VLOOKUP(O295, Coordinates!$A$2:$C$6, 3, FALSE)</f>
        <v>-80.191800000000001</v>
      </c>
      <c r="R295">
        <v>27</v>
      </c>
      <c r="S295">
        <v>182</v>
      </c>
      <c r="T295">
        <v>18</v>
      </c>
      <c r="U295">
        <v>80.9088853114702</v>
      </c>
      <c r="V295" t="s">
        <v>55</v>
      </c>
      <c r="W295">
        <v>3.5494951418445102</v>
      </c>
      <c r="X295" t="s">
        <v>31</v>
      </c>
      <c r="Y295" t="s">
        <v>41</v>
      </c>
      <c r="Z295">
        <v>614.20839792785398</v>
      </c>
    </row>
    <row r="296" spans="1:26" x14ac:dyDescent="0.3">
      <c r="A296" t="s">
        <v>42</v>
      </c>
      <c r="B296" t="s">
        <v>352</v>
      </c>
      <c r="C296">
        <v>6.27324951105573</v>
      </c>
      <c r="D296">
        <v>81</v>
      </c>
      <c r="E296">
        <v>712</v>
      </c>
      <c r="F296">
        <v>4973.9255999184697</v>
      </c>
      <c r="G296" t="s">
        <v>54</v>
      </c>
      <c r="H296">
        <v>96</v>
      </c>
      <c r="I296">
        <v>7</v>
      </c>
      <c r="J296">
        <v>61</v>
      </c>
      <c r="K296">
        <v>8</v>
      </c>
      <c r="L296" t="s">
        <v>27</v>
      </c>
      <c r="M296">
        <v>1.0644042404971199</v>
      </c>
      <c r="N296" t="s">
        <v>37</v>
      </c>
      <c r="O296" t="s">
        <v>58</v>
      </c>
      <c r="P296">
        <f>VLOOKUP(O296, Coordinates!$A$2:$C$6, 2, FALSE)</f>
        <v>34.052199999999999</v>
      </c>
      <c r="Q296">
        <f>VLOOKUP(O296, Coordinates!$A$2:$C$6, 3, FALSE)</f>
        <v>-118.2437</v>
      </c>
      <c r="R296">
        <v>25</v>
      </c>
      <c r="S296">
        <v>156</v>
      </c>
      <c r="T296">
        <v>16</v>
      </c>
      <c r="U296">
        <v>86.720290107129401</v>
      </c>
      <c r="V296" t="s">
        <v>39</v>
      </c>
      <c r="W296">
        <v>3.3232809954446898</v>
      </c>
      <c r="X296" t="s">
        <v>52</v>
      </c>
      <c r="Y296" t="s">
        <v>41</v>
      </c>
      <c r="Z296">
        <v>456.94609964854101</v>
      </c>
    </row>
    <row r="297" spans="1:26" x14ac:dyDescent="0.3">
      <c r="A297" t="s">
        <v>49</v>
      </c>
      <c r="B297" t="s">
        <v>353</v>
      </c>
      <c r="C297">
        <v>31.8608405099823</v>
      </c>
      <c r="D297">
        <v>64</v>
      </c>
      <c r="E297">
        <v>450</v>
      </c>
      <c r="F297">
        <v>9504.8630700025806</v>
      </c>
      <c r="G297" t="s">
        <v>26</v>
      </c>
      <c r="H297">
        <v>6</v>
      </c>
      <c r="I297">
        <v>14</v>
      </c>
      <c r="J297">
        <v>75</v>
      </c>
      <c r="K297">
        <v>3</v>
      </c>
      <c r="L297" t="s">
        <v>44</v>
      </c>
      <c r="M297">
        <v>5.1493413289260603</v>
      </c>
      <c r="N297" t="s">
        <v>57</v>
      </c>
      <c r="O297" t="s">
        <v>65</v>
      </c>
      <c r="P297">
        <f>VLOOKUP(O297, Coordinates!$A$2:$C$6, 2, FALSE)</f>
        <v>41.878100000000003</v>
      </c>
      <c r="Q297">
        <f>VLOOKUP(O297, Coordinates!$A$2:$C$6, 3, FALSE)</f>
        <v>-87.629800000000003</v>
      </c>
      <c r="R297">
        <v>1</v>
      </c>
      <c r="S297">
        <v>828</v>
      </c>
      <c r="T297">
        <v>19</v>
      </c>
      <c r="U297">
        <v>52.405803113385304</v>
      </c>
      <c r="V297" t="s">
        <v>55</v>
      </c>
      <c r="W297">
        <v>2.26190739770571</v>
      </c>
      <c r="X297" t="s">
        <v>31</v>
      </c>
      <c r="Y297" t="s">
        <v>60</v>
      </c>
      <c r="Z297">
        <v>313.65623454478799</v>
      </c>
    </row>
    <row r="298" spans="1:26" x14ac:dyDescent="0.3">
      <c r="A298" t="s">
        <v>33</v>
      </c>
      <c r="B298" t="s">
        <v>354</v>
      </c>
      <c r="C298">
        <v>9.2365162954313398</v>
      </c>
      <c r="D298">
        <v>59</v>
      </c>
      <c r="E298">
        <v>212</v>
      </c>
      <c r="F298">
        <v>2274.5021555610901</v>
      </c>
      <c r="G298" t="s">
        <v>35</v>
      </c>
      <c r="H298">
        <v>91</v>
      </c>
      <c r="I298">
        <v>5</v>
      </c>
      <c r="J298">
        <v>77</v>
      </c>
      <c r="K298">
        <v>1</v>
      </c>
      <c r="L298" t="s">
        <v>27</v>
      </c>
      <c r="M298">
        <v>9.7312910689945493</v>
      </c>
      <c r="N298" t="s">
        <v>57</v>
      </c>
      <c r="O298" t="s">
        <v>29</v>
      </c>
      <c r="P298">
        <f>VLOOKUP(O298, Coordinates!$A$2:$C$6, 2, FALSE)</f>
        <v>29.760400000000001</v>
      </c>
      <c r="Q298">
        <f>VLOOKUP(O298, Coordinates!$A$2:$C$6, 3, FALSE)</f>
        <v>-95.369799999999998</v>
      </c>
      <c r="R298">
        <v>21</v>
      </c>
      <c r="S298">
        <v>484</v>
      </c>
      <c r="T298">
        <v>15</v>
      </c>
      <c r="U298">
        <v>34.107188262444602</v>
      </c>
      <c r="V298" t="s">
        <v>30</v>
      </c>
      <c r="W298">
        <v>1.2615004041920901</v>
      </c>
      <c r="X298" t="s">
        <v>40</v>
      </c>
      <c r="Y298" t="s">
        <v>32</v>
      </c>
      <c r="Z298">
        <v>220.801513184182</v>
      </c>
    </row>
    <row r="299" spans="1:26" x14ac:dyDescent="0.3">
      <c r="A299" t="s">
        <v>33</v>
      </c>
      <c r="B299" t="s">
        <v>355</v>
      </c>
      <c r="C299">
        <v>8.4473241482827</v>
      </c>
      <c r="D299">
        <v>58</v>
      </c>
      <c r="E299">
        <v>950</v>
      </c>
      <c r="F299">
        <v>6785.5005173416403</v>
      </c>
      <c r="G299" t="s">
        <v>35</v>
      </c>
      <c r="H299">
        <v>1</v>
      </c>
      <c r="I299">
        <v>24</v>
      </c>
      <c r="J299">
        <v>21</v>
      </c>
      <c r="K299">
        <v>10</v>
      </c>
      <c r="L299" t="s">
        <v>44</v>
      </c>
      <c r="M299">
        <v>2.6837187078431901</v>
      </c>
      <c r="N299" t="s">
        <v>51</v>
      </c>
      <c r="O299" t="s">
        <v>67</v>
      </c>
      <c r="P299">
        <f>VLOOKUP(O299, Coordinates!$A$2:$C$6, 2, FALSE)</f>
        <v>40.712800000000001</v>
      </c>
      <c r="Q299">
        <f>VLOOKUP(O299, Coordinates!$A$2:$C$6, 3, FALSE)</f>
        <v>-74.006</v>
      </c>
      <c r="R299">
        <v>13</v>
      </c>
      <c r="S299">
        <v>319</v>
      </c>
      <c r="T299">
        <v>25</v>
      </c>
      <c r="U299">
        <v>33.423294792411298</v>
      </c>
      <c r="V299" t="s">
        <v>55</v>
      </c>
      <c r="W299">
        <v>0.19216571745074501</v>
      </c>
      <c r="X299" t="s">
        <v>46</v>
      </c>
      <c r="Y299" t="s">
        <v>60</v>
      </c>
      <c r="Z299">
        <v>510.26524092069798</v>
      </c>
    </row>
    <row r="300" spans="1:26" x14ac:dyDescent="0.3">
      <c r="A300" t="s">
        <v>49</v>
      </c>
      <c r="B300" t="s">
        <v>356</v>
      </c>
      <c r="C300">
        <v>31.1933860440774</v>
      </c>
      <c r="D300">
        <v>2</v>
      </c>
      <c r="E300">
        <v>720</v>
      </c>
      <c r="F300">
        <v>4437.8204091665102</v>
      </c>
      <c r="H300">
        <v>62</v>
      </c>
      <c r="I300">
        <v>23</v>
      </c>
      <c r="J300">
        <v>84</v>
      </c>
      <c r="K300">
        <v>6</v>
      </c>
      <c r="L300" t="s">
        <v>27</v>
      </c>
      <c r="M300">
        <v>1.9967761227974501</v>
      </c>
      <c r="N300" t="s">
        <v>37</v>
      </c>
      <c r="O300" t="s">
        <v>38</v>
      </c>
      <c r="P300">
        <f>VLOOKUP(O300, Coordinates!$A$2:$C$6, 2, FALSE)</f>
        <v>25.761700000000001</v>
      </c>
      <c r="Q300">
        <f>VLOOKUP(O300, Coordinates!$A$2:$C$6, 3, FALSE)</f>
        <v>-80.191800000000001</v>
      </c>
      <c r="R300">
        <v>20</v>
      </c>
      <c r="S300">
        <v>384</v>
      </c>
      <c r="T300">
        <v>30</v>
      </c>
      <c r="U300">
        <v>61.090109592818699</v>
      </c>
      <c r="V300" t="s">
        <v>30</v>
      </c>
      <c r="W300">
        <v>4.4485222589999998</v>
      </c>
      <c r="X300" t="s">
        <v>52</v>
      </c>
      <c r="Y300" t="s">
        <v>60</v>
      </c>
      <c r="Z300">
        <v>641.76255087763604</v>
      </c>
    </row>
    <row r="301" spans="1:26" x14ac:dyDescent="0.3">
      <c r="A301" t="s">
        <v>33</v>
      </c>
      <c r="B301" t="s">
        <v>357</v>
      </c>
      <c r="C301">
        <v>31.183172174499799</v>
      </c>
      <c r="D301">
        <v>36</v>
      </c>
      <c r="E301">
        <v>980</v>
      </c>
      <c r="F301">
        <v>9611.3320349999995</v>
      </c>
      <c r="G301" t="s">
        <v>54</v>
      </c>
      <c r="H301">
        <v>5</v>
      </c>
      <c r="I301">
        <v>22</v>
      </c>
      <c r="J301">
        <v>77</v>
      </c>
      <c r="K301">
        <v>1</v>
      </c>
      <c r="L301" t="s">
        <v>36</v>
      </c>
      <c r="M301">
        <v>12.597573672978699</v>
      </c>
      <c r="N301" t="s">
        <v>45</v>
      </c>
      <c r="O301" t="s">
        <v>38</v>
      </c>
      <c r="P301">
        <f>VLOOKUP(O301, Coordinates!$A$2:$C$6, 2, FALSE)</f>
        <v>25.761700000000001</v>
      </c>
      <c r="Q301">
        <f>VLOOKUP(O301, Coordinates!$A$2:$C$6, 3, FALSE)</f>
        <v>-80.191800000000001</v>
      </c>
      <c r="R301">
        <v>25</v>
      </c>
      <c r="S301">
        <v>853</v>
      </c>
      <c r="T301">
        <v>16</v>
      </c>
      <c r="U301">
        <v>17.1109243186161</v>
      </c>
      <c r="V301" t="s">
        <v>39</v>
      </c>
      <c r="W301">
        <v>4.2393773985643497</v>
      </c>
      <c r="X301" t="s">
        <v>52</v>
      </c>
      <c r="Y301" t="s">
        <v>60</v>
      </c>
      <c r="Z301">
        <v>975.94960002975495</v>
      </c>
    </row>
    <row r="302" spans="1:26" x14ac:dyDescent="0.3">
      <c r="A302" t="s">
        <v>49</v>
      </c>
      <c r="B302" t="s">
        <v>358</v>
      </c>
      <c r="C302">
        <v>79.777027247152304</v>
      </c>
      <c r="D302">
        <v>71</v>
      </c>
      <c r="E302">
        <v>823</v>
      </c>
      <c r="F302">
        <v>3969.7740576124802</v>
      </c>
      <c r="G302" t="s">
        <v>26</v>
      </c>
      <c r="H302">
        <v>94</v>
      </c>
      <c r="I302">
        <v>18</v>
      </c>
      <c r="J302">
        <v>52</v>
      </c>
      <c r="K302">
        <v>3</v>
      </c>
      <c r="L302" t="s">
        <v>44</v>
      </c>
      <c r="M302">
        <v>7.3375798104089602</v>
      </c>
      <c r="N302" t="s">
        <v>28</v>
      </c>
      <c r="O302" t="s">
        <v>65</v>
      </c>
      <c r="P302">
        <f>VLOOKUP(O302, Coordinates!$A$2:$C$6, 2, FALSE)</f>
        <v>41.878100000000003</v>
      </c>
      <c r="Q302">
        <f>VLOOKUP(O302, Coordinates!$A$2:$C$6, 3, FALSE)</f>
        <v>-87.629800000000003</v>
      </c>
      <c r="R302">
        <v>27</v>
      </c>
      <c r="S302">
        <v>533</v>
      </c>
      <c r="T302">
        <v>6</v>
      </c>
      <c r="U302">
        <v>93.705057512965695</v>
      </c>
      <c r="V302" t="s">
        <v>39</v>
      </c>
      <c r="W302">
        <v>4.1450302881968897</v>
      </c>
      <c r="X302" t="s">
        <v>40</v>
      </c>
      <c r="Y302" t="s">
        <v>32</v>
      </c>
      <c r="Z302">
        <v>328.44147956419903</v>
      </c>
    </row>
    <row r="303" spans="1:26" x14ac:dyDescent="0.3">
      <c r="A303" t="s">
        <v>61</v>
      </c>
      <c r="B303" t="s">
        <v>359</v>
      </c>
      <c r="C303">
        <v>97.609292014205593</v>
      </c>
      <c r="D303">
        <v>13</v>
      </c>
      <c r="E303">
        <v>108</v>
      </c>
      <c r="F303">
        <v>9659.6731854261998</v>
      </c>
      <c r="G303" t="s">
        <v>48</v>
      </c>
      <c r="H303">
        <v>14</v>
      </c>
      <c r="I303">
        <v>6</v>
      </c>
      <c r="J303">
        <v>82</v>
      </c>
      <c r="K303">
        <v>5</v>
      </c>
      <c r="L303" t="s">
        <v>44</v>
      </c>
      <c r="M303">
        <v>12.9796231508919</v>
      </c>
      <c r="N303" t="s">
        <v>28</v>
      </c>
      <c r="O303" t="s">
        <v>38</v>
      </c>
      <c r="P303">
        <f>VLOOKUP(O303, Coordinates!$A$2:$C$6, 2, FALSE)</f>
        <v>25.761700000000001</v>
      </c>
      <c r="Q303">
        <f>VLOOKUP(O303, Coordinates!$A$2:$C$6, 3, FALSE)</f>
        <v>-80.191800000000001</v>
      </c>
      <c r="R303">
        <v>29</v>
      </c>
      <c r="S303">
        <v>419</v>
      </c>
      <c r="T303">
        <v>27</v>
      </c>
      <c r="U303">
        <v>34.431714612868198</v>
      </c>
      <c r="V303" t="s">
        <v>39</v>
      </c>
      <c r="W303">
        <v>2.1991986546569402</v>
      </c>
      <c r="X303" t="s">
        <v>40</v>
      </c>
      <c r="Y303" t="s">
        <v>60</v>
      </c>
      <c r="Z303">
        <v>123.701417936995</v>
      </c>
    </row>
    <row r="304" spans="1:26" x14ac:dyDescent="0.3">
      <c r="A304" t="s">
        <v>49</v>
      </c>
      <c r="B304" t="s">
        <v>360</v>
      </c>
      <c r="C304">
        <v>40.2646739195498</v>
      </c>
      <c r="D304">
        <v>15</v>
      </c>
      <c r="E304">
        <v>746</v>
      </c>
      <c r="F304">
        <v>9113.3726599067395</v>
      </c>
      <c r="G304" t="s">
        <v>35</v>
      </c>
      <c r="H304">
        <v>70</v>
      </c>
      <c r="I304">
        <v>14</v>
      </c>
      <c r="J304">
        <v>83</v>
      </c>
      <c r="K304">
        <v>4</v>
      </c>
      <c r="L304" t="s">
        <v>27</v>
      </c>
      <c r="M304">
        <v>12.529738180471901</v>
      </c>
      <c r="N304" t="s">
        <v>51</v>
      </c>
      <c r="O304" t="s">
        <v>29</v>
      </c>
      <c r="P304">
        <f>VLOOKUP(O304, Coordinates!$A$2:$C$6, 2, FALSE)</f>
        <v>29.760400000000001</v>
      </c>
      <c r="Q304">
        <f>VLOOKUP(O304, Coordinates!$A$2:$C$6, 3, FALSE)</f>
        <v>-95.369799999999998</v>
      </c>
      <c r="R304">
        <v>11</v>
      </c>
      <c r="S304">
        <v>710</v>
      </c>
      <c r="T304">
        <v>15</v>
      </c>
      <c r="U304">
        <v>40.206233606126901</v>
      </c>
      <c r="V304" t="s">
        <v>39</v>
      </c>
      <c r="W304">
        <v>3.7662769597671302</v>
      </c>
      <c r="X304" t="s">
        <v>52</v>
      </c>
      <c r="Y304" t="s">
        <v>60</v>
      </c>
      <c r="Z304">
        <v>762.41359615346903</v>
      </c>
    </row>
    <row r="305" spans="1:26" x14ac:dyDescent="0.3">
      <c r="A305" t="s">
        <v>24</v>
      </c>
      <c r="B305" t="s">
        <v>361</v>
      </c>
      <c r="C305">
        <v>35.847869605129702</v>
      </c>
      <c r="D305">
        <v>89</v>
      </c>
      <c r="E305">
        <v>430</v>
      </c>
      <c r="F305">
        <v>13873.1255371852</v>
      </c>
      <c r="G305" t="s">
        <v>35</v>
      </c>
      <c r="H305">
        <v>42</v>
      </c>
      <c r="I305">
        <v>18</v>
      </c>
      <c r="J305">
        <v>100</v>
      </c>
      <c r="K305">
        <v>7</v>
      </c>
      <c r="L305" t="s">
        <v>27</v>
      </c>
      <c r="M305">
        <v>13.507187309968099</v>
      </c>
      <c r="N305" t="s">
        <v>51</v>
      </c>
      <c r="O305" t="s">
        <v>67</v>
      </c>
      <c r="P305">
        <f>VLOOKUP(O305, Coordinates!$A$2:$C$6, 2, FALSE)</f>
        <v>40.712800000000001</v>
      </c>
      <c r="Q305">
        <f>VLOOKUP(O305, Coordinates!$A$2:$C$6, 3, FALSE)</f>
        <v>-74.006</v>
      </c>
      <c r="R305">
        <v>1</v>
      </c>
      <c r="S305">
        <v>341</v>
      </c>
      <c r="T305">
        <v>12</v>
      </c>
      <c r="U305">
        <v>92.461914377397207</v>
      </c>
      <c r="V305" t="s">
        <v>30</v>
      </c>
      <c r="W305">
        <v>2.90612631939997</v>
      </c>
      <c r="X305" t="s">
        <v>40</v>
      </c>
      <c r="Y305" t="s">
        <v>32</v>
      </c>
      <c r="Z305">
        <v>311.652618374383</v>
      </c>
    </row>
    <row r="306" spans="1:26" x14ac:dyDescent="0.3">
      <c r="A306" t="s">
        <v>49</v>
      </c>
      <c r="B306" t="s">
        <v>362</v>
      </c>
      <c r="C306">
        <v>85.254996447172005</v>
      </c>
      <c r="D306">
        <v>87</v>
      </c>
      <c r="E306">
        <v>105</v>
      </c>
      <c r="F306">
        <v>8231.8759910000008</v>
      </c>
      <c r="G306" t="s">
        <v>48</v>
      </c>
      <c r="H306">
        <v>93</v>
      </c>
      <c r="I306">
        <v>17</v>
      </c>
      <c r="J306">
        <v>15</v>
      </c>
      <c r="K306">
        <v>6</v>
      </c>
      <c r="L306" t="s">
        <v>27</v>
      </c>
      <c r="M306">
        <v>1.67584388984905</v>
      </c>
      <c r="N306" t="s">
        <v>51</v>
      </c>
      <c r="O306" t="s">
        <v>38</v>
      </c>
      <c r="P306">
        <f>VLOOKUP(O306, Coordinates!$A$2:$C$6, 2, FALSE)</f>
        <v>25.761700000000001</v>
      </c>
      <c r="Q306">
        <f>VLOOKUP(O306, Coordinates!$A$2:$C$6, 3, FALSE)</f>
        <v>-80.191800000000001</v>
      </c>
      <c r="R306">
        <v>13</v>
      </c>
      <c r="S306">
        <v>564</v>
      </c>
      <c r="T306">
        <v>22</v>
      </c>
      <c r="U306">
        <v>10.270716450464899</v>
      </c>
      <c r="V306" t="s">
        <v>39</v>
      </c>
      <c r="W306">
        <v>1.87387648206746</v>
      </c>
      <c r="X306" t="s">
        <v>31</v>
      </c>
      <c r="Y306" t="s">
        <v>32</v>
      </c>
      <c r="Z306">
        <v>535.83729657323795</v>
      </c>
    </row>
    <row r="307" spans="1:26" x14ac:dyDescent="0.3">
      <c r="A307" t="s">
        <v>33</v>
      </c>
      <c r="B307" t="s">
        <v>363</v>
      </c>
      <c r="C307">
        <v>30.473206909073699</v>
      </c>
      <c r="D307">
        <v>60</v>
      </c>
      <c r="E307">
        <v>545</v>
      </c>
      <c r="F307">
        <v>9960.4378162315497</v>
      </c>
      <c r="G307" t="s">
        <v>26</v>
      </c>
      <c r="H307">
        <v>90</v>
      </c>
      <c r="I307">
        <v>9</v>
      </c>
      <c r="J307">
        <v>24</v>
      </c>
      <c r="K307">
        <v>3</v>
      </c>
      <c r="L307" t="s">
        <v>27</v>
      </c>
      <c r="M307">
        <v>3.6058209255173801</v>
      </c>
      <c r="N307" t="s">
        <v>37</v>
      </c>
      <c r="O307" t="s">
        <v>38</v>
      </c>
      <c r="P307">
        <f>VLOOKUP(O307, Coordinates!$A$2:$C$6, 2, FALSE)</f>
        <v>25.761700000000001</v>
      </c>
      <c r="Q307">
        <f>VLOOKUP(O307, Coordinates!$A$2:$C$6, 3, FALSE)</f>
        <v>-80.191800000000001</v>
      </c>
      <c r="R307">
        <v>20</v>
      </c>
      <c r="S307">
        <v>302</v>
      </c>
      <c r="T307">
        <v>12</v>
      </c>
      <c r="U307">
        <v>72.329521310000004</v>
      </c>
      <c r="V307" t="s">
        <v>30</v>
      </c>
      <c r="W307">
        <v>4.2137104409999999</v>
      </c>
      <c r="X307" t="s">
        <v>31</v>
      </c>
      <c r="Y307" t="s">
        <v>41</v>
      </c>
      <c r="Z307">
        <v>827.40267939764101</v>
      </c>
    </row>
    <row r="308" spans="1:26" x14ac:dyDescent="0.3">
      <c r="A308" t="s">
        <v>24</v>
      </c>
      <c r="B308" t="s">
        <v>364</v>
      </c>
      <c r="C308">
        <v>30.5043692031531</v>
      </c>
      <c r="D308">
        <v>22</v>
      </c>
      <c r="E308">
        <v>643</v>
      </c>
      <c r="F308">
        <v>17652.878457864699</v>
      </c>
      <c r="G308" t="s">
        <v>35</v>
      </c>
      <c r="H308">
        <v>80</v>
      </c>
      <c r="I308">
        <v>13</v>
      </c>
      <c r="J308">
        <v>51</v>
      </c>
      <c r="K308">
        <v>8</v>
      </c>
      <c r="L308" t="s">
        <v>27</v>
      </c>
      <c r="M308">
        <v>5.1460043016198798</v>
      </c>
      <c r="N308" t="s">
        <v>28</v>
      </c>
      <c r="O308" t="s">
        <v>67</v>
      </c>
      <c r="P308">
        <f>VLOOKUP(O308, Coordinates!$A$2:$C$6, 2, FALSE)</f>
        <v>40.712800000000001</v>
      </c>
      <c r="Q308">
        <f>VLOOKUP(O308, Coordinates!$A$2:$C$6, 3, FALSE)</f>
        <v>-74.006</v>
      </c>
      <c r="R308">
        <v>1</v>
      </c>
      <c r="S308">
        <v>648</v>
      </c>
      <c r="T308">
        <v>10</v>
      </c>
      <c r="U308">
        <v>83.884114584392506</v>
      </c>
      <c r="V308" t="s">
        <v>30</v>
      </c>
      <c r="W308">
        <v>4.99378774022209</v>
      </c>
      <c r="X308" t="s">
        <v>31</v>
      </c>
      <c r="Y308" t="s">
        <v>32</v>
      </c>
      <c r="Z308">
        <v>133.27916761412001</v>
      </c>
    </row>
    <row r="309" spans="1:26" x14ac:dyDescent="0.3">
      <c r="A309" t="s">
        <v>33</v>
      </c>
      <c r="B309" t="s">
        <v>365</v>
      </c>
      <c r="C309">
        <v>86.043514223346705</v>
      </c>
      <c r="D309">
        <v>63</v>
      </c>
      <c r="E309">
        <v>854</v>
      </c>
      <c r="F309">
        <v>4930.9945239098697</v>
      </c>
      <c r="G309" t="s">
        <v>35</v>
      </c>
      <c r="H309">
        <v>17</v>
      </c>
      <c r="I309">
        <v>16</v>
      </c>
      <c r="J309">
        <v>40</v>
      </c>
      <c r="K309">
        <v>9</v>
      </c>
      <c r="L309" t="s">
        <v>44</v>
      </c>
      <c r="M309">
        <v>2.9072254297300399</v>
      </c>
      <c r="N309" t="s">
        <v>37</v>
      </c>
      <c r="O309" t="s">
        <v>29</v>
      </c>
      <c r="P309">
        <f>VLOOKUP(O309, Coordinates!$A$2:$C$6, 2, FALSE)</f>
        <v>29.760400000000001</v>
      </c>
      <c r="Q309">
        <f>VLOOKUP(O309, Coordinates!$A$2:$C$6, 3, FALSE)</f>
        <v>-95.369799999999998</v>
      </c>
      <c r="R309">
        <v>3</v>
      </c>
      <c r="S309">
        <v>857</v>
      </c>
      <c r="T309">
        <v>21</v>
      </c>
      <c r="U309">
        <v>82.868008619999998</v>
      </c>
      <c r="V309" t="s">
        <v>30</v>
      </c>
      <c r="W309">
        <v>4.4964115360000001</v>
      </c>
      <c r="X309" t="s">
        <v>46</v>
      </c>
      <c r="Y309" t="s">
        <v>41</v>
      </c>
      <c r="Z309">
        <v>902.19951280355303</v>
      </c>
    </row>
    <row r="310" spans="1:26" x14ac:dyDescent="0.3">
      <c r="A310" t="s">
        <v>82</v>
      </c>
      <c r="B310" t="s">
        <v>366</v>
      </c>
      <c r="C310">
        <v>9.4175557118062194</v>
      </c>
      <c r="D310">
        <v>90</v>
      </c>
      <c r="E310">
        <v>526</v>
      </c>
      <c r="F310">
        <v>5681.6266291008296</v>
      </c>
      <c r="G310" t="s">
        <v>54</v>
      </c>
      <c r="H310">
        <v>21</v>
      </c>
      <c r="I310">
        <v>21</v>
      </c>
      <c r="J310">
        <v>95</v>
      </c>
      <c r="K310">
        <v>2</v>
      </c>
      <c r="L310" t="s">
        <v>36</v>
      </c>
      <c r="M310">
        <v>7.7965774909999901</v>
      </c>
      <c r="N310" t="s">
        <v>37</v>
      </c>
      <c r="O310" t="s">
        <v>38</v>
      </c>
      <c r="P310">
        <f>VLOOKUP(O310, Coordinates!$A$2:$C$6, 2, FALSE)</f>
        <v>25.761700000000001</v>
      </c>
      <c r="Q310">
        <f>VLOOKUP(O310, Coordinates!$A$2:$C$6, 3, FALSE)</f>
        <v>-80.191800000000001</v>
      </c>
      <c r="R310">
        <v>20</v>
      </c>
      <c r="S310">
        <v>544</v>
      </c>
      <c r="T310">
        <v>15</v>
      </c>
      <c r="U310">
        <v>13.6909696105882</v>
      </c>
      <c r="V310" t="s">
        <v>30</v>
      </c>
      <c r="W310">
        <v>3.8809598584315199</v>
      </c>
      <c r="X310" t="s">
        <v>40</v>
      </c>
      <c r="Y310" t="s">
        <v>41</v>
      </c>
      <c r="Z310">
        <v>188.35844425935301</v>
      </c>
    </row>
    <row r="311" spans="1:26" x14ac:dyDescent="0.3">
      <c r="A311" t="s">
        <v>82</v>
      </c>
      <c r="B311" t="s">
        <v>367</v>
      </c>
      <c r="C311">
        <v>63.871446818944399</v>
      </c>
      <c r="D311">
        <v>97</v>
      </c>
      <c r="E311">
        <v>110</v>
      </c>
      <c r="F311">
        <v>3654.3802222347699</v>
      </c>
      <c r="G311" t="s">
        <v>48</v>
      </c>
      <c r="H311">
        <v>60</v>
      </c>
      <c r="I311">
        <v>10</v>
      </c>
      <c r="J311">
        <v>62</v>
      </c>
      <c r="K311">
        <v>7</v>
      </c>
      <c r="L311" t="s">
        <v>27</v>
      </c>
      <c r="M311">
        <v>12.1856764605468</v>
      </c>
      <c r="N311" t="s">
        <v>45</v>
      </c>
      <c r="O311" t="s">
        <v>38</v>
      </c>
      <c r="P311">
        <f>VLOOKUP(O311, Coordinates!$A$2:$C$6, 2, FALSE)</f>
        <v>25.761700000000001</v>
      </c>
      <c r="Q311">
        <f>VLOOKUP(O311, Coordinates!$A$2:$C$6, 3, FALSE)</f>
        <v>-80.191800000000001</v>
      </c>
      <c r="R311">
        <v>28</v>
      </c>
      <c r="S311">
        <v>739</v>
      </c>
      <c r="T311">
        <v>23</v>
      </c>
      <c r="U311">
        <v>93.579008025998803</v>
      </c>
      <c r="V311" t="s">
        <v>39</v>
      </c>
      <c r="W311">
        <v>4.1722293034991598</v>
      </c>
      <c r="X311" t="s">
        <v>31</v>
      </c>
      <c r="Y311" t="s">
        <v>60</v>
      </c>
      <c r="Z311">
        <v>310.35374009332202</v>
      </c>
    </row>
    <row r="312" spans="1:26" x14ac:dyDescent="0.3">
      <c r="A312" t="s">
        <v>24</v>
      </c>
      <c r="B312" t="s">
        <v>368</v>
      </c>
      <c r="C312">
        <v>31.795554584432701</v>
      </c>
      <c r="D312">
        <v>75</v>
      </c>
      <c r="E312">
        <v>683</v>
      </c>
      <c r="F312">
        <v>19544.727403050802</v>
      </c>
      <c r="G312" t="s">
        <v>35</v>
      </c>
      <c r="H312">
        <v>60</v>
      </c>
      <c r="I312">
        <v>10</v>
      </c>
      <c r="J312">
        <v>15</v>
      </c>
      <c r="K312">
        <v>1</v>
      </c>
      <c r="L312" t="s">
        <v>44</v>
      </c>
      <c r="M312">
        <v>14.316545351895799</v>
      </c>
      <c r="N312" t="s">
        <v>37</v>
      </c>
      <c r="O312" t="s">
        <v>29</v>
      </c>
      <c r="P312">
        <f>VLOOKUP(O312, Coordinates!$A$2:$C$6, 2, FALSE)</f>
        <v>29.760400000000001</v>
      </c>
      <c r="Q312">
        <f>VLOOKUP(O312, Coordinates!$A$2:$C$6, 3, FALSE)</f>
        <v>-95.369799999999998</v>
      </c>
      <c r="R312">
        <v>5</v>
      </c>
      <c r="S312">
        <v>234</v>
      </c>
      <c r="T312">
        <v>27</v>
      </c>
      <c r="U312">
        <v>82.915708225902094</v>
      </c>
      <c r="V312" t="s">
        <v>55</v>
      </c>
      <c r="W312">
        <v>3.2512442150842702</v>
      </c>
      <c r="X312" t="s">
        <v>52</v>
      </c>
      <c r="Y312" t="s">
        <v>60</v>
      </c>
      <c r="Z312">
        <v>255.72869535959899</v>
      </c>
    </row>
    <row r="313" spans="1:26" x14ac:dyDescent="0.3">
      <c r="A313" t="s">
        <v>61</v>
      </c>
      <c r="B313" t="s">
        <v>369</v>
      </c>
      <c r="C313">
        <v>37.862442512660898</v>
      </c>
      <c r="D313">
        <v>74</v>
      </c>
      <c r="E313">
        <v>982</v>
      </c>
      <c r="F313">
        <v>2981.1631977777301</v>
      </c>
      <c r="H313">
        <v>52</v>
      </c>
      <c r="I313">
        <v>4</v>
      </c>
      <c r="J313">
        <v>42</v>
      </c>
      <c r="K313">
        <v>2</v>
      </c>
      <c r="L313" t="s">
        <v>36</v>
      </c>
      <c r="M313">
        <v>13.4540378826705</v>
      </c>
      <c r="N313" t="s">
        <v>37</v>
      </c>
      <c r="O313" t="s">
        <v>65</v>
      </c>
      <c r="P313">
        <f>VLOOKUP(O313, Coordinates!$A$2:$C$6, 2, FALSE)</f>
        <v>41.878100000000003</v>
      </c>
      <c r="Q313">
        <f>VLOOKUP(O313, Coordinates!$A$2:$C$6, 3, FALSE)</f>
        <v>-87.629800000000003</v>
      </c>
      <c r="R313">
        <v>6</v>
      </c>
      <c r="S313">
        <v>957</v>
      </c>
      <c r="T313">
        <v>4</v>
      </c>
      <c r="U313">
        <v>92.176287625521397</v>
      </c>
      <c r="V313" t="s">
        <v>30</v>
      </c>
      <c r="W313">
        <v>4.2680874841978804</v>
      </c>
      <c r="X313" t="s">
        <v>31</v>
      </c>
      <c r="Y313" t="s">
        <v>60</v>
      </c>
      <c r="Z313">
        <v>384.94164385824399</v>
      </c>
    </row>
    <row r="314" spans="1:26" x14ac:dyDescent="0.3">
      <c r="A314" t="s">
        <v>82</v>
      </c>
      <c r="B314" t="s">
        <v>370</v>
      </c>
      <c r="C314">
        <v>34.943004500000001</v>
      </c>
      <c r="D314">
        <v>25</v>
      </c>
      <c r="E314">
        <v>773</v>
      </c>
      <c r="F314">
        <v>3537.43195907582</v>
      </c>
      <c r="G314" t="s">
        <v>54</v>
      </c>
      <c r="H314">
        <v>25</v>
      </c>
      <c r="I314">
        <v>12</v>
      </c>
      <c r="J314">
        <v>38</v>
      </c>
      <c r="K314">
        <v>8</v>
      </c>
      <c r="L314" t="s">
        <v>36</v>
      </c>
      <c r="M314">
        <v>7.4027135202213099</v>
      </c>
      <c r="N314" t="s">
        <v>45</v>
      </c>
      <c r="O314" t="s">
        <v>38</v>
      </c>
      <c r="P314">
        <f>VLOOKUP(O314, Coordinates!$A$2:$C$6, 2, FALSE)</f>
        <v>25.761700000000001</v>
      </c>
      <c r="Q314">
        <f>VLOOKUP(O314, Coordinates!$A$2:$C$6, 3, FALSE)</f>
        <v>-80.191800000000001</v>
      </c>
      <c r="R314">
        <v>26</v>
      </c>
      <c r="S314">
        <v>954</v>
      </c>
      <c r="T314">
        <v>10</v>
      </c>
      <c r="U314">
        <v>19.641833386078499</v>
      </c>
      <c r="V314" t="s">
        <v>39</v>
      </c>
      <c r="W314">
        <v>4.8047059320000001</v>
      </c>
      <c r="X314" t="s">
        <v>31</v>
      </c>
      <c r="Y314" t="s">
        <v>60</v>
      </c>
      <c r="Z314">
        <v>771.67413788828901</v>
      </c>
    </row>
    <row r="315" spans="1:26" x14ac:dyDescent="0.3">
      <c r="A315" t="s">
        <v>49</v>
      </c>
      <c r="B315" t="s">
        <v>371</v>
      </c>
      <c r="C315">
        <v>78.326483987253994</v>
      </c>
      <c r="D315">
        <v>48</v>
      </c>
      <c r="E315">
        <v>811</v>
      </c>
      <c r="F315">
        <v>4992.3973118636804</v>
      </c>
      <c r="G315" t="s">
        <v>48</v>
      </c>
      <c r="H315">
        <v>90</v>
      </c>
      <c r="I315">
        <v>27</v>
      </c>
      <c r="J315">
        <v>30</v>
      </c>
      <c r="K315">
        <v>1</v>
      </c>
      <c r="L315" t="s">
        <v>27</v>
      </c>
      <c r="M315">
        <v>9.9108754191933297</v>
      </c>
      <c r="N315" t="s">
        <v>57</v>
      </c>
      <c r="O315" t="s">
        <v>65</v>
      </c>
      <c r="P315">
        <f>VLOOKUP(O315, Coordinates!$A$2:$C$6, 2, FALSE)</f>
        <v>41.878100000000003</v>
      </c>
      <c r="Q315">
        <f>VLOOKUP(O315, Coordinates!$A$2:$C$6, 3, FALSE)</f>
        <v>-87.629800000000003</v>
      </c>
      <c r="R315">
        <v>10</v>
      </c>
      <c r="S315">
        <v>675</v>
      </c>
      <c r="T315">
        <v>26</v>
      </c>
      <c r="U315">
        <v>76.952852329999999</v>
      </c>
      <c r="V315" t="s">
        <v>30</v>
      </c>
      <c r="W315">
        <v>0.90864755100000005</v>
      </c>
      <c r="X315" t="s">
        <v>40</v>
      </c>
      <c r="Y315" t="s">
        <v>60</v>
      </c>
      <c r="Z315">
        <v>138.10937048133499</v>
      </c>
    </row>
    <row r="316" spans="1:26" x14ac:dyDescent="0.3">
      <c r="A316" t="s">
        <v>33</v>
      </c>
      <c r="B316" t="s">
        <v>372</v>
      </c>
      <c r="C316">
        <v>13.210338022441899</v>
      </c>
      <c r="D316">
        <v>43</v>
      </c>
      <c r="E316">
        <v>281</v>
      </c>
      <c r="F316">
        <v>2539.92230572061</v>
      </c>
      <c r="G316" t="s">
        <v>26</v>
      </c>
      <c r="H316">
        <v>39</v>
      </c>
      <c r="I316">
        <v>8</v>
      </c>
      <c r="J316">
        <v>63</v>
      </c>
      <c r="K316">
        <v>2</v>
      </c>
      <c r="L316" t="s">
        <v>44</v>
      </c>
      <c r="M316">
        <v>4.2297457280000001</v>
      </c>
      <c r="N316" t="s">
        <v>45</v>
      </c>
      <c r="O316" t="s">
        <v>38</v>
      </c>
      <c r="P316">
        <f>VLOOKUP(O316, Coordinates!$A$2:$C$6, 2, FALSE)</f>
        <v>25.761700000000001</v>
      </c>
      <c r="Q316">
        <f>VLOOKUP(O316, Coordinates!$A$2:$C$6, 3, FALSE)</f>
        <v>-80.191800000000001</v>
      </c>
      <c r="R316">
        <v>26</v>
      </c>
      <c r="S316">
        <v>885</v>
      </c>
      <c r="T316">
        <v>19</v>
      </c>
      <c r="U316">
        <v>62.142240828909301</v>
      </c>
      <c r="V316" t="s">
        <v>39</v>
      </c>
      <c r="W316">
        <v>3.7582181514223398</v>
      </c>
      <c r="X316" t="s">
        <v>52</v>
      </c>
      <c r="Y316" t="s">
        <v>60</v>
      </c>
      <c r="Z316">
        <v>166.38749580963801</v>
      </c>
    </row>
    <row r="317" spans="1:26" x14ac:dyDescent="0.3">
      <c r="A317" t="s">
        <v>82</v>
      </c>
      <c r="B317" t="s">
        <v>373</v>
      </c>
      <c r="C317">
        <v>27.494509384581601</v>
      </c>
      <c r="D317">
        <v>38</v>
      </c>
      <c r="E317">
        <v>69</v>
      </c>
      <c r="F317">
        <v>8859.2892102250498</v>
      </c>
      <c r="G317" t="s">
        <v>35</v>
      </c>
      <c r="H317">
        <v>87</v>
      </c>
      <c r="I317">
        <v>15</v>
      </c>
      <c r="J317">
        <v>65</v>
      </c>
      <c r="K317">
        <v>1</v>
      </c>
      <c r="L317" t="s">
        <v>44</v>
      </c>
      <c r="M317">
        <v>6.6421259990468702</v>
      </c>
      <c r="N317" t="s">
        <v>51</v>
      </c>
      <c r="O317" t="s">
        <v>58</v>
      </c>
      <c r="P317">
        <f>VLOOKUP(O317, Coordinates!$A$2:$C$6, 2, FALSE)</f>
        <v>34.052199999999999</v>
      </c>
      <c r="Q317">
        <f>VLOOKUP(O317, Coordinates!$A$2:$C$6, 3, FALSE)</f>
        <v>-118.2437</v>
      </c>
      <c r="R317">
        <v>13</v>
      </c>
      <c r="S317">
        <v>640</v>
      </c>
      <c r="T317">
        <v>23</v>
      </c>
      <c r="U317">
        <v>42.237209372732501</v>
      </c>
      <c r="V317" t="s">
        <v>30</v>
      </c>
      <c r="W317">
        <v>4.5975318708794202</v>
      </c>
      <c r="X317" t="s">
        <v>46</v>
      </c>
      <c r="Y317" t="s">
        <v>60</v>
      </c>
      <c r="Z317">
        <v>607.89144570049996</v>
      </c>
    </row>
    <row r="318" spans="1:26" x14ac:dyDescent="0.3">
      <c r="A318" t="s">
        <v>82</v>
      </c>
      <c r="B318" t="s">
        <v>374</v>
      </c>
      <c r="C318">
        <v>74.582629524618497</v>
      </c>
      <c r="D318">
        <v>41</v>
      </c>
      <c r="E318">
        <v>787</v>
      </c>
      <c r="F318">
        <v>7344.2001945820202</v>
      </c>
      <c r="G318" t="s">
        <v>48</v>
      </c>
      <c r="H318">
        <v>7</v>
      </c>
      <c r="I318">
        <v>21</v>
      </c>
      <c r="J318">
        <v>30</v>
      </c>
      <c r="K318">
        <v>5</v>
      </c>
      <c r="L318" t="s">
        <v>44</v>
      </c>
      <c r="M318">
        <v>13.19655633588</v>
      </c>
      <c r="N318" t="s">
        <v>57</v>
      </c>
      <c r="O318" t="s">
        <v>65</v>
      </c>
      <c r="P318">
        <f>VLOOKUP(O318, Coordinates!$A$2:$C$6, 2, FALSE)</f>
        <v>41.878100000000003</v>
      </c>
      <c r="Q318">
        <f>VLOOKUP(O318, Coordinates!$A$2:$C$6, 3, FALSE)</f>
        <v>-87.629800000000003</v>
      </c>
      <c r="R318">
        <v>29</v>
      </c>
      <c r="S318">
        <v>586</v>
      </c>
      <c r="T318">
        <v>14</v>
      </c>
      <c r="U318">
        <v>17.122815633971701</v>
      </c>
      <c r="V318" t="s">
        <v>30</v>
      </c>
      <c r="W318">
        <v>1.70676145965249</v>
      </c>
      <c r="X318" t="s">
        <v>52</v>
      </c>
      <c r="Y318" t="s">
        <v>41</v>
      </c>
      <c r="Z318">
        <v>568.23377840682997</v>
      </c>
    </row>
    <row r="319" spans="1:26" x14ac:dyDescent="0.3">
      <c r="A319" t="s">
        <v>61</v>
      </c>
      <c r="B319" t="s">
        <v>375</v>
      </c>
      <c r="C319">
        <v>57.09045545</v>
      </c>
      <c r="D319">
        <v>45</v>
      </c>
      <c r="E319">
        <v>904</v>
      </c>
      <c r="F319">
        <v>1766.8042980369501</v>
      </c>
      <c r="G319" t="s">
        <v>48</v>
      </c>
      <c r="H319">
        <v>20</v>
      </c>
      <c r="I319">
        <v>30</v>
      </c>
      <c r="J319">
        <v>64</v>
      </c>
      <c r="K319">
        <v>7</v>
      </c>
      <c r="L319" t="s">
        <v>44</v>
      </c>
      <c r="M319">
        <v>1.4087653082727301</v>
      </c>
      <c r="N319" t="s">
        <v>28</v>
      </c>
      <c r="O319" t="s">
        <v>65</v>
      </c>
      <c r="P319">
        <f>VLOOKUP(O319, Coordinates!$A$2:$C$6, 2, FALSE)</f>
        <v>41.878100000000003</v>
      </c>
      <c r="Q319">
        <f>VLOOKUP(O319, Coordinates!$A$2:$C$6, 3, FALSE)</f>
        <v>-87.629800000000003</v>
      </c>
      <c r="R319">
        <v>10</v>
      </c>
      <c r="S319">
        <v>981</v>
      </c>
      <c r="T319">
        <v>10</v>
      </c>
      <c r="U319">
        <v>64.4262858862066</v>
      </c>
      <c r="V319" t="s">
        <v>39</v>
      </c>
      <c r="W319">
        <v>3.9149164897856701</v>
      </c>
      <c r="X319" t="s">
        <v>31</v>
      </c>
      <c r="Y319" t="s">
        <v>41</v>
      </c>
      <c r="Z319">
        <v>526.66756600705003</v>
      </c>
    </row>
    <row r="320" spans="1:26" x14ac:dyDescent="0.3">
      <c r="A320" t="s">
        <v>24</v>
      </c>
      <c r="B320" t="s">
        <v>376</v>
      </c>
      <c r="C320">
        <v>30.359471277475102</v>
      </c>
      <c r="D320">
        <v>88</v>
      </c>
      <c r="E320">
        <v>192</v>
      </c>
      <c r="F320">
        <v>5246.1166367476999</v>
      </c>
      <c r="G320" t="s">
        <v>26</v>
      </c>
      <c r="H320">
        <v>92</v>
      </c>
      <c r="I320">
        <v>23</v>
      </c>
      <c r="J320">
        <v>67</v>
      </c>
      <c r="K320">
        <v>6</v>
      </c>
      <c r="L320" t="s">
        <v>44</v>
      </c>
      <c r="M320">
        <v>8.4586298170000003</v>
      </c>
      <c r="N320" t="s">
        <v>37</v>
      </c>
      <c r="O320" t="s">
        <v>67</v>
      </c>
      <c r="P320">
        <f>VLOOKUP(O320, Coordinates!$A$2:$C$6, 2, FALSE)</f>
        <v>40.712800000000001</v>
      </c>
      <c r="Q320">
        <f>VLOOKUP(O320, Coordinates!$A$2:$C$6, 3, FALSE)</f>
        <v>-74.006</v>
      </c>
      <c r="R320">
        <v>14</v>
      </c>
      <c r="S320">
        <v>837</v>
      </c>
      <c r="T320">
        <v>17</v>
      </c>
      <c r="U320">
        <v>84.814515825749396</v>
      </c>
      <c r="V320" t="s">
        <v>30</v>
      </c>
      <c r="W320">
        <v>1.36861351541207</v>
      </c>
      <c r="X320" t="s">
        <v>46</v>
      </c>
      <c r="Y320" t="s">
        <v>60</v>
      </c>
      <c r="Z320">
        <v>564.31804127316798</v>
      </c>
    </row>
    <row r="321" spans="1:26" x14ac:dyDescent="0.3">
      <c r="A321" t="s">
        <v>24</v>
      </c>
      <c r="B321" t="s">
        <v>377</v>
      </c>
      <c r="C321">
        <v>35.794467521681298</v>
      </c>
      <c r="D321">
        <v>40</v>
      </c>
      <c r="E321">
        <v>321</v>
      </c>
      <c r="F321">
        <v>10341.0216670137</v>
      </c>
      <c r="G321" t="s">
        <v>48</v>
      </c>
      <c r="H321">
        <v>42</v>
      </c>
      <c r="I321">
        <v>19</v>
      </c>
      <c r="J321">
        <v>73</v>
      </c>
      <c r="K321">
        <v>6</v>
      </c>
      <c r="L321" t="s">
        <v>36</v>
      </c>
      <c r="M321">
        <v>13.2191761705862</v>
      </c>
      <c r="N321" t="s">
        <v>57</v>
      </c>
      <c r="O321" t="s">
        <v>67</v>
      </c>
      <c r="P321">
        <f>VLOOKUP(O321, Coordinates!$A$2:$C$6, 2, FALSE)</f>
        <v>40.712800000000001</v>
      </c>
      <c r="Q321">
        <f>VLOOKUP(O321, Coordinates!$A$2:$C$6, 3, FALSE)</f>
        <v>-74.006</v>
      </c>
      <c r="R321">
        <v>28</v>
      </c>
      <c r="S321">
        <v>671</v>
      </c>
      <c r="T321">
        <v>22</v>
      </c>
      <c r="U321">
        <v>87.618126641486995</v>
      </c>
      <c r="V321" t="s">
        <v>30</v>
      </c>
      <c r="W321">
        <v>4.7130013670000004</v>
      </c>
      <c r="X321" t="s">
        <v>46</v>
      </c>
      <c r="Y321" t="s">
        <v>60</v>
      </c>
      <c r="Z321">
        <v>767.83499998217303</v>
      </c>
    </row>
    <row r="322" spans="1:26" x14ac:dyDescent="0.3">
      <c r="A322" t="s">
        <v>72</v>
      </c>
      <c r="B322" t="s">
        <v>378</v>
      </c>
      <c r="C322">
        <v>23.669637260462299</v>
      </c>
      <c r="D322">
        <v>97</v>
      </c>
      <c r="E322">
        <v>920</v>
      </c>
      <c r="F322">
        <v>19598.459651662801</v>
      </c>
      <c r="G322" t="s">
        <v>26</v>
      </c>
      <c r="H322">
        <v>20</v>
      </c>
      <c r="I322">
        <v>15</v>
      </c>
      <c r="J322">
        <v>95</v>
      </c>
      <c r="K322">
        <v>6</v>
      </c>
      <c r="L322" t="s">
        <v>36</v>
      </c>
      <c r="M322">
        <v>2.7081382339106401</v>
      </c>
      <c r="N322" t="s">
        <v>28</v>
      </c>
      <c r="O322" t="s">
        <v>29</v>
      </c>
      <c r="P322">
        <f>VLOOKUP(O322, Coordinates!$A$2:$C$6, 2, FALSE)</f>
        <v>29.760400000000001</v>
      </c>
      <c r="Q322">
        <f>VLOOKUP(O322, Coordinates!$A$2:$C$6, 3, FALSE)</f>
        <v>-95.369799999999998</v>
      </c>
      <c r="R322">
        <v>13</v>
      </c>
      <c r="S322">
        <v>585</v>
      </c>
      <c r="T322">
        <v>29</v>
      </c>
      <c r="U322">
        <v>83.469883360581605</v>
      </c>
      <c r="V322" t="s">
        <v>30</v>
      </c>
      <c r="W322">
        <v>3.4173049600689298</v>
      </c>
      <c r="X322" t="s">
        <v>46</v>
      </c>
      <c r="Y322" t="s">
        <v>41</v>
      </c>
      <c r="Z322">
        <v>618.50263462610303</v>
      </c>
    </row>
    <row r="323" spans="1:26" x14ac:dyDescent="0.3">
      <c r="A323" t="s">
        <v>61</v>
      </c>
      <c r="B323" t="s">
        <v>379</v>
      </c>
      <c r="C323">
        <v>83.647495655606406</v>
      </c>
      <c r="D323">
        <v>17</v>
      </c>
      <c r="E323">
        <v>142</v>
      </c>
      <c r="F323">
        <v>1027.1878422054499</v>
      </c>
      <c r="G323" t="s">
        <v>35</v>
      </c>
      <c r="H323">
        <v>2</v>
      </c>
      <c r="I323">
        <v>8</v>
      </c>
      <c r="J323">
        <v>55</v>
      </c>
      <c r="K323">
        <v>8</v>
      </c>
      <c r="L323" t="s">
        <v>36</v>
      </c>
      <c r="M323">
        <v>14.755646827315701</v>
      </c>
      <c r="N323" t="s">
        <v>45</v>
      </c>
      <c r="O323" t="s">
        <v>38</v>
      </c>
      <c r="P323">
        <f>VLOOKUP(O323, Coordinates!$A$2:$C$6, 2, FALSE)</f>
        <v>25.761700000000001</v>
      </c>
      <c r="Q323">
        <f>VLOOKUP(O323, Coordinates!$A$2:$C$6, 3, FALSE)</f>
        <v>-80.191800000000001</v>
      </c>
      <c r="R323">
        <v>28</v>
      </c>
      <c r="S323">
        <v>665</v>
      </c>
      <c r="T323">
        <v>27</v>
      </c>
      <c r="U323">
        <v>75.9271372558769</v>
      </c>
      <c r="V323" t="s">
        <v>39</v>
      </c>
      <c r="W323">
        <v>3.5353733265259701</v>
      </c>
      <c r="X323" t="s">
        <v>46</v>
      </c>
      <c r="Y323" t="s">
        <v>41</v>
      </c>
      <c r="Z323">
        <v>511.27582681815397</v>
      </c>
    </row>
    <row r="324" spans="1:26" x14ac:dyDescent="0.3">
      <c r="A324" t="s">
        <v>49</v>
      </c>
      <c r="B324" t="s">
        <v>380</v>
      </c>
      <c r="C324">
        <v>79.832736475132293</v>
      </c>
      <c r="D324">
        <v>88</v>
      </c>
      <c r="E324">
        <v>347</v>
      </c>
      <c r="F324">
        <v>3231.3920482522599</v>
      </c>
      <c r="G324" t="s">
        <v>54</v>
      </c>
      <c r="H324">
        <v>30</v>
      </c>
      <c r="I324">
        <v>8</v>
      </c>
      <c r="J324">
        <v>93</v>
      </c>
      <c r="K324">
        <v>5</v>
      </c>
      <c r="L324" t="s">
        <v>44</v>
      </c>
      <c r="M324">
        <v>1.17348049573636</v>
      </c>
      <c r="N324" t="s">
        <v>45</v>
      </c>
      <c r="O324" t="s">
        <v>38</v>
      </c>
      <c r="P324">
        <f>VLOOKUP(O324, Coordinates!$A$2:$C$6, 2, FALSE)</f>
        <v>25.761700000000001</v>
      </c>
      <c r="Q324">
        <f>VLOOKUP(O324, Coordinates!$A$2:$C$6, 3, FALSE)</f>
        <v>-80.191800000000001</v>
      </c>
      <c r="R324">
        <v>30</v>
      </c>
      <c r="S324">
        <v>939</v>
      </c>
      <c r="T324">
        <v>27</v>
      </c>
      <c r="U324">
        <v>99.220117080236093</v>
      </c>
      <c r="V324" t="s">
        <v>39</v>
      </c>
      <c r="W324">
        <v>4.2938716958939702</v>
      </c>
      <c r="X324" t="s">
        <v>46</v>
      </c>
      <c r="Y324" t="s">
        <v>32</v>
      </c>
      <c r="Z324">
        <v>173.575895178792</v>
      </c>
    </row>
    <row r="325" spans="1:26" x14ac:dyDescent="0.3">
      <c r="A325" t="s">
        <v>24</v>
      </c>
      <c r="B325" t="s">
        <v>381</v>
      </c>
      <c r="C325">
        <v>39.625036911636997</v>
      </c>
      <c r="D325">
        <v>57</v>
      </c>
      <c r="E325">
        <v>109</v>
      </c>
      <c r="F325">
        <v>3887.2161210315899</v>
      </c>
      <c r="G325" t="s">
        <v>26</v>
      </c>
      <c r="H325">
        <v>26</v>
      </c>
      <c r="I325">
        <v>19</v>
      </c>
      <c r="J325">
        <v>31</v>
      </c>
      <c r="K325">
        <v>10</v>
      </c>
      <c r="L325" t="s">
        <v>36</v>
      </c>
      <c r="M325">
        <v>13.405680159999999</v>
      </c>
      <c r="N325" t="s">
        <v>51</v>
      </c>
      <c r="O325" t="s">
        <v>67</v>
      </c>
      <c r="P325">
        <f>VLOOKUP(O325, Coordinates!$A$2:$C$6, 2, FALSE)</f>
        <v>40.712800000000001</v>
      </c>
      <c r="Q325">
        <f>VLOOKUP(O325, Coordinates!$A$2:$C$6, 3, FALSE)</f>
        <v>-74.006</v>
      </c>
      <c r="R325">
        <v>20</v>
      </c>
      <c r="S325">
        <v>760</v>
      </c>
      <c r="T325">
        <v>11</v>
      </c>
      <c r="U325">
        <v>94.250633769892602</v>
      </c>
      <c r="V325" t="s">
        <v>39</v>
      </c>
      <c r="W325">
        <v>4.0661558527877002</v>
      </c>
      <c r="X325" t="s">
        <v>40</v>
      </c>
      <c r="Y325" t="s">
        <v>32</v>
      </c>
      <c r="Z325">
        <v>977.29400257592397</v>
      </c>
    </row>
    <row r="326" spans="1:26" x14ac:dyDescent="0.3">
      <c r="A326" t="s">
        <v>33</v>
      </c>
      <c r="B326" t="s">
        <v>382</v>
      </c>
      <c r="C326">
        <v>51.9757074730338</v>
      </c>
      <c r="D326">
        <v>2</v>
      </c>
      <c r="E326">
        <v>944</v>
      </c>
      <c r="F326">
        <v>9389.20523858454</v>
      </c>
      <c r="G326" t="s">
        <v>54</v>
      </c>
      <c r="H326">
        <v>5</v>
      </c>
      <c r="I326">
        <v>28</v>
      </c>
      <c r="J326">
        <v>69</v>
      </c>
      <c r="K326">
        <v>7</v>
      </c>
      <c r="L326" t="s">
        <v>36</v>
      </c>
      <c r="M326">
        <v>5.9514160415295301</v>
      </c>
      <c r="N326" t="s">
        <v>51</v>
      </c>
      <c r="O326" t="s">
        <v>67</v>
      </c>
      <c r="P326">
        <f>VLOOKUP(O326, Coordinates!$A$2:$C$6, 2, FALSE)</f>
        <v>40.712800000000001</v>
      </c>
      <c r="Q326">
        <f>VLOOKUP(O326, Coordinates!$A$2:$C$6, 3, FALSE)</f>
        <v>-74.006</v>
      </c>
      <c r="R326">
        <v>30</v>
      </c>
      <c r="S326">
        <v>504</v>
      </c>
      <c r="T326">
        <v>18</v>
      </c>
      <c r="U326">
        <v>39.0150839236127</v>
      </c>
      <c r="V326" t="s">
        <v>30</v>
      </c>
      <c r="W326">
        <v>4.4618494911267303</v>
      </c>
      <c r="X326" t="s">
        <v>31</v>
      </c>
      <c r="Y326" t="s">
        <v>60</v>
      </c>
      <c r="Z326">
        <v>315.40028353428198</v>
      </c>
    </row>
    <row r="327" spans="1:26" x14ac:dyDescent="0.3">
      <c r="A327" t="s">
        <v>61</v>
      </c>
      <c r="B327" t="s">
        <v>383</v>
      </c>
      <c r="C327">
        <v>98.057329839999994</v>
      </c>
      <c r="D327">
        <v>96</v>
      </c>
      <c r="E327">
        <v>384</v>
      </c>
      <c r="F327">
        <v>7485.2777743357301</v>
      </c>
      <c r="G327" t="s">
        <v>48</v>
      </c>
      <c r="H327">
        <v>72</v>
      </c>
      <c r="I327">
        <v>30</v>
      </c>
      <c r="J327">
        <v>20</v>
      </c>
      <c r="K327">
        <v>3</v>
      </c>
      <c r="L327" t="s">
        <v>27</v>
      </c>
      <c r="M327">
        <v>2.8576681434886702</v>
      </c>
      <c r="N327" t="s">
        <v>57</v>
      </c>
      <c r="O327" t="s">
        <v>58</v>
      </c>
      <c r="P327">
        <f>VLOOKUP(O327, Coordinates!$A$2:$C$6, 2, FALSE)</f>
        <v>34.052199999999999</v>
      </c>
      <c r="Q327">
        <f>VLOOKUP(O327, Coordinates!$A$2:$C$6, 3, FALSE)</f>
        <v>-118.2437</v>
      </c>
      <c r="R327">
        <v>17</v>
      </c>
      <c r="S327">
        <v>669</v>
      </c>
      <c r="T327">
        <v>2</v>
      </c>
      <c r="U327">
        <v>40.703081212809202</v>
      </c>
      <c r="V327" t="s">
        <v>30</v>
      </c>
      <c r="W327">
        <v>4.5055976642371496</v>
      </c>
      <c r="X327" t="s">
        <v>46</v>
      </c>
      <c r="Y327" t="s">
        <v>60</v>
      </c>
      <c r="Z327">
        <v>882.24212279642302</v>
      </c>
    </row>
    <row r="328" spans="1:26" x14ac:dyDescent="0.3">
      <c r="A328" t="s">
        <v>82</v>
      </c>
      <c r="B328" t="s">
        <v>384</v>
      </c>
      <c r="C328">
        <v>18.771681876082599</v>
      </c>
      <c r="D328">
        <v>62</v>
      </c>
      <c r="E328">
        <v>114</v>
      </c>
      <c r="F328">
        <v>7891.8698889999996</v>
      </c>
      <c r="G328" t="s">
        <v>26</v>
      </c>
      <c r="H328">
        <v>56</v>
      </c>
      <c r="I328">
        <v>24</v>
      </c>
      <c r="J328">
        <v>56</v>
      </c>
      <c r="K328">
        <v>9</v>
      </c>
      <c r="L328" t="s">
        <v>36</v>
      </c>
      <c r="M328">
        <v>3.2030144535634899</v>
      </c>
      <c r="N328" t="s">
        <v>37</v>
      </c>
      <c r="O328" t="s">
        <v>58</v>
      </c>
      <c r="P328">
        <f>VLOOKUP(O328, Coordinates!$A$2:$C$6, 2, FALSE)</f>
        <v>34.052199999999999</v>
      </c>
      <c r="Q328">
        <f>VLOOKUP(O328, Coordinates!$A$2:$C$6, 3, FALSE)</f>
        <v>-118.2437</v>
      </c>
      <c r="R328">
        <v>18</v>
      </c>
      <c r="S328">
        <v>532</v>
      </c>
      <c r="T328">
        <v>11</v>
      </c>
      <c r="U328">
        <v>75.842444067295105</v>
      </c>
      <c r="V328" t="s">
        <v>30</v>
      </c>
      <c r="W328">
        <v>0.26345412776773203</v>
      </c>
      <c r="X328" t="s">
        <v>31</v>
      </c>
      <c r="Y328" t="s">
        <v>60</v>
      </c>
      <c r="Z328">
        <v>441.07993680408498</v>
      </c>
    </row>
    <row r="329" spans="1:26" x14ac:dyDescent="0.3">
      <c r="A329" t="s">
        <v>33</v>
      </c>
      <c r="B329" t="s">
        <v>385</v>
      </c>
      <c r="C329">
        <v>73.889794120000005</v>
      </c>
      <c r="D329">
        <v>88</v>
      </c>
      <c r="E329">
        <v>948</v>
      </c>
      <c r="F329">
        <v>1823.34662136682</v>
      </c>
      <c r="G329" t="s">
        <v>35</v>
      </c>
      <c r="H329">
        <v>96</v>
      </c>
      <c r="I329">
        <v>17</v>
      </c>
      <c r="J329">
        <v>40</v>
      </c>
      <c r="K329">
        <v>10</v>
      </c>
      <c r="L329" t="s">
        <v>27</v>
      </c>
      <c r="M329">
        <v>10.816502056959701</v>
      </c>
      <c r="N329" t="s">
        <v>45</v>
      </c>
      <c r="O329" t="s">
        <v>38</v>
      </c>
      <c r="P329">
        <f>VLOOKUP(O329, Coordinates!$A$2:$C$6, 2, FALSE)</f>
        <v>25.761700000000001</v>
      </c>
      <c r="Q329">
        <f>VLOOKUP(O329, Coordinates!$A$2:$C$6, 3, FALSE)</f>
        <v>-80.191800000000001</v>
      </c>
      <c r="R329">
        <v>28</v>
      </c>
      <c r="S329">
        <v>647</v>
      </c>
      <c r="T329">
        <v>8</v>
      </c>
      <c r="U329">
        <v>93.863734143050195</v>
      </c>
      <c r="V329" t="s">
        <v>39</v>
      </c>
      <c r="W329">
        <v>3.7663491610919699</v>
      </c>
      <c r="X329" t="s">
        <v>40</v>
      </c>
      <c r="Y329" t="s">
        <v>41</v>
      </c>
      <c r="Z329">
        <v>715.54284259999997</v>
      </c>
    </row>
    <row r="330" spans="1:26" x14ac:dyDescent="0.3">
      <c r="A330" t="s">
        <v>33</v>
      </c>
      <c r="B330" t="s">
        <v>386</v>
      </c>
      <c r="C330">
        <v>23.1631166391549</v>
      </c>
      <c r="D330">
        <v>9</v>
      </c>
      <c r="E330">
        <v>549</v>
      </c>
      <c r="F330">
        <v>5624.8825130040996</v>
      </c>
      <c r="H330">
        <v>32</v>
      </c>
      <c r="I330">
        <v>8</v>
      </c>
      <c r="J330">
        <v>86</v>
      </c>
      <c r="K330">
        <v>3</v>
      </c>
      <c r="L330" t="s">
        <v>44</v>
      </c>
      <c r="M330">
        <v>13.1900754731832</v>
      </c>
      <c r="N330" t="s">
        <v>57</v>
      </c>
      <c r="O330" t="s">
        <v>65</v>
      </c>
      <c r="P330">
        <f>VLOOKUP(O330, Coordinates!$A$2:$C$6, 2, FALSE)</f>
        <v>41.878100000000003</v>
      </c>
      <c r="Q330">
        <f>VLOOKUP(O330, Coordinates!$A$2:$C$6, 3, FALSE)</f>
        <v>-87.629800000000003</v>
      </c>
      <c r="R330">
        <v>10</v>
      </c>
      <c r="S330">
        <v>756</v>
      </c>
      <c r="T330">
        <v>19</v>
      </c>
      <c r="U330">
        <v>97.689137462340199</v>
      </c>
      <c r="V330" t="s">
        <v>55</v>
      </c>
      <c r="W330">
        <v>4.1303043909360397</v>
      </c>
      <c r="X330" t="s">
        <v>40</v>
      </c>
      <c r="Y330" t="s">
        <v>60</v>
      </c>
      <c r="Z330">
        <v>508.71674183845698</v>
      </c>
    </row>
    <row r="331" spans="1:26" x14ac:dyDescent="0.3">
      <c r="A331" t="s">
        <v>82</v>
      </c>
      <c r="B331" t="s">
        <v>387</v>
      </c>
      <c r="C331">
        <v>37.134995009999997</v>
      </c>
      <c r="D331">
        <v>68</v>
      </c>
      <c r="E331">
        <v>358</v>
      </c>
      <c r="F331">
        <v>3084.2469216009899</v>
      </c>
      <c r="G331" t="s">
        <v>26</v>
      </c>
      <c r="H331">
        <v>89</v>
      </c>
      <c r="I331">
        <v>12</v>
      </c>
      <c r="J331">
        <v>27</v>
      </c>
      <c r="K331">
        <v>6</v>
      </c>
      <c r="L331" t="s">
        <v>44</v>
      </c>
      <c r="M331">
        <v>9.9749289529999992</v>
      </c>
      <c r="N331" t="s">
        <v>57</v>
      </c>
      <c r="O331" t="s">
        <v>29</v>
      </c>
      <c r="P331">
        <f>VLOOKUP(O331, Coordinates!$A$2:$C$6, 2, FALSE)</f>
        <v>29.760400000000001</v>
      </c>
      <c r="Q331">
        <f>VLOOKUP(O331, Coordinates!$A$2:$C$6, 3, FALSE)</f>
        <v>-95.369799999999998</v>
      </c>
      <c r="R331">
        <v>21</v>
      </c>
      <c r="S331">
        <v>349</v>
      </c>
      <c r="T331">
        <v>25</v>
      </c>
      <c r="U331">
        <v>95.123022990231604</v>
      </c>
      <c r="V331" t="s">
        <v>39</v>
      </c>
      <c r="W331">
        <v>4.7302582669008899</v>
      </c>
      <c r="X331" t="s">
        <v>40</v>
      </c>
      <c r="Y331" t="s">
        <v>60</v>
      </c>
      <c r="Z331">
        <v>418.74647657752303</v>
      </c>
    </row>
    <row r="332" spans="1:26" x14ac:dyDescent="0.3">
      <c r="A332" t="s">
        <v>61</v>
      </c>
      <c r="B332" t="s">
        <v>388</v>
      </c>
      <c r="C332">
        <v>34.326380620453499</v>
      </c>
      <c r="D332">
        <v>81</v>
      </c>
      <c r="E332">
        <v>747</v>
      </c>
      <c r="F332">
        <v>2630.9623925225501</v>
      </c>
      <c r="G332" t="s">
        <v>26</v>
      </c>
      <c r="H332">
        <v>91</v>
      </c>
      <c r="I332">
        <v>27</v>
      </c>
      <c r="J332">
        <v>31</v>
      </c>
      <c r="K332">
        <v>3</v>
      </c>
      <c r="L332" t="s">
        <v>44</v>
      </c>
      <c r="M332">
        <v>14.002149599050499</v>
      </c>
      <c r="N332" t="s">
        <v>57</v>
      </c>
      <c r="O332" t="s">
        <v>67</v>
      </c>
      <c r="P332">
        <f>VLOOKUP(O332, Coordinates!$A$2:$C$6, 2, FALSE)</f>
        <v>40.712800000000001</v>
      </c>
      <c r="Q332">
        <f>VLOOKUP(O332, Coordinates!$A$2:$C$6, 3, FALSE)</f>
        <v>-74.006</v>
      </c>
      <c r="R332">
        <v>18</v>
      </c>
      <c r="S332">
        <v>179</v>
      </c>
      <c r="T332">
        <v>16</v>
      </c>
      <c r="U332">
        <v>89.144470690000006</v>
      </c>
      <c r="V332" t="s">
        <v>39</v>
      </c>
      <c r="W332">
        <v>1.5383592406197</v>
      </c>
      <c r="X332" t="s">
        <v>52</v>
      </c>
      <c r="Y332" t="s">
        <v>60</v>
      </c>
      <c r="Z332">
        <v>652.87454585077501</v>
      </c>
    </row>
    <row r="333" spans="1:26" x14ac:dyDescent="0.3">
      <c r="A333" t="s">
        <v>82</v>
      </c>
      <c r="B333" t="s">
        <v>389</v>
      </c>
      <c r="C333">
        <v>94.968418835178596</v>
      </c>
      <c r="D333">
        <v>17</v>
      </c>
      <c r="E333">
        <v>321</v>
      </c>
      <c r="F333">
        <v>8292.7296921099896</v>
      </c>
      <c r="G333" t="s">
        <v>54</v>
      </c>
      <c r="H333">
        <v>43</v>
      </c>
      <c r="I333">
        <v>15</v>
      </c>
      <c r="J333">
        <v>65</v>
      </c>
      <c r="K333">
        <v>1</v>
      </c>
      <c r="L333" t="s">
        <v>44</v>
      </c>
      <c r="M333">
        <v>12.794703130796499</v>
      </c>
      <c r="N333" t="s">
        <v>51</v>
      </c>
      <c r="O333" t="s">
        <v>67</v>
      </c>
      <c r="P333">
        <f>VLOOKUP(O333, Coordinates!$A$2:$C$6, 2, FALSE)</f>
        <v>40.712800000000001</v>
      </c>
      <c r="Q333">
        <f>VLOOKUP(O333, Coordinates!$A$2:$C$6, 3, FALSE)</f>
        <v>-74.006</v>
      </c>
      <c r="R333">
        <v>19</v>
      </c>
      <c r="S333">
        <v>114</v>
      </c>
      <c r="T333">
        <v>4</v>
      </c>
      <c r="U333">
        <v>99.187963643856705</v>
      </c>
      <c r="V333" t="s">
        <v>39</v>
      </c>
      <c r="W333">
        <v>4.30090921635767E-2</v>
      </c>
      <c r="X333" t="s">
        <v>52</v>
      </c>
      <c r="Y333" t="s">
        <v>32</v>
      </c>
      <c r="Z333">
        <v>582.49577450150196</v>
      </c>
    </row>
    <row r="334" spans="1:26" x14ac:dyDescent="0.3">
      <c r="A334" t="s">
        <v>72</v>
      </c>
      <c r="B334" t="s">
        <v>390</v>
      </c>
      <c r="C334">
        <v>37.588565840000001</v>
      </c>
      <c r="D334">
        <v>50</v>
      </c>
      <c r="E334">
        <v>270</v>
      </c>
      <c r="F334">
        <v>9134.0214992820293</v>
      </c>
      <c r="G334" t="s">
        <v>54</v>
      </c>
      <c r="H334">
        <v>42</v>
      </c>
      <c r="I334">
        <v>4</v>
      </c>
      <c r="J334">
        <v>26</v>
      </c>
      <c r="K334">
        <v>1</v>
      </c>
      <c r="L334" t="s">
        <v>36</v>
      </c>
      <c r="M334">
        <v>1.1264452971690999</v>
      </c>
      <c r="N334" t="s">
        <v>45</v>
      </c>
      <c r="O334" t="s">
        <v>38</v>
      </c>
      <c r="P334">
        <f>VLOOKUP(O334, Coordinates!$A$2:$C$6, 2, FALSE)</f>
        <v>25.761700000000001</v>
      </c>
      <c r="Q334">
        <f>VLOOKUP(O334, Coordinates!$A$2:$C$6, 3, FALSE)</f>
        <v>-80.191800000000001</v>
      </c>
      <c r="R334">
        <v>30</v>
      </c>
      <c r="S334">
        <v>139</v>
      </c>
      <c r="T334">
        <v>14</v>
      </c>
      <c r="U334">
        <v>77.7068381968609</v>
      </c>
      <c r="V334" t="s">
        <v>39</v>
      </c>
      <c r="W334">
        <v>3.5742634776274702</v>
      </c>
      <c r="X334" t="s">
        <v>46</v>
      </c>
      <c r="Y334" t="s">
        <v>32</v>
      </c>
      <c r="Z334">
        <v>309.18916626665799</v>
      </c>
    </row>
    <row r="335" spans="1:26" x14ac:dyDescent="0.3">
      <c r="A335" t="s">
        <v>33</v>
      </c>
      <c r="B335" t="s">
        <v>391</v>
      </c>
      <c r="C335">
        <v>22.386467202298999</v>
      </c>
      <c r="D335">
        <v>94</v>
      </c>
      <c r="E335">
        <v>698</v>
      </c>
      <c r="F335">
        <v>5217.8647329674604</v>
      </c>
      <c r="H335">
        <v>30</v>
      </c>
      <c r="I335">
        <v>6</v>
      </c>
      <c r="J335">
        <v>47</v>
      </c>
      <c r="K335">
        <v>3</v>
      </c>
      <c r="L335" t="s">
        <v>27</v>
      </c>
      <c r="M335">
        <v>10.372015302021801</v>
      </c>
      <c r="N335" t="s">
        <v>51</v>
      </c>
      <c r="O335" t="s">
        <v>29</v>
      </c>
      <c r="P335">
        <f>VLOOKUP(O335, Coordinates!$A$2:$C$6, 2, FALSE)</f>
        <v>29.760400000000001</v>
      </c>
      <c r="Q335">
        <f>VLOOKUP(O335, Coordinates!$A$2:$C$6, 3, FALSE)</f>
        <v>-95.369799999999998</v>
      </c>
      <c r="R335">
        <v>5</v>
      </c>
      <c r="S335">
        <v>180</v>
      </c>
      <c r="T335">
        <v>22</v>
      </c>
      <c r="U335">
        <v>95.348918799883506</v>
      </c>
      <c r="V335" t="s">
        <v>30</v>
      </c>
      <c r="W335">
        <v>1.91432067986285</v>
      </c>
      <c r="X335" t="s">
        <v>40</v>
      </c>
      <c r="Y335" t="s">
        <v>60</v>
      </c>
      <c r="Z335">
        <v>402.61761900252901</v>
      </c>
    </row>
    <row r="336" spans="1:26" x14ac:dyDescent="0.3">
      <c r="A336" t="s">
        <v>42</v>
      </c>
      <c r="B336" t="s">
        <v>392</v>
      </c>
      <c r="C336">
        <v>7.0933402282628899</v>
      </c>
      <c r="D336">
        <v>40</v>
      </c>
      <c r="E336">
        <v>856</v>
      </c>
      <c r="F336">
        <v>9447.2041562742907</v>
      </c>
      <c r="G336" t="s">
        <v>48</v>
      </c>
      <c r="H336">
        <v>64</v>
      </c>
      <c r="I336">
        <v>30</v>
      </c>
      <c r="J336">
        <v>34</v>
      </c>
      <c r="K336">
        <v>4</v>
      </c>
      <c r="L336" t="s">
        <v>44</v>
      </c>
      <c r="M336">
        <v>5.26488564200009</v>
      </c>
      <c r="N336" t="s">
        <v>51</v>
      </c>
      <c r="O336" t="s">
        <v>29</v>
      </c>
      <c r="P336">
        <f>VLOOKUP(O336, Coordinates!$A$2:$C$6, 2, FALSE)</f>
        <v>29.760400000000001</v>
      </c>
      <c r="Q336">
        <f>VLOOKUP(O336, Coordinates!$A$2:$C$6, 3, FALSE)</f>
        <v>-95.369799999999998</v>
      </c>
      <c r="R336">
        <v>1</v>
      </c>
      <c r="S336">
        <v>609</v>
      </c>
      <c r="T336">
        <v>17</v>
      </c>
      <c r="U336">
        <v>78.491796615631998</v>
      </c>
      <c r="V336" t="s">
        <v>30</v>
      </c>
      <c r="W336">
        <v>3.80516682361701</v>
      </c>
      <c r="X336" t="s">
        <v>52</v>
      </c>
      <c r="Y336" t="s">
        <v>41</v>
      </c>
      <c r="Z336">
        <v>130.939109776653</v>
      </c>
    </row>
    <row r="337" spans="1:26" x14ac:dyDescent="0.3">
      <c r="A337" t="s">
        <v>42</v>
      </c>
      <c r="B337" t="s">
        <v>393</v>
      </c>
      <c r="C337">
        <v>73.400763767995699</v>
      </c>
      <c r="D337">
        <v>58</v>
      </c>
      <c r="E337">
        <v>69</v>
      </c>
      <c r="F337">
        <v>2672.4885000880799</v>
      </c>
      <c r="G337" t="s">
        <v>48</v>
      </c>
      <c r="H337">
        <v>83</v>
      </c>
      <c r="I337">
        <v>29</v>
      </c>
      <c r="J337">
        <v>41</v>
      </c>
      <c r="K337">
        <v>2</v>
      </c>
      <c r="L337" t="s">
        <v>44</v>
      </c>
      <c r="M337">
        <v>7.3630001640857401</v>
      </c>
      <c r="N337" t="s">
        <v>57</v>
      </c>
      <c r="O337" t="s">
        <v>38</v>
      </c>
      <c r="P337">
        <f>VLOOKUP(O337, Coordinates!$A$2:$C$6, 2, FALSE)</f>
        <v>25.761700000000001</v>
      </c>
      <c r="Q337">
        <f>VLOOKUP(O337, Coordinates!$A$2:$C$6, 3, FALSE)</f>
        <v>-80.191800000000001</v>
      </c>
      <c r="R337">
        <v>5</v>
      </c>
      <c r="S337">
        <v>406</v>
      </c>
      <c r="T337">
        <v>11</v>
      </c>
      <c r="U337">
        <v>25.161387357517999</v>
      </c>
      <c r="V337" t="s">
        <v>30</v>
      </c>
      <c r="W337">
        <v>0.23792332818919501</v>
      </c>
      <c r="X337" t="s">
        <v>40</v>
      </c>
      <c r="Y337" t="s">
        <v>32</v>
      </c>
      <c r="Z337">
        <v>274.225265815939</v>
      </c>
    </row>
    <row r="338" spans="1:26" x14ac:dyDescent="0.3">
      <c r="A338" t="s">
        <v>49</v>
      </c>
      <c r="B338" t="s">
        <v>394</v>
      </c>
      <c r="C338">
        <v>44.709043717695998</v>
      </c>
      <c r="D338">
        <v>75</v>
      </c>
      <c r="E338">
        <v>337</v>
      </c>
      <c r="F338">
        <v>9801.9408139999996</v>
      </c>
      <c r="G338" t="s">
        <v>48</v>
      </c>
      <c r="H338">
        <v>75</v>
      </c>
      <c r="I338">
        <v>16</v>
      </c>
      <c r="J338">
        <v>24</v>
      </c>
      <c r="K338">
        <v>9</v>
      </c>
      <c r="L338" t="s">
        <v>27</v>
      </c>
      <c r="M338">
        <v>2.3164304738791701</v>
      </c>
      <c r="N338" t="s">
        <v>28</v>
      </c>
      <c r="O338" t="s">
        <v>67</v>
      </c>
      <c r="P338">
        <f>VLOOKUP(O338, Coordinates!$A$2:$C$6, 2, FALSE)</f>
        <v>40.712800000000001</v>
      </c>
      <c r="Q338">
        <f>VLOOKUP(O338, Coordinates!$A$2:$C$6, 3, FALSE)</f>
        <v>-74.006</v>
      </c>
      <c r="R338">
        <v>3</v>
      </c>
      <c r="S338">
        <v>804</v>
      </c>
      <c r="T338">
        <v>26</v>
      </c>
      <c r="U338">
        <v>14.0918669089482</v>
      </c>
      <c r="V338" t="s">
        <v>30</v>
      </c>
      <c r="W338">
        <v>1.0632011804632999</v>
      </c>
      <c r="X338" t="s">
        <v>52</v>
      </c>
      <c r="Y338" t="s">
        <v>60</v>
      </c>
      <c r="Z338">
        <v>402.24970853795998</v>
      </c>
    </row>
    <row r="339" spans="1:26" x14ac:dyDescent="0.3">
      <c r="A339" t="s">
        <v>24</v>
      </c>
      <c r="B339" t="s">
        <v>395</v>
      </c>
      <c r="C339">
        <v>28.005203484391899</v>
      </c>
      <c r="D339">
        <v>85</v>
      </c>
      <c r="E339">
        <v>517</v>
      </c>
      <c r="F339">
        <v>13030.8211812875</v>
      </c>
      <c r="G339" t="s">
        <v>26</v>
      </c>
      <c r="H339">
        <v>16</v>
      </c>
      <c r="I339">
        <v>26</v>
      </c>
      <c r="J339">
        <v>22</v>
      </c>
      <c r="K339">
        <v>8</v>
      </c>
      <c r="L339" t="s">
        <v>27</v>
      </c>
      <c r="M339">
        <v>4.9493882662031004</v>
      </c>
      <c r="N339" t="s">
        <v>28</v>
      </c>
      <c r="O339" t="s">
        <v>38</v>
      </c>
      <c r="P339">
        <f>VLOOKUP(O339, Coordinates!$A$2:$C$6, 2, FALSE)</f>
        <v>25.761700000000001</v>
      </c>
      <c r="Q339">
        <f>VLOOKUP(O339, Coordinates!$A$2:$C$6, 3, FALSE)</f>
        <v>-80.191800000000001</v>
      </c>
      <c r="R339">
        <v>1</v>
      </c>
      <c r="S339">
        <v>496</v>
      </c>
      <c r="T339">
        <v>26</v>
      </c>
      <c r="U339">
        <v>84.513326085544605</v>
      </c>
      <c r="V339" t="s">
        <v>39</v>
      </c>
      <c r="W339">
        <v>4.46984293097319</v>
      </c>
      <c r="X339" t="s">
        <v>40</v>
      </c>
      <c r="Y339" t="s">
        <v>32</v>
      </c>
      <c r="Z339">
        <v>974.90917864665903</v>
      </c>
    </row>
    <row r="340" spans="1:26" x14ac:dyDescent="0.3">
      <c r="A340" t="s">
        <v>82</v>
      </c>
      <c r="B340" t="s">
        <v>396</v>
      </c>
      <c r="C340">
        <v>69.956640029818999</v>
      </c>
      <c r="D340">
        <v>21</v>
      </c>
      <c r="E340">
        <v>137</v>
      </c>
      <c r="F340">
        <v>6000.5543921416202</v>
      </c>
      <c r="G340" t="s">
        <v>54</v>
      </c>
      <c r="H340">
        <v>14</v>
      </c>
      <c r="I340">
        <v>25</v>
      </c>
      <c r="J340">
        <v>67</v>
      </c>
      <c r="K340">
        <v>3</v>
      </c>
      <c r="L340" t="s">
        <v>27</v>
      </c>
      <c r="M340">
        <v>9.8576035440551006</v>
      </c>
      <c r="N340" t="s">
        <v>28</v>
      </c>
      <c r="O340" t="s">
        <v>58</v>
      </c>
      <c r="P340">
        <f>VLOOKUP(O340, Coordinates!$A$2:$C$6, 2, FALSE)</f>
        <v>34.052199999999999</v>
      </c>
      <c r="Q340">
        <f>VLOOKUP(O340, Coordinates!$A$2:$C$6, 3, FALSE)</f>
        <v>-118.2437</v>
      </c>
      <c r="R340">
        <v>19</v>
      </c>
      <c r="S340">
        <v>777</v>
      </c>
      <c r="T340">
        <v>3</v>
      </c>
      <c r="U340">
        <v>80.0876011858863</v>
      </c>
      <c r="V340" t="s">
        <v>30</v>
      </c>
      <c r="W340">
        <v>0.77410204725717002</v>
      </c>
      <c r="X340" t="s">
        <v>52</v>
      </c>
      <c r="Y340" t="s">
        <v>41</v>
      </c>
      <c r="Z340">
        <v>574.38004128906402</v>
      </c>
    </row>
    <row r="341" spans="1:26" x14ac:dyDescent="0.3">
      <c r="A341" t="s">
        <v>82</v>
      </c>
      <c r="B341" t="s">
        <v>397</v>
      </c>
      <c r="C341">
        <v>56.785025184766397</v>
      </c>
      <c r="D341">
        <v>18</v>
      </c>
      <c r="E341">
        <v>596</v>
      </c>
      <c r="F341">
        <v>2531.28466159442</v>
      </c>
      <c r="G341" t="s">
        <v>54</v>
      </c>
      <c r="H341">
        <v>33</v>
      </c>
      <c r="I341">
        <v>5</v>
      </c>
      <c r="J341">
        <v>99</v>
      </c>
      <c r="K341">
        <v>7</v>
      </c>
      <c r="L341" t="s">
        <v>27</v>
      </c>
      <c r="M341">
        <v>4.0573498235885301</v>
      </c>
      <c r="N341" t="s">
        <v>57</v>
      </c>
      <c r="O341" t="s">
        <v>38</v>
      </c>
      <c r="P341">
        <f>VLOOKUP(O341, Coordinates!$A$2:$C$6, 2, FALSE)</f>
        <v>25.761700000000001</v>
      </c>
      <c r="Q341">
        <f>VLOOKUP(O341, Coordinates!$A$2:$C$6, 3, FALSE)</f>
        <v>-80.191800000000001</v>
      </c>
      <c r="R341">
        <v>27</v>
      </c>
      <c r="S341">
        <v>964</v>
      </c>
      <c r="T341">
        <v>4</v>
      </c>
      <c r="U341">
        <v>66.852719310329505</v>
      </c>
      <c r="V341" t="s">
        <v>55</v>
      </c>
      <c r="W341">
        <v>3.7962382598417101</v>
      </c>
      <c r="X341" t="s">
        <v>31</v>
      </c>
      <c r="Y341" t="s">
        <v>41</v>
      </c>
      <c r="Z341">
        <v>730.71660037025003</v>
      </c>
    </row>
    <row r="342" spans="1:26" x14ac:dyDescent="0.3">
      <c r="A342" t="s">
        <v>49</v>
      </c>
      <c r="B342" t="s">
        <v>398</v>
      </c>
      <c r="C342">
        <v>98.149098090104999</v>
      </c>
      <c r="D342">
        <v>55</v>
      </c>
      <c r="E342">
        <v>787</v>
      </c>
      <c r="F342">
        <v>3844.9439914680602</v>
      </c>
      <c r="G342" t="s">
        <v>54</v>
      </c>
      <c r="H342">
        <v>79</v>
      </c>
      <c r="I342">
        <v>23</v>
      </c>
      <c r="J342">
        <v>59</v>
      </c>
      <c r="K342">
        <v>4</v>
      </c>
      <c r="L342" t="s">
        <v>27</v>
      </c>
      <c r="M342">
        <v>10.0655133557967</v>
      </c>
      <c r="N342" t="s">
        <v>37</v>
      </c>
      <c r="O342" t="s">
        <v>65</v>
      </c>
      <c r="P342">
        <f>VLOOKUP(O342, Coordinates!$A$2:$C$6, 2, FALSE)</f>
        <v>41.878100000000003</v>
      </c>
      <c r="Q342">
        <f>VLOOKUP(O342, Coordinates!$A$2:$C$6, 3, FALSE)</f>
        <v>-87.629800000000003</v>
      </c>
      <c r="R342">
        <v>6</v>
      </c>
      <c r="S342">
        <v>303</v>
      </c>
      <c r="T342">
        <v>21</v>
      </c>
      <c r="U342">
        <v>30.192063161201599</v>
      </c>
      <c r="V342" t="s">
        <v>55</v>
      </c>
      <c r="W342">
        <v>1.8065520778953701</v>
      </c>
      <c r="X342" t="s">
        <v>46</v>
      </c>
      <c r="Y342" t="s">
        <v>41</v>
      </c>
      <c r="Z342">
        <v>706.24032963688001</v>
      </c>
    </row>
    <row r="343" spans="1:26" x14ac:dyDescent="0.3">
      <c r="A343" t="s">
        <v>49</v>
      </c>
      <c r="B343" t="s">
        <v>399</v>
      </c>
      <c r="C343">
        <v>26.603902106830901</v>
      </c>
      <c r="D343">
        <v>29</v>
      </c>
      <c r="E343">
        <v>757</v>
      </c>
      <c r="F343">
        <v>4820.4354940888097</v>
      </c>
      <c r="G343" t="s">
        <v>54</v>
      </c>
      <c r="H343">
        <v>3</v>
      </c>
      <c r="I343">
        <v>13</v>
      </c>
      <c r="J343">
        <v>20</v>
      </c>
      <c r="K343">
        <v>5</v>
      </c>
      <c r="L343" t="s">
        <v>36</v>
      </c>
      <c r="M343">
        <v>13.922450391153401</v>
      </c>
      <c r="N343" t="s">
        <v>45</v>
      </c>
      <c r="O343" t="s">
        <v>38</v>
      </c>
      <c r="P343">
        <f>VLOOKUP(O343, Coordinates!$A$2:$C$6, 2, FALSE)</f>
        <v>25.761700000000001</v>
      </c>
      <c r="Q343">
        <f>VLOOKUP(O343, Coordinates!$A$2:$C$6, 3, FALSE)</f>
        <v>-80.191800000000001</v>
      </c>
      <c r="R343">
        <v>30</v>
      </c>
      <c r="S343">
        <v>310</v>
      </c>
      <c r="T343">
        <v>13</v>
      </c>
      <c r="U343">
        <v>76.772930902422303</v>
      </c>
      <c r="V343" t="s">
        <v>39</v>
      </c>
      <c r="W343">
        <v>3.53330968310773</v>
      </c>
      <c r="X343" t="s">
        <v>46</v>
      </c>
      <c r="Y343" t="s">
        <v>41</v>
      </c>
      <c r="Z343">
        <v>982.79913597336702</v>
      </c>
    </row>
    <row r="344" spans="1:26" x14ac:dyDescent="0.3">
      <c r="A344" t="s">
        <v>49</v>
      </c>
      <c r="B344" t="s">
        <v>400</v>
      </c>
      <c r="C344">
        <v>43.377898251022003</v>
      </c>
      <c r="D344">
        <v>24</v>
      </c>
      <c r="E344">
        <v>544</v>
      </c>
      <c r="F344">
        <v>3783.9180192240001</v>
      </c>
      <c r="G344" t="s">
        <v>48</v>
      </c>
      <c r="H344">
        <v>71</v>
      </c>
      <c r="I344">
        <v>15</v>
      </c>
      <c r="J344">
        <v>22</v>
      </c>
      <c r="K344">
        <v>4</v>
      </c>
      <c r="L344" t="s">
        <v>27</v>
      </c>
      <c r="M344">
        <v>1.0691642700694</v>
      </c>
      <c r="N344" t="s">
        <v>57</v>
      </c>
      <c r="O344" t="s">
        <v>67</v>
      </c>
      <c r="P344">
        <f>VLOOKUP(O344, Coordinates!$A$2:$C$6, 2, FALSE)</f>
        <v>40.712800000000001</v>
      </c>
      <c r="Q344">
        <f>VLOOKUP(O344, Coordinates!$A$2:$C$6, 3, FALSE)</f>
        <v>-74.006</v>
      </c>
      <c r="R344">
        <v>5</v>
      </c>
      <c r="S344">
        <v>498</v>
      </c>
      <c r="T344">
        <v>17</v>
      </c>
      <c r="U344">
        <v>22.7190015494382</v>
      </c>
      <c r="V344" t="s">
        <v>30</v>
      </c>
      <c r="W344">
        <v>0.36923251651495897</v>
      </c>
      <c r="X344" t="s">
        <v>31</v>
      </c>
      <c r="Y344" t="s">
        <v>60</v>
      </c>
      <c r="Z344">
        <v>600.09875139999997</v>
      </c>
    </row>
    <row r="345" spans="1:26" x14ac:dyDescent="0.3">
      <c r="A345" t="s">
        <v>33</v>
      </c>
      <c r="B345" t="s">
        <v>401</v>
      </c>
      <c r="C345">
        <v>56.541851322565101</v>
      </c>
      <c r="D345">
        <v>74</v>
      </c>
      <c r="E345">
        <v>739</v>
      </c>
      <c r="F345">
        <v>3525.7202188886399</v>
      </c>
      <c r="G345" t="s">
        <v>26</v>
      </c>
      <c r="H345">
        <v>97</v>
      </c>
      <c r="I345">
        <v>17</v>
      </c>
      <c r="J345">
        <v>59</v>
      </c>
      <c r="K345">
        <v>9</v>
      </c>
      <c r="L345" t="s">
        <v>36</v>
      </c>
      <c r="M345">
        <v>12.000790076217999</v>
      </c>
      <c r="N345" t="s">
        <v>57</v>
      </c>
      <c r="O345" t="s">
        <v>29</v>
      </c>
      <c r="P345">
        <f>VLOOKUP(O345, Coordinates!$A$2:$C$6, 2, FALSE)</f>
        <v>29.760400000000001</v>
      </c>
      <c r="Q345">
        <f>VLOOKUP(O345, Coordinates!$A$2:$C$6, 3, FALSE)</f>
        <v>-95.369799999999998</v>
      </c>
      <c r="R345">
        <v>12</v>
      </c>
      <c r="S345">
        <v>472</v>
      </c>
      <c r="T345">
        <v>30</v>
      </c>
      <c r="U345">
        <v>83.965725447282495</v>
      </c>
      <c r="V345" t="s">
        <v>55</v>
      </c>
      <c r="W345">
        <v>1.43278972543021</v>
      </c>
      <c r="X345" t="s">
        <v>46</v>
      </c>
      <c r="Y345" t="s">
        <v>41</v>
      </c>
      <c r="Z345">
        <v>626.94498456839699</v>
      </c>
    </row>
    <row r="346" spans="1:26" x14ac:dyDescent="0.3">
      <c r="A346" t="s">
        <v>72</v>
      </c>
      <c r="B346" t="s">
        <v>402</v>
      </c>
      <c r="C346">
        <v>28.301838141454599</v>
      </c>
      <c r="D346">
        <v>17</v>
      </c>
      <c r="E346">
        <v>539</v>
      </c>
      <c r="F346">
        <v>13729.2216824196</v>
      </c>
      <c r="G346" t="s">
        <v>54</v>
      </c>
      <c r="H346">
        <v>88</v>
      </c>
      <c r="I346">
        <v>25</v>
      </c>
      <c r="J346">
        <v>47</v>
      </c>
      <c r="K346">
        <v>7</v>
      </c>
      <c r="L346" t="s">
        <v>27</v>
      </c>
      <c r="M346">
        <v>9.9784643222846299</v>
      </c>
      <c r="N346" t="s">
        <v>51</v>
      </c>
      <c r="O346" t="s">
        <v>38</v>
      </c>
      <c r="P346">
        <f>VLOOKUP(O346, Coordinates!$A$2:$C$6, 2, FALSE)</f>
        <v>25.761700000000001</v>
      </c>
      <c r="Q346">
        <f>VLOOKUP(O346, Coordinates!$A$2:$C$6, 3, FALSE)</f>
        <v>-80.191800000000001</v>
      </c>
      <c r="R346">
        <v>12</v>
      </c>
      <c r="S346">
        <v>488</v>
      </c>
      <c r="T346">
        <v>20</v>
      </c>
      <c r="U346">
        <v>83.308661162137</v>
      </c>
      <c r="V346" t="s">
        <v>55</v>
      </c>
      <c r="W346">
        <v>2.1239486869999999</v>
      </c>
      <c r="X346" t="s">
        <v>40</v>
      </c>
      <c r="Y346" t="s">
        <v>60</v>
      </c>
      <c r="Z346">
        <v>370.06315903325299</v>
      </c>
    </row>
    <row r="347" spans="1:26" x14ac:dyDescent="0.3">
      <c r="A347" t="s">
        <v>82</v>
      </c>
      <c r="B347" t="s">
        <v>403</v>
      </c>
      <c r="C347">
        <v>57.139672388405501</v>
      </c>
      <c r="D347">
        <v>18</v>
      </c>
      <c r="E347">
        <v>500</v>
      </c>
      <c r="G347" t="s">
        <v>35</v>
      </c>
      <c r="H347">
        <v>78</v>
      </c>
      <c r="I347">
        <v>30</v>
      </c>
      <c r="J347">
        <v>10</v>
      </c>
      <c r="K347">
        <v>4</v>
      </c>
      <c r="L347" t="s">
        <v>27</v>
      </c>
      <c r="M347">
        <v>1.6528586782730901</v>
      </c>
      <c r="N347" t="s">
        <v>28</v>
      </c>
      <c r="O347" t="s">
        <v>29</v>
      </c>
      <c r="P347">
        <f>VLOOKUP(O347, Coordinates!$A$2:$C$6, 2, FALSE)</f>
        <v>29.760400000000001</v>
      </c>
      <c r="Q347">
        <f>VLOOKUP(O347, Coordinates!$A$2:$C$6, 3, FALSE)</f>
        <v>-95.369799999999998</v>
      </c>
      <c r="R347">
        <v>17</v>
      </c>
      <c r="S347">
        <v>357</v>
      </c>
      <c r="T347">
        <v>21</v>
      </c>
      <c r="U347">
        <v>97.531837363544298</v>
      </c>
      <c r="V347" t="s">
        <v>55</v>
      </c>
      <c r="W347">
        <v>4.28606313038894</v>
      </c>
      <c r="X347" t="s">
        <v>46</v>
      </c>
      <c r="Y347" t="s">
        <v>41</v>
      </c>
      <c r="Z347">
        <v>663.50605236890601</v>
      </c>
    </row>
    <row r="348" spans="1:26" x14ac:dyDescent="0.3">
      <c r="A348" t="s">
        <v>33</v>
      </c>
      <c r="B348" t="s">
        <v>404</v>
      </c>
      <c r="C348">
        <v>63.225515281885102</v>
      </c>
      <c r="D348">
        <v>42</v>
      </c>
      <c r="E348">
        <v>625</v>
      </c>
      <c r="F348">
        <v>7599.9511784517599</v>
      </c>
      <c r="G348" t="s">
        <v>26</v>
      </c>
      <c r="H348">
        <v>27</v>
      </c>
      <c r="I348">
        <v>22</v>
      </c>
      <c r="J348">
        <v>48</v>
      </c>
      <c r="K348">
        <v>8</v>
      </c>
      <c r="L348" t="s">
        <v>44</v>
      </c>
      <c r="M348">
        <v>12.062339921433001</v>
      </c>
      <c r="N348" t="s">
        <v>57</v>
      </c>
      <c r="O348" t="s">
        <v>38</v>
      </c>
      <c r="P348">
        <f>VLOOKUP(O348, Coordinates!$A$2:$C$6, 2, FALSE)</f>
        <v>25.761700000000001</v>
      </c>
      <c r="Q348">
        <f>VLOOKUP(O348, Coordinates!$A$2:$C$6, 3, FALSE)</f>
        <v>-80.191800000000001</v>
      </c>
      <c r="R348">
        <v>27</v>
      </c>
      <c r="S348">
        <v>214</v>
      </c>
      <c r="T348">
        <v>20</v>
      </c>
      <c r="U348">
        <v>23.5251608166386</v>
      </c>
      <c r="V348" t="s">
        <v>39</v>
      </c>
      <c r="W348">
        <v>2.8174792882305799</v>
      </c>
      <c r="X348" t="s">
        <v>46</v>
      </c>
      <c r="Y348" t="s">
        <v>60</v>
      </c>
      <c r="Z348">
        <v>781.95197975613905</v>
      </c>
    </row>
    <row r="349" spans="1:26" x14ac:dyDescent="0.3">
      <c r="A349" t="s">
        <v>49</v>
      </c>
      <c r="B349" t="s">
        <v>405</v>
      </c>
      <c r="C349">
        <v>26.483969901044301</v>
      </c>
      <c r="D349">
        <v>84</v>
      </c>
      <c r="E349">
        <v>623</v>
      </c>
      <c r="F349">
        <v>1003.69260495257</v>
      </c>
      <c r="G349" t="s">
        <v>35</v>
      </c>
      <c r="H349">
        <v>72</v>
      </c>
      <c r="I349">
        <v>27</v>
      </c>
      <c r="J349">
        <v>36</v>
      </c>
      <c r="K349">
        <v>2</v>
      </c>
      <c r="L349" t="s">
        <v>44</v>
      </c>
      <c r="M349">
        <v>4.1432944919198302</v>
      </c>
      <c r="N349" t="s">
        <v>37</v>
      </c>
      <c r="O349" t="s">
        <v>38</v>
      </c>
      <c r="P349">
        <f>VLOOKUP(O349, Coordinates!$A$2:$C$6, 2, FALSE)</f>
        <v>25.761700000000001</v>
      </c>
      <c r="Q349">
        <f>VLOOKUP(O349, Coordinates!$A$2:$C$6, 3, FALSE)</f>
        <v>-80.191800000000001</v>
      </c>
      <c r="R349">
        <v>2</v>
      </c>
      <c r="S349">
        <v>433</v>
      </c>
      <c r="T349">
        <v>10</v>
      </c>
      <c r="U349">
        <v>91.595169497314004</v>
      </c>
      <c r="V349" t="s">
        <v>55</v>
      </c>
      <c r="W349">
        <v>0.226126465388445</v>
      </c>
      <c r="X349" t="s">
        <v>52</v>
      </c>
      <c r="Y349" t="s">
        <v>41</v>
      </c>
      <c r="Z349">
        <v>192.92804260156501</v>
      </c>
    </row>
    <row r="350" spans="1:26" x14ac:dyDescent="0.3">
      <c r="A350" t="s">
        <v>82</v>
      </c>
      <c r="B350" t="s">
        <v>406</v>
      </c>
      <c r="C350">
        <v>85.457279168413095</v>
      </c>
      <c r="D350">
        <v>45</v>
      </c>
      <c r="E350">
        <v>661</v>
      </c>
      <c r="F350">
        <v>6365.6440246213897</v>
      </c>
      <c r="G350" t="s">
        <v>26</v>
      </c>
      <c r="H350">
        <v>1</v>
      </c>
      <c r="I350">
        <v>20</v>
      </c>
      <c r="J350">
        <v>45</v>
      </c>
      <c r="K350">
        <v>7</v>
      </c>
      <c r="L350" t="s">
        <v>44</v>
      </c>
      <c r="M350">
        <v>4.7214875701167403</v>
      </c>
      <c r="N350" t="s">
        <v>45</v>
      </c>
      <c r="O350" t="s">
        <v>38</v>
      </c>
      <c r="P350">
        <f>VLOOKUP(O350, Coordinates!$A$2:$C$6, 2, FALSE)</f>
        <v>25.761700000000001</v>
      </c>
      <c r="Q350">
        <f>VLOOKUP(O350, Coordinates!$A$2:$C$6, 3, FALSE)</f>
        <v>-80.191800000000001</v>
      </c>
      <c r="R350">
        <v>27</v>
      </c>
      <c r="S350">
        <v>448</v>
      </c>
      <c r="T350">
        <v>26</v>
      </c>
      <c r="U350">
        <v>40.699239734965403</v>
      </c>
      <c r="V350" t="s">
        <v>39</v>
      </c>
      <c r="W350">
        <v>3.7136504832986401</v>
      </c>
      <c r="X350" t="s">
        <v>52</v>
      </c>
      <c r="Y350" t="s">
        <v>60</v>
      </c>
      <c r="Z350">
        <v>532.11225648825496</v>
      </c>
    </row>
    <row r="351" spans="1:26" x14ac:dyDescent="0.3">
      <c r="A351" t="s">
        <v>33</v>
      </c>
      <c r="B351" t="s">
        <v>407</v>
      </c>
      <c r="C351">
        <v>45.719901962195102</v>
      </c>
      <c r="D351">
        <v>82</v>
      </c>
      <c r="E351">
        <v>373</v>
      </c>
      <c r="F351">
        <v>9243.4870355864696</v>
      </c>
      <c r="G351" t="s">
        <v>26</v>
      </c>
      <c r="H351">
        <v>16</v>
      </c>
      <c r="I351">
        <v>22</v>
      </c>
      <c r="J351">
        <v>41</v>
      </c>
      <c r="K351">
        <v>1</v>
      </c>
      <c r="L351" t="s">
        <v>44</v>
      </c>
      <c r="M351">
        <v>2.3092195545712202</v>
      </c>
      <c r="N351" t="s">
        <v>37</v>
      </c>
      <c r="O351" t="s">
        <v>38</v>
      </c>
      <c r="P351">
        <f>VLOOKUP(O351, Coordinates!$A$2:$C$6, 2, FALSE)</f>
        <v>25.761700000000001</v>
      </c>
      <c r="Q351">
        <f>VLOOKUP(O351, Coordinates!$A$2:$C$6, 3, FALSE)</f>
        <v>-80.191800000000001</v>
      </c>
      <c r="R351">
        <v>25</v>
      </c>
      <c r="S351">
        <v>332</v>
      </c>
      <c r="T351">
        <v>23</v>
      </c>
      <c r="U351">
        <v>47.445387831578003</v>
      </c>
      <c r="V351" t="s">
        <v>30</v>
      </c>
      <c r="W351">
        <v>0.272607444757412</v>
      </c>
      <c r="X351" t="s">
        <v>31</v>
      </c>
      <c r="Y351" t="s">
        <v>32</v>
      </c>
      <c r="Z351">
        <v>-50</v>
      </c>
    </row>
    <row r="352" spans="1:26" x14ac:dyDescent="0.3">
      <c r="A352" t="s">
        <v>72</v>
      </c>
      <c r="B352" t="s">
        <v>408</v>
      </c>
      <c r="C352">
        <v>36.97987724</v>
      </c>
      <c r="D352">
        <v>17</v>
      </c>
      <c r="E352">
        <v>870</v>
      </c>
      <c r="F352">
        <v>28955.243881031802</v>
      </c>
      <c r="G352" t="s">
        <v>26</v>
      </c>
      <c r="H352">
        <v>57</v>
      </c>
      <c r="I352">
        <v>5</v>
      </c>
      <c r="J352">
        <v>50</v>
      </c>
      <c r="K352">
        <v>8</v>
      </c>
      <c r="L352" t="s">
        <v>44</v>
      </c>
      <c r="M352">
        <v>8.4813174149999995</v>
      </c>
      <c r="N352" t="s">
        <v>57</v>
      </c>
      <c r="O352" t="s">
        <v>29</v>
      </c>
      <c r="P352">
        <f>VLOOKUP(O352, Coordinates!$A$2:$C$6, 2, FALSE)</f>
        <v>29.760400000000001</v>
      </c>
      <c r="Q352">
        <f>VLOOKUP(O352, Coordinates!$A$2:$C$6, 3, FALSE)</f>
        <v>-95.369799999999998</v>
      </c>
      <c r="R352">
        <v>27</v>
      </c>
      <c r="S352">
        <v>608</v>
      </c>
      <c r="T352">
        <v>24</v>
      </c>
      <c r="U352">
        <v>88.854136355668999</v>
      </c>
      <c r="V352" t="s">
        <v>30</v>
      </c>
      <c r="W352">
        <v>4.6718328199594996</v>
      </c>
      <c r="X352" t="s">
        <v>52</v>
      </c>
      <c r="Y352" t="s">
        <v>60</v>
      </c>
      <c r="Z352">
        <v>202.226049765704</v>
      </c>
    </row>
    <row r="353" spans="1:26" x14ac:dyDescent="0.3">
      <c r="A353" t="s">
        <v>33</v>
      </c>
      <c r="B353" t="s">
        <v>409</v>
      </c>
      <c r="C353">
        <v>68.097851878014595</v>
      </c>
      <c r="D353">
        <v>73</v>
      </c>
      <c r="E353">
        <v>913</v>
      </c>
      <c r="F353">
        <v>2669.7337773194699</v>
      </c>
      <c r="G353" t="s">
        <v>35</v>
      </c>
      <c r="H353">
        <v>73</v>
      </c>
      <c r="I353">
        <v>19</v>
      </c>
      <c r="J353">
        <v>24</v>
      </c>
      <c r="K353">
        <v>6</v>
      </c>
      <c r="L353" t="s">
        <v>44</v>
      </c>
      <c r="M353">
        <v>7.9751323637551703</v>
      </c>
      <c r="N353" t="s">
        <v>57</v>
      </c>
      <c r="O353" t="s">
        <v>38</v>
      </c>
      <c r="P353">
        <f>VLOOKUP(O353, Coordinates!$A$2:$C$6, 2, FALSE)</f>
        <v>25.761700000000001</v>
      </c>
      <c r="Q353">
        <f>VLOOKUP(O353, Coordinates!$A$2:$C$6, 3, FALSE)</f>
        <v>-80.191800000000001</v>
      </c>
      <c r="R353">
        <v>14</v>
      </c>
      <c r="S353">
        <v>548</v>
      </c>
      <c r="T353">
        <v>12</v>
      </c>
      <c r="U353">
        <v>66.421364788229994</v>
      </c>
      <c r="V353" t="s">
        <v>55</v>
      </c>
      <c r="W353">
        <v>1.0585872302019399</v>
      </c>
      <c r="X353" t="s">
        <v>31</v>
      </c>
      <c r="Y353" t="s">
        <v>60</v>
      </c>
      <c r="Z353">
        <v>407.15900892314102</v>
      </c>
    </row>
    <row r="354" spans="1:26" x14ac:dyDescent="0.3">
      <c r="A354" t="s">
        <v>72</v>
      </c>
      <c r="B354" t="s">
        <v>410</v>
      </c>
      <c r="C354">
        <v>28.9112926222172</v>
      </c>
      <c r="D354">
        <v>14</v>
      </c>
      <c r="E354">
        <v>914</v>
      </c>
      <c r="F354">
        <v>23782.429311035899</v>
      </c>
      <c r="H354">
        <v>8</v>
      </c>
      <c r="I354">
        <v>7</v>
      </c>
      <c r="J354">
        <v>40</v>
      </c>
      <c r="K354">
        <v>5</v>
      </c>
      <c r="L354" t="s">
        <v>27</v>
      </c>
      <c r="M354">
        <v>5.8604430887080401</v>
      </c>
      <c r="N354" t="s">
        <v>51</v>
      </c>
      <c r="O354" t="s">
        <v>38</v>
      </c>
      <c r="P354">
        <f>VLOOKUP(O354, Coordinates!$A$2:$C$6, 2, FALSE)</f>
        <v>25.761700000000001</v>
      </c>
      <c r="Q354">
        <f>VLOOKUP(O354, Coordinates!$A$2:$C$6, 3, FALSE)</f>
        <v>-80.191800000000001</v>
      </c>
      <c r="R354">
        <v>12</v>
      </c>
      <c r="S354">
        <v>176</v>
      </c>
      <c r="T354">
        <v>8</v>
      </c>
      <c r="U354">
        <v>94.261667200000005</v>
      </c>
      <c r="V354" t="s">
        <v>30</v>
      </c>
      <c r="W354">
        <v>2.4396307232852701</v>
      </c>
      <c r="X354" t="s">
        <v>46</v>
      </c>
      <c r="Y354" t="s">
        <v>41</v>
      </c>
      <c r="Z354">
        <v>581.66077614363996</v>
      </c>
    </row>
    <row r="355" spans="1:26" x14ac:dyDescent="0.3">
      <c r="A355" t="s">
        <v>49</v>
      </c>
      <c r="B355" t="s">
        <v>411</v>
      </c>
      <c r="C355">
        <v>14.268438472733401</v>
      </c>
      <c r="D355">
        <v>49</v>
      </c>
      <c r="E355">
        <v>655</v>
      </c>
      <c r="F355">
        <v>7413.4126656855296</v>
      </c>
      <c r="G355" t="s">
        <v>54</v>
      </c>
      <c r="H355">
        <v>30</v>
      </c>
      <c r="I355">
        <v>3</v>
      </c>
      <c r="J355">
        <v>15</v>
      </c>
      <c r="K355">
        <v>9</v>
      </c>
      <c r="L355" t="s">
        <v>27</v>
      </c>
      <c r="M355">
        <v>3.3625533087348201</v>
      </c>
      <c r="N355" t="s">
        <v>37</v>
      </c>
      <c r="O355" t="s">
        <v>67</v>
      </c>
      <c r="P355">
        <f>VLOOKUP(O355, Coordinates!$A$2:$C$6, 2, FALSE)</f>
        <v>40.712800000000001</v>
      </c>
      <c r="Q355">
        <f>VLOOKUP(O355, Coordinates!$A$2:$C$6, 3, FALSE)</f>
        <v>-74.006</v>
      </c>
      <c r="R355">
        <v>28</v>
      </c>
      <c r="S355">
        <v>927</v>
      </c>
      <c r="T355">
        <v>3</v>
      </c>
      <c r="U355">
        <v>63.996292274970898</v>
      </c>
      <c r="V355" t="s">
        <v>30</v>
      </c>
      <c r="W355">
        <v>0.36140484383154498</v>
      </c>
      <c r="X355" t="s">
        <v>52</v>
      </c>
      <c r="Y355" t="s">
        <v>41</v>
      </c>
      <c r="Z355">
        <v>684.88243862847105</v>
      </c>
    </row>
    <row r="356" spans="1:26" x14ac:dyDescent="0.3">
      <c r="A356" t="s">
        <v>72</v>
      </c>
      <c r="B356" t="s">
        <v>412</v>
      </c>
      <c r="C356">
        <v>30.1632663327646</v>
      </c>
      <c r="D356">
        <v>29</v>
      </c>
      <c r="E356">
        <v>800</v>
      </c>
      <c r="F356">
        <v>21717.5517595905</v>
      </c>
      <c r="G356" t="s">
        <v>35</v>
      </c>
      <c r="H356">
        <v>65</v>
      </c>
      <c r="I356">
        <v>13</v>
      </c>
      <c r="J356">
        <v>98</v>
      </c>
      <c r="K356">
        <v>9</v>
      </c>
      <c r="L356" t="s">
        <v>44</v>
      </c>
      <c r="M356">
        <v>12.7313497629869</v>
      </c>
      <c r="N356" t="s">
        <v>51</v>
      </c>
      <c r="O356" t="s">
        <v>67</v>
      </c>
      <c r="P356">
        <f>VLOOKUP(O356, Coordinates!$A$2:$C$6, 2, FALSE)</f>
        <v>40.712800000000001</v>
      </c>
      <c r="Q356">
        <f>VLOOKUP(O356, Coordinates!$A$2:$C$6, 3, FALSE)</f>
        <v>-74.006</v>
      </c>
      <c r="R356">
        <v>13</v>
      </c>
      <c r="S356">
        <v>707</v>
      </c>
      <c r="T356">
        <v>29</v>
      </c>
      <c r="U356">
        <v>80.768257488103202</v>
      </c>
      <c r="V356" t="s">
        <v>55</v>
      </c>
      <c r="W356">
        <v>2.8085619314888302</v>
      </c>
      <c r="X356" t="s">
        <v>52</v>
      </c>
      <c r="Y356" t="s">
        <v>32</v>
      </c>
      <c r="Z356">
        <v>360.004946877473</v>
      </c>
    </row>
    <row r="357" spans="1:26" x14ac:dyDescent="0.3">
      <c r="A357" t="s">
        <v>82</v>
      </c>
      <c r="B357" t="s">
        <v>413</v>
      </c>
      <c r="C357">
        <v>48.715415126401702</v>
      </c>
      <c r="D357">
        <v>95</v>
      </c>
      <c r="E357">
        <v>814</v>
      </c>
      <c r="F357">
        <v>3873.85192019236</v>
      </c>
      <c r="G357" t="s">
        <v>54</v>
      </c>
      <c r="H357">
        <v>87</v>
      </c>
      <c r="I357">
        <v>14</v>
      </c>
      <c r="J357">
        <v>61</v>
      </c>
      <c r="K357">
        <v>10</v>
      </c>
      <c r="L357" t="s">
        <v>44</v>
      </c>
      <c r="M357">
        <v>13.269298020947399</v>
      </c>
      <c r="N357" t="s">
        <v>37</v>
      </c>
      <c r="O357" t="s">
        <v>67</v>
      </c>
      <c r="P357">
        <f>VLOOKUP(O357, Coordinates!$A$2:$C$6, 2, FALSE)</f>
        <v>40.712800000000001</v>
      </c>
      <c r="Q357">
        <f>VLOOKUP(O357, Coordinates!$A$2:$C$6, 3, FALSE)</f>
        <v>-74.006</v>
      </c>
      <c r="R357">
        <v>5</v>
      </c>
      <c r="S357">
        <v>197</v>
      </c>
      <c r="T357">
        <v>21</v>
      </c>
      <c r="U357">
        <v>32.952538187625002</v>
      </c>
      <c r="V357" t="s">
        <v>30</v>
      </c>
      <c r="W357">
        <v>2.4861435036424</v>
      </c>
      <c r="X357" t="s">
        <v>46</v>
      </c>
      <c r="Y357" t="s">
        <v>41</v>
      </c>
      <c r="Z357">
        <v>909.22245052926996</v>
      </c>
    </row>
    <row r="358" spans="1:26" x14ac:dyDescent="0.3">
      <c r="A358" t="s">
        <v>49</v>
      </c>
      <c r="B358" t="s">
        <v>414</v>
      </c>
      <c r="C358">
        <v>76.181952706098699</v>
      </c>
      <c r="D358">
        <v>4</v>
      </c>
      <c r="E358">
        <v>996</v>
      </c>
      <c r="F358">
        <v>3269.8216194339702</v>
      </c>
      <c r="G358" t="s">
        <v>48</v>
      </c>
      <c r="H358">
        <v>61</v>
      </c>
      <c r="I358">
        <v>16</v>
      </c>
      <c r="J358">
        <v>91</v>
      </c>
      <c r="K358">
        <v>9</v>
      </c>
      <c r="L358" t="s">
        <v>44</v>
      </c>
      <c r="M358">
        <v>8.5681145500000007</v>
      </c>
      <c r="N358" t="s">
        <v>28</v>
      </c>
      <c r="O358" t="s">
        <v>65</v>
      </c>
      <c r="P358">
        <f>VLOOKUP(O358, Coordinates!$A$2:$C$6, 2, FALSE)</f>
        <v>41.878100000000003</v>
      </c>
      <c r="Q358">
        <f>VLOOKUP(O358, Coordinates!$A$2:$C$6, 3, FALSE)</f>
        <v>-87.629800000000003</v>
      </c>
      <c r="R358">
        <v>5</v>
      </c>
      <c r="S358">
        <v>667</v>
      </c>
      <c r="T358">
        <v>10</v>
      </c>
      <c r="U358">
        <v>45.857049563363397</v>
      </c>
      <c r="V358" t="s">
        <v>55</v>
      </c>
      <c r="W358">
        <v>2.0512426744067098</v>
      </c>
      <c r="X358" t="s">
        <v>52</v>
      </c>
      <c r="Y358" t="s">
        <v>60</v>
      </c>
      <c r="Z358">
        <v>760.67152201542694</v>
      </c>
    </row>
    <row r="359" spans="1:26" x14ac:dyDescent="0.3">
      <c r="A359" t="s">
        <v>82</v>
      </c>
      <c r="B359" t="s">
        <v>415</v>
      </c>
      <c r="C359">
        <v>32.605818181603702</v>
      </c>
      <c r="D359">
        <v>82</v>
      </c>
      <c r="E359">
        <v>103</v>
      </c>
      <c r="F359">
        <v>9603.2691996583908</v>
      </c>
      <c r="G359" t="s">
        <v>54</v>
      </c>
      <c r="H359">
        <v>18</v>
      </c>
      <c r="I359">
        <v>13</v>
      </c>
      <c r="J359">
        <v>31</v>
      </c>
      <c r="K359">
        <v>9</v>
      </c>
      <c r="L359" t="s">
        <v>27</v>
      </c>
      <c r="M359">
        <v>4.4191546703912898</v>
      </c>
      <c r="N359" t="s">
        <v>28</v>
      </c>
      <c r="O359" t="s">
        <v>67</v>
      </c>
      <c r="P359">
        <f>VLOOKUP(O359, Coordinates!$A$2:$C$6, 2, FALSE)</f>
        <v>40.712800000000001</v>
      </c>
      <c r="Q359">
        <f>VLOOKUP(O359, Coordinates!$A$2:$C$6, 3, FALSE)</f>
        <v>-74.006</v>
      </c>
      <c r="R359">
        <v>17</v>
      </c>
      <c r="S359">
        <v>729</v>
      </c>
      <c r="T359">
        <v>24</v>
      </c>
      <c r="U359">
        <v>55.404957649472202</v>
      </c>
      <c r="V359" t="s">
        <v>55</v>
      </c>
      <c r="W359">
        <v>0.17786458517019799</v>
      </c>
      <c r="X359" t="s">
        <v>40</v>
      </c>
      <c r="Y359" t="s">
        <v>41</v>
      </c>
      <c r="Z359">
        <v>480.02297333113103</v>
      </c>
    </row>
    <row r="360" spans="1:26" x14ac:dyDescent="0.3">
      <c r="A360" t="s">
        <v>42</v>
      </c>
      <c r="B360" t="s">
        <v>416</v>
      </c>
      <c r="C360">
        <v>79.762162817178293</v>
      </c>
      <c r="D360">
        <v>20</v>
      </c>
      <c r="E360">
        <v>321</v>
      </c>
      <c r="F360">
        <v>9309.6955744293591</v>
      </c>
      <c r="G360" t="s">
        <v>48</v>
      </c>
      <c r="H360">
        <v>80</v>
      </c>
      <c r="I360">
        <v>2</v>
      </c>
      <c r="J360">
        <v>40</v>
      </c>
      <c r="K360">
        <v>2</v>
      </c>
      <c r="L360" t="s">
        <v>44</v>
      </c>
      <c r="M360">
        <v>2.3455409197815702</v>
      </c>
      <c r="N360" t="s">
        <v>37</v>
      </c>
      <c r="O360" t="s">
        <v>65</v>
      </c>
      <c r="P360">
        <f>VLOOKUP(O360, Coordinates!$A$2:$C$6, 2, FALSE)</f>
        <v>41.878100000000003</v>
      </c>
      <c r="Q360">
        <f>VLOOKUP(O360, Coordinates!$A$2:$C$6, 3, FALSE)</f>
        <v>-87.629800000000003</v>
      </c>
      <c r="R360">
        <v>5</v>
      </c>
      <c r="S360">
        <v>561</v>
      </c>
      <c r="T360">
        <v>7</v>
      </c>
      <c r="U360">
        <v>39.061179080800301</v>
      </c>
      <c r="V360" t="s">
        <v>30</v>
      </c>
      <c r="W360">
        <v>4.39468189325751</v>
      </c>
      <c r="X360" t="s">
        <v>52</v>
      </c>
      <c r="Y360" t="s">
        <v>41</v>
      </c>
      <c r="Z360">
        <v>946.69580495238097</v>
      </c>
    </row>
    <row r="361" spans="1:26" x14ac:dyDescent="0.3">
      <c r="A361" t="s">
        <v>61</v>
      </c>
      <c r="B361" t="s">
        <v>417</v>
      </c>
      <c r="C361">
        <v>15.633913067045301</v>
      </c>
      <c r="D361">
        <v>47</v>
      </c>
      <c r="E361">
        <v>127</v>
      </c>
      <c r="F361">
        <v>5115.8494890353804</v>
      </c>
      <c r="G361" t="s">
        <v>48</v>
      </c>
      <c r="H361">
        <v>73</v>
      </c>
      <c r="I361">
        <v>14</v>
      </c>
      <c r="J361">
        <v>82</v>
      </c>
      <c r="K361">
        <v>5</v>
      </c>
      <c r="L361" t="s">
        <v>44</v>
      </c>
      <c r="M361">
        <v>13.1596183448818</v>
      </c>
      <c r="N361" t="s">
        <v>51</v>
      </c>
      <c r="O361" t="s">
        <v>65</v>
      </c>
      <c r="P361">
        <f>VLOOKUP(O361, Coordinates!$A$2:$C$6, 2, FALSE)</f>
        <v>41.878100000000003</v>
      </c>
      <c r="Q361">
        <f>VLOOKUP(O361, Coordinates!$A$2:$C$6, 3, FALSE)</f>
        <v>-87.629800000000003</v>
      </c>
      <c r="R361">
        <v>24</v>
      </c>
      <c r="S361">
        <v>599</v>
      </c>
      <c r="T361">
        <v>30</v>
      </c>
      <c r="U361">
        <v>97.918039269999994</v>
      </c>
      <c r="V361" t="s">
        <v>30</v>
      </c>
      <c r="W361">
        <v>4.0131829940643096</v>
      </c>
      <c r="X361" t="s">
        <v>40</v>
      </c>
      <c r="Y361" t="s">
        <v>60</v>
      </c>
      <c r="Z361">
        <v>127.635543726696</v>
      </c>
    </row>
    <row r="362" spans="1:26" x14ac:dyDescent="0.3">
      <c r="A362" t="s">
        <v>72</v>
      </c>
      <c r="B362" t="s">
        <v>418</v>
      </c>
      <c r="C362">
        <v>34.919518946396202</v>
      </c>
      <c r="D362">
        <v>9</v>
      </c>
      <c r="E362">
        <v>324</v>
      </c>
      <c r="F362">
        <v>10182.5317247691</v>
      </c>
      <c r="G362" t="s">
        <v>48</v>
      </c>
      <c r="H362">
        <v>54</v>
      </c>
      <c r="I362">
        <v>20</v>
      </c>
      <c r="J362">
        <v>55</v>
      </c>
      <c r="K362">
        <v>2</v>
      </c>
      <c r="L362" t="s">
        <v>27</v>
      </c>
      <c r="M362">
        <v>2.3447380739999999</v>
      </c>
      <c r="N362" t="s">
        <v>28</v>
      </c>
      <c r="O362" t="s">
        <v>29</v>
      </c>
      <c r="P362">
        <f>VLOOKUP(O362, Coordinates!$A$2:$C$6, 2, FALSE)</f>
        <v>29.760400000000001</v>
      </c>
      <c r="Q362">
        <f>VLOOKUP(O362, Coordinates!$A$2:$C$6, 3, FALSE)</f>
        <v>-95.369799999999998</v>
      </c>
      <c r="R362">
        <v>25</v>
      </c>
      <c r="S362">
        <v>730</v>
      </c>
      <c r="T362">
        <v>25</v>
      </c>
      <c r="U362">
        <v>94.106530079999999</v>
      </c>
      <c r="V362" t="s">
        <v>39</v>
      </c>
      <c r="W362">
        <v>3.1651501016449499</v>
      </c>
      <c r="X362" t="s">
        <v>31</v>
      </c>
      <c r="Y362" t="s">
        <v>32</v>
      </c>
      <c r="Z362">
        <v>334.20453263965601</v>
      </c>
    </row>
    <row r="363" spans="1:26" x14ac:dyDescent="0.3">
      <c r="A363" t="s">
        <v>61</v>
      </c>
      <c r="B363" t="s">
        <v>419</v>
      </c>
      <c r="D363">
        <v>77</v>
      </c>
      <c r="E363">
        <v>803</v>
      </c>
      <c r="F363">
        <v>5070.9112987086601</v>
      </c>
      <c r="G363" t="s">
        <v>35</v>
      </c>
      <c r="H363">
        <v>27</v>
      </c>
      <c r="I363">
        <v>7</v>
      </c>
      <c r="J363">
        <v>76</v>
      </c>
      <c r="K363">
        <v>1</v>
      </c>
      <c r="L363" t="s">
        <v>27</v>
      </c>
      <c r="M363">
        <v>1.1845205284923099</v>
      </c>
      <c r="N363" t="s">
        <v>57</v>
      </c>
      <c r="O363" t="s">
        <v>67</v>
      </c>
      <c r="P363">
        <f>VLOOKUP(O363, Coordinates!$A$2:$C$6, 2, FALSE)</f>
        <v>40.712800000000001</v>
      </c>
      <c r="Q363">
        <f>VLOOKUP(O363, Coordinates!$A$2:$C$6, 3, FALSE)</f>
        <v>-74.006</v>
      </c>
      <c r="R363">
        <v>26</v>
      </c>
      <c r="S363">
        <v>137</v>
      </c>
      <c r="T363">
        <v>29</v>
      </c>
      <c r="U363">
        <v>53.099321696430401</v>
      </c>
      <c r="V363" t="s">
        <v>55</v>
      </c>
      <c r="W363">
        <v>2.8611499131696498</v>
      </c>
      <c r="X363" t="s">
        <v>52</v>
      </c>
      <c r="Y363" t="s">
        <v>41</v>
      </c>
      <c r="Z363">
        <v>220.05211345823199</v>
      </c>
    </row>
    <row r="364" spans="1:26" x14ac:dyDescent="0.3">
      <c r="A364" t="s">
        <v>61</v>
      </c>
      <c r="B364" t="s">
        <v>420</v>
      </c>
      <c r="C364">
        <v>80.429023054960496</v>
      </c>
      <c r="D364">
        <v>79</v>
      </c>
      <c r="E364">
        <v>597</v>
      </c>
      <c r="F364">
        <v>4819.5011626525902</v>
      </c>
      <c r="G364" t="s">
        <v>54</v>
      </c>
      <c r="H364">
        <v>91</v>
      </c>
      <c r="I364">
        <v>5</v>
      </c>
      <c r="J364">
        <v>100</v>
      </c>
      <c r="K364">
        <v>7</v>
      </c>
      <c r="L364" t="s">
        <v>36</v>
      </c>
      <c r="M364">
        <v>7.5715660827409401</v>
      </c>
      <c r="N364" t="s">
        <v>45</v>
      </c>
      <c r="O364" t="s">
        <v>38</v>
      </c>
      <c r="P364">
        <f>VLOOKUP(O364, Coordinates!$A$2:$C$6, 2, FALSE)</f>
        <v>25.761700000000001</v>
      </c>
      <c r="Q364">
        <f>VLOOKUP(O364, Coordinates!$A$2:$C$6, 3, FALSE)</f>
        <v>-80.191800000000001</v>
      </c>
      <c r="R364">
        <v>30</v>
      </c>
      <c r="S364">
        <v>796</v>
      </c>
      <c r="T364">
        <v>10</v>
      </c>
      <c r="U364">
        <v>77.617423108881397</v>
      </c>
      <c r="V364" t="s">
        <v>55</v>
      </c>
      <c r="W364">
        <v>4.0637848765331697</v>
      </c>
      <c r="X364" t="s">
        <v>52</v>
      </c>
      <c r="Y364" t="s">
        <v>41</v>
      </c>
      <c r="Z364">
        <v>587.16160498180204</v>
      </c>
    </row>
    <row r="365" spans="1:26" x14ac:dyDescent="0.3">
      <c r="A365" t="s">
        <v>72</v>
      </c>
      <c r="B365" t="s">
        <v>421</v>
      </c>
      <c r="C365">
        <v>27.759797104514</v>
      </c>
      <c r="D365">
        <v>27</v>
      </c>
      <c r="E365">
        <v>499</v>
      </c>
      <c r="F365">
        <v>12466.924879637199</v>
      </c>
      <c r="G365" t="s">
        <v>54</v>
      </c>
      <c r="H365">
        <v>49</v>
      </c>
      <c r="I365">
        <v>14</v>
      </c>
      <c r="J365">
        <v>52</v>
      </c>
      <c r="K365">
        <v>4</v>
      </c>
      <c r="L365" t="s">
        <v>44</v>
      </c>
      <c r="M365">
        <v>11.237794307710599</v>
      </c>
      <c r="N365" t="s">
        <v>51</v>
      </c>
      <c r="O365" t="s">
        <v>58</v>
      </c>
      <c r="P365">
        <f>VLOOKUP(O365, Coordinates!$A$2:$C$6, 2, FALSE)</f>
        <v>34.052199999999999</v>
      </c>
      <c r="Q365">
        <f>VLOOKUP(O365, Coordinates!$A$2:$C$6, 3, FALSE)</f>
        <v>-118.2437</v>
      </c>
      <c r="R365">
        <v>4</v>
      </c>
      <c r="S365">
        <v>457</v>
      </c>
      <c r="T365">
        <v>7</v>
      </c>
      <c r="U365">
        <v>91.553992641938393</v>
      </c>
      <c r="V365" t="s">
        <v>30</v>
      </c>
      <c r="W365">
        <v>0.71995007957183599</v>
      </c>
      <c r="X365" t="s">
        <v>40</v>
      </c>
      <c r="Y365" t="s">
        <v>60</v>
      </c>
      <c r="Z365">
        <v>259.63615717244897</v>
      </c>
    </row>
    <row r="366" spans="1:26" x14ac:dyDescent="0.3">
      <c r="A366" t="s">
        <v>49</v>
      </c>
      <c r="B366" t="s">
        <v>422</v>
      </c>
      <c r="C366">
        <v>37.278859798379003</v>
      </c>
      <c r="D366">
        <v>15</v>
      </c>
      <c r="E366">
        <v>461</v>
      </c>
      <c r="F366">
        <v>4837.6545084277504</v>
      </c>
      <c r="G366" t="s">
        <v>35</v>
      </c>
      <c r="H366">
        <v>64</v>
      </c>
      <c r="I366">
        <v>9</v>
      </c>
      <c r="J366">
        <v>10</v>
      </c>
      <c r="K366">
        <v>5</v>
      </c>
      <c r="L366" t="s">
        <v>27</v>
      </c>
      <c r="M366">
        <v>7.4055180626785599</v>
      </c>
      <c r="N366" t="s">
        <v>37</v>
      </c>
      <c r="O366" t="s">
        <v>38</v>
      </c>
      <c r="P366">
        <f>VLOOKUP(O366, Coordinates!$A$2:$C$6, 2, FALSE)</f>
        <v>25.761700000000001</v>
      </c>
      <c r="Q366">
        <f>VLOOKUP(O366, Coordinates!$A$2:$C$6, 3, FALSE)</f>
        <v>-80.191800000000001</v>
      </c>
      <c r="R366">
        <v>7</v>
      </c>
      <c r="S366">
        <v>341</v>
      </c>
      <c r="T366">
        <v>18</v>
      </c>
      <c r="U366">
        <v>11.5502794631133</v>
      </c>
      <c r="V366" t="s">
        <v>30</v>
      </c>
      <c r="W366">
        <v>4.6632212319999997</v>
      </c>
      <c r="X366" t="s">
        <v>46</v>
      </c>
      <c r="Y366" t="s">
        <v>32</v>
      </c>
      <c r="Z366">
        <v>767.65638374948605</v>
      </c>
    </row>
    <row r="367" spans="1:26" x14ac:dyDescent="0.3">
      <c r="A367" t="s">
        <v>42</v>
      </c>
      <c r="B367" t="s">
        <v>423</v>
      </c>
      <c r="C367">
        <v>87.852891502135193</v>
      </c>
      <c r="D367">
        <v>92</v>
      </c>
      <c r="E367">
        <v>526</v>
      </c>
      <c r="F367">
        <v>5836.7524473982603</v>
      </c>
      <c r="G367" t="s">
        <v>35</v>
      </c>
      <c r="H367">
        <v>2</v>
      </c>
      <c r="I367">
        <v>10</v>
      </c>
      <c r="J367">
        <v>53</v>
      </c>
      <c r="K367">
        <v>4</v>
      </c>
      <c r="L367" t="s">
        <v>36</v>
      </c>
      <c r="M367">
        <v>1.7197484978115001</v>
      </c>
      <c r="N367" t="s">
        <v>45</v>
      </c>
      <c r="O367" t="s">
        <v>38</v>
      </c>
      <c r="P367">
        <f>VLOOKUP(O367, Coordinates!$A$2:$C$6, 2, FALSE)</f>
        <v>25.761700000000001</v>
      </c>
      <c r="Q367">
        <f>VLOOKUP(O367, Coordinates!$A$2:$C$6, 3, FALSE)</f>
        <v>-80.191800000000001</v>
      </c>
      <c r="R367">
        <v>28</v>
      </c>
      <c r="S367">
        <v>150</v>
      </c>
      <c r="T367">
        <v>20</v>
      </c>
      <c r="U367">
        <v>58.8874067029302</v>
      </c>
      <c r="V367" t="s">
        <v>55</v>
      </c>
      <c r="W367">
        <v>4.8259524919999999</v>
      </c>
      <c r="X367" t="s">
        <v>31</v>
      </c>
      <c r="Y367" t="s">
        <v>32</v>
      </c>
      <c r="Z367">
        <v>926.51501673180906</v>
      </c>
    </row>
    <row r="368" spans="1:26" x14ac:dyDescent="0.3">
      <c r="A368" t="s">
        <v>82</v>
      </c>
      <c r="B368" t="s">
        <v>424</v>
      </c>
      <c r="C368">
        <v>56.760537113028903</v>
      </c>
      <c r="D368">
        <v>19</v>
      </c>
      <c r="E368">
        <v>524</v>
      </c>
      <c r="F368">
        <v>1202.53894685817</v>
      </c>
      <c r="G368" t="s">
        <v>54</v>
      </c>
      <c r="H368">
        <v>78</v>
      </c>
      <c r="I368">
        <v>7</v>
      </c>
      <c r="J368">
        <v>66</v>
      </c>
      <c r="K368">
        <v>6</v>
      </c>
      <c r="L368" t="s">
        <v>27</v>
      </c>
      <c r="M368">
        <v>10.6604075879055</v>
      </c>
      <c r="N368" t="s">
        <v>45</v>
      </c>
      <c r="O368" t="s">
        <v>38</v>
      </c>
      <c r="P368">
        <f>VLOOKUP(O368, Coordinates!$A$2:$C$6, 2, FALSE)</f>
        <v>25.761700000000001</v>
      </c>
      <c r="Q368">
        <f>VLOOKUP(O368, Coordinates!$A$2:$C$6, 3, FALSE)</f>
        <v>-80.191800000000001</v>
      </c>
      <c r="R368">
        <v>28</v>
      </c>
      <c r="S368">
        <v>524</v>
      </c>
      <c r="T368">
        <v>28</v>
      </c>
      <c r="U368">
        <v>66.266669688508102</v>
      </c>
      <c r="V368" t="s">
        <v>55</v>
      </c>
      <c r="W368">
        <v>4.6408619160307403</v>
      </c>
      <c r="X368" t="s">
        <v>31</v>
      </c>
      <c r="Y368" t="s">
        <v>41</v>
      </c>
      <c r="Z368">
        <v>286.47969004275501</v>
      </c>
    </row>
    <row r="369" spans="1:26" x14ac:dyDescent="0.3">
      <c r="A369" t="s">
        <v>33</v>
      </c>
      <c r="B369" t="s">
        <v>425</v>
      </c>
      <c r="C369">
        <v>77.050376697565497</v>
      </c>
      <c r="D369">
        <v>90</v>
      </c>
      <c r="E369">
        <v>892</v>
      </c>
      <c r="F369">
        <v>4997.0170465786496</v>
      </c>
      <c r="G369" t="s">
        <v>35</v>
      </c>
      <c r="H369">
        <v>1</v>
      </c>
      <c r="I369">
        <v>25</v>
      </c>
      <c r="J369">
        <v>18</v>
      </c>
      <c r="K369">
        <v>2</v>
      </c>
      <c r="L369" t="s">
        <v>36</v>
      </c>
      <c r="M369">
        <v>9.9926566878099106</v>
      </c>
      <c r="N369" t="s">
        <v>57</v>
      </c>
      <c r="O369" t="s">
        <v>67</v>
      </c>
      <c r="P369">
        <f>VLOOKUP(O369, Coordinates!$A$2:$C$6, 2, FALSE)</f>
        <v>40.712800000000001</v>
      </c>
      <c r="Q369">
        <f>VLOOKUP(O369, Coordinates!$A$2:$C$6, 3, FALSE)</f>
        <v>-74.006</v>
      </c>
      <c r="R369">
        <v>11</v>
      </c>
      <c r="S369">
        <v>226</v>
      </c>
      <c r="T369">
        <v>14</v>
      </c>
      <c r="U369">
        <v>98.308667684670496</v>
      </c>
      <c r="V369" t="s">
        <v>30</v>
      </c>
      <c r="W369">
        <v>3.0337784057095201</v>
      </c>
      <c r="X369" t="s">
        <v>40</v>
      </c>
      <c r="Y369" t="s">
        <v>60</v>
      </c>
      <c r="Z369">
        <v>916.08679687974404</v>
      </c>
    </row>
    <row r="370" spans="1:26" x14ac:dyDescent="0.3">
      <c r="A370" t="s">
        <v>82</v>
      </c>
      <c r="B370" t="s">
        <v>426</v>
      </c>
      <c r="C370">
        <v>76.640229630035506</v>
      </c>
      <c r="D370">
        <v>52</v>
      </c>
      <c r="E370">
        <v>721</v>
      </c>
      <c r="F370">
        <v>8032.2059655568</v>
      </c>
      <c r="G370" t="s">
        <v>35</v>
      </c>
      <c r="H370">
        <v>9</v>
      </c>
      <c r="I370">
        <v>14</v>
      </c>
      <c r="J370">
        <v>14</v>
      </c>
      <c r="K370">
        <v>8</v>
      </c>
      <c r="L370" t="s">
        <v>36</v>
      </c>
      <c r="M370">
        <v>10.5414162357437</v>
      </c>
      <c r="N370" t="s">
        <v>51</v>
      </c>
      <c r="O370" t="s">
        <v>67</v>
      </c>
      <c r="P370">
        <f>VLOOKUP(O370, Coordinates!$A$2:$C$6, 2, FALSE)</f>
        <v>40.712800000000001</v>
      </c>
      <c r="Q370">
        <f>VLOOKUP(O370, Coordinates!$A$2:$C$6, 3, FALSE)</f>
        <v>-74.006</v>
      </c>
      <c r="R370">
        <v>6</v>
      </c>
      <c r="S370">
        <v>202</v>
      </c>
      <c r="T370">
        <v>12</v>
      </c>
      <c r="U370">
        <v>13.6713563434555</v>
      </c>
      <c r="V370" t="s">
        <v>30</v>
      </c>
      <c r="W370">
        <v>3.1830698985780401</v>
      </c>
      <c r="X370" t="s">
        <v>46</v>
      </c>
      <c r="Y370" t="s">
        <v>41</v>
      </c>
      <c r="Z370">
        <v>668.57970432049694</v>
      </c>
    </row>
    <row r="371" spans="1:26" x14ac:dyDescent="0.3">
      <c r="A371" t="s">
        <v>33</v>
      </c>
      <c r="B371" t="s">
        <v>427</v>
      </c>
      <c r="C371">
        <v>6.7048394640067199</v>
      </c>
      <c r="D371">
        <v>26</v>
      </c>
      <c r="E371">
        <v>319</v>
      </c>
      <c r="F371">
        <v>7120.4145073684203</v>
      </c>
      <c r="G371" t="s">
        <v>48</v>
      </c>
      <c r="H371">
        <v>20</v>
      </c>
      <c r="I371">
        <v>25</v>
      </c>
      <c r="J371">
        <v>88</v>
      </c>
      <c r="K371">
        <v>4</v>
      </c>
      <c r="L371" t="s">
        <v>44</v>
      </c>
      <c r="M371">
        <v>3.9568348788866898</v>
      </c>
      <c r="N371" t="s">
        <v>45</v>
      </c>
      <c r="O371" t="s">
        <v>38</v>
      </c>
      <c r="P371">
        <f>VLOOKUP(O371, Coordinates!$A$2:$C$6, 2, FALSE)</f>
        <v>25.761700000000001</v>
      </c>
      <c r="Q371">
        <f>VLOOKUP(O371, Coordinates!$A$2:$C$6, 3, FALSE)</f>
        <v>-80.191800000000001</v>
      </c>
      <c r="R371">
        <v>25</v>
      </c>
      <c r="S371">
        <v>576</v>
      </c>
      <c r="T371">
        <v>8</v>
      </c>
      <c r="U371">
        <v>56.088726170961998</v>
      </c>
      <c r="V371" t="s">
        <v>39</v>
      </c>
      <c r="W371">
        <v>4.2952523561277696</v>
      </c>
      <c r="X371" t="s">
        <v>52</v>
      </c>
      <c r="Y371" t="s">
        <v>60</v>
      </c>
      <c r="Z371">
        <v>276.55358221429998</v>
      </c>
    </row>
    <row r="372" spans="1:26" x14ac:dyDescent="0.3">
      <c r="A372" t="s">
        <v>82</v>
      </c>
      <c r="B372" t="s">
        <v>428</v>
      </c>
      <c r="C372">
        <v>16.9941093652982</v>
      </c>
      <c r="D372">
        <v>89</v>
      </c>
      <c r="E372">
        <v>950</v>
      </c>
      <c r="F372">
        <v>6716.4128997754096</v>
      </c>
      <c r="G372" t="s">
        <v>35</v>
      </c>
      <c r="H372">
        <v>36</v>
      </c>
      <c r="I372">
        <v>14</v>
      </c>
      <c r="J372">
        <v>18</v>
      </c>
      <c r="K372">
        <v>8</v>
      </c>
      <c r="L372" t="s">
        <v>44</v>
      </c>
      <c r="M372">
        <v>12.139777728032699</v>
      </c>
      <c r="N372" t="s">
        <v>51</v>
      </c>
      <c r="O372" t="s">
        <v>65</v>
      </c>
      <c r="P372">
        <f>VLOOKUP(O372, Coordinates!$A$2:$C$6, 2, FALSE)</f>
        <v>41.878100000000003</v>
      </c>
      <c r="Q372">
        <f>VLOOKUP(O372, Coordinates!$A$2:$C$6, 3, FALSE)</f>
        <v>-87.629800000000003</v>
      </c>
      <c r="R372">
        <v>12</v>
      </c>
      <c r="S372">
        <v>328</v>
      </c>
      <c r="T372">
        <v>25</v>
      </c>
      <c r="U372">
        <v>18.833928103752498</v>
      </c>
      <c r="V372" t="s">
        <v>30</v>
      </c>
      <c r="W372">
        <v>1.4795560332530899</v>
      </c>
      <c r="X372" t="s">
        <v>46</v>
      </c>
      <c r="Y372" t="s">
        <v>60</v>
      </c>
      <c r="Z372">
        <v>762.89093060498203</v>
      </c>
    </row>
    <row r="373" spans="1:26" x14ac:dyDescent="0.3">
      <c r="A373" t="s">
        <v>72</v>
      </c>
      <c r="B373" t="s">
        <v>429</v>
      </c>
      <c r="C373">
        <v>29.080378288189198</v>
      </c>
      <c r="D373">
        <v>26</v>
      </c>
      <c r="E373">
        <v>713</v>
      </c>
      <c r="F373">
        <v>18660.878747530998</v>
      </c>
      <c r="G373" t="s">
        <v>48</v>
      </c>
      <c r="H373">
        <v>14</v>
      </c>
      <c r="I373">
        <v>25</v>
      </c>
      <c r="J373">
        <v>54</v>
      </c>
      <c r="K373">
        <v>3</v>
      </c>
      <c r="L373" t="s">
        <v>36</v>
      </c>
      <c r="M373">
        <v>7.7083549644738598</v>
      </c>
      <c r="N373" t="s">
        <v>57</v>
      </c>
      <c r="O373" t="s">
        <v>29</v>
      </c>
      <c r="P373">
        <f>VLOOKUP(O373, Coordinates!$A$2:$C$6, 2, FALSE)</f>
        <v>29.760400000000001</v>
      </c>
      <c r="Q373">
        <f>VLOOKUP(O373, Coordinates!$A$2:$C$6, 3, FALSE)</f>
        <v>-95.369799999999998</v>
      </c>
      <c r="R373">
        <v>30</v>
      </c>
      <c r="S373">
        <v>822</v>
      </c>
      <c r="T373">
        <v>7</v>
      </c>
      <c r="U373">
        <v>91.209558240000007</v>
      </c>
      <c r="V373" t="s">
        <v>30</v>
      </c>
      <c r="W373">
        <v>3.7447409412632799</v>
      </c>
      <c r="X373" t="s">
        <v>46</v>
      </c>
      <c r="Y373" t="s">
        <v>41</v>
      </c>
      <c r="Z373">
        <v>181.7863083</v>
      </c>
    </row>
    <row r="374" spans="1:26" x14ac:dyDescent="0.3">
      <c r="A374" t="s">
        <v>42</v>
      </c>
      <c r="B374" t="s">
        <v>430</v>
      </c>
      <c r="C374">
        <v>20.353882072157699</v>
      </c>
      <c r="D374">
        <v>26</v>
      </c>
      <c r="E374">
        <v>714</v>
      </c>
      <c r="F374">
        <v>1162.288088</v>
      </c>
      <c r="G374" t="s">
        <v>26</v>
      </c>
      <c r="H374">
        <v>86</v>
      </c>
      <c r="I374">
        <v>28</v>
      </c>
      <c r="J374">
        <v>86</v>
      </c>
      <c r="K374">
        <v>5</v>
      </c>
      <c r="L374" t="s">
        <v>44</v>
      </c>
      <c r="M374">
        <v>8.5089393482661606</v>
      </c>
      <c r="N374" t="s">
        <v>37</v>
      </c>
      <c r="O374" t="s">
        <v>29</v>
      </c>
      <c r="P374">
        <f>VLOOKUP(O374, Coordinates!$A$2:$C$6, 2, FALSE)</f>
        <v>29.760400000000001</v>
      </c>
      <c r="Q374">
        <f>VLOOKUP(O374, Coordinates!$A$2:$C$6, 3, FALSE)</f>
        <v>-95.369799999999998</v>
      </c>
      <c r="R374">
        <v>25</v>
      </c>
      <c r="S374">
        <v>535</v>
      </c>
      <c r="T374">
        <v>5</v>
      </c>
      <c r="U374">
        <v>64.941700507162807</v>
      </c>
      <c r="V374" t="s">
        <v>55</v>
      </c>
      <c r="W374">
        <v>2.9919553196958399</v>
      </c>
      <c r="X374" t="s">
        <v>40</v>
      </c>
      <c r="Y374" t="s">
        <v>60</v>
      </c>
      <c r="Z374">
        <v>722.93340277048799</v>
      </c>
    </row>
    <row r="375" spans="1:26" x14ac:dyDescent="0.3">
      <c r="A375" t="s">
        <v>33</v>
      </c>
      <c r="B375" t="s">
        <v>431</v>
      </c>
      <c r="D375">
        <v>46</v>
      </c>
      <c r="E375">
        <v>546</v>
      </c>
      <c r="F375">
        <v>6013.4282757300998</v>
      </c>
      <c r="G375" t="s">
        <v>48</v>
      </c>
      <c r="H375">
        <v>77</v>
      </c>
      <c r="I375">
        <v>2</v>
      </c>
      <c r="J375">
        <v>33</v>
      </c>
      <c r="K375">
        <v>3</v>
      </c>
      <c r="L375" t="s">
        <v>27</v>
      </c>
      <c r="M375">
        <v>8.6416201351594797</v>
      </c>
      <c r="N375" t="s">
        <v>45</v>
      </c>
      <c r="O375" t="s">
        <v>38</v>
      </c>
      <c r="P375">
        <f>VLOOKUP(O375, Coordinates!$A$2:$C$6, 2, FALSE)</f>
        <v>25.761700000000001</v>
      </c>
      <c r="Q375">
        <f>VLOOKUP(O375, Coordinates!$A$2:$C$6, 3, FALSE)</f>
        <v>-80.191800000000001</v>
      </c>
      <c r="R375">
        <v>27</v>
      </c>
      <c r="S375">
        <v>484</v>
      </c>
      <c r="T375">
        <v>1</v>
      </c>
      <c r="U375">
        <v>30.841094103984702</v>
      </c>
      <c r="V375" t="s">
        <v>39</v>
      </c>
      <c r="W375">
        <v>4.1455171480667401</v>
      </c>
      <c r="X375" t="s">
        <v>46</v>
      </c>
      <c r="Y375" t="s">
        <v>41</v>
      </c>
      <c r="Z375">
        <v>875.13518959678697</v>
      </c>
    </row>
    <row r="376" spans="1:26" x14ac:dyDescent="0.3">
      <c r="A376" t="s">
        <v>24</v>
      </c>
      <c r="B376" t="s">
        <v>432</v>
      </c>
      <c r="C376">
        <v>20.742378471328699</v>
      </c>
      <c r="D376">
        <v>92</v>
      </c>
      <c r="E376">
        <v>483</v>
      </c>
      <c r="F376">
        <v>9016.7119214865907</v>
      </c>
      <c r="G376" t="s">
        <v>48</v>
      </c>
      <c r="H376">
        <v>78</v>
      </c>
      <c r="I376">
        <v>17</v>
      </c>
      <c r="J376">
        <v>83</v>
      </c>
      <c r="K376">
        <v>7</v>
      </c>
      <c r="L376" t="s">
        <v>27</v>
      </c>
      <c r="M376">
        <v>5.01529011899681</v>
      </c>
      <c r="N376" t="s">
        <v>45</v>
      </c>
      <c r="O376" t="s">
        <v>38</v>
      </c>
      <c r="P376">
        <f>VLOOKUP(O376, Coordinates!$A$2:$C$6, 2, FALSE)</f>
        <v>25.761700000000001</v>
      </c>
      <c r="Q376">
        <f>VLOOKUP(O376, Coordinates!$A$2:$C$6, 3, FALSE)</f>
        <v>-80.191800000000001</v>
      </c>
      <c r="R376">
        <v>30</v>
      </c>
      <c r="S376">
        <v>184</v>
      </c>
      <c r="T376">
        <v>15</v>
      </c>
      <c r="U376">
        <v>76.461518990000002</v>
      </c>
      <c r="V376" t="s">
        <v>39</v>
      </c>
      <c r="W376">
        <v>4.1836986145683097</v>
      </c>
      <c r="X376" t="s">
        <v>46</v>
      </c>
      <c r="Y376" t="s">
        <v>32</v>
      </c>
      <c r="Z376">
        <v>955.33841808512204</v>
      </c>
    </row>
    <row r="377" spans="1:26" x14ac:dyDescent="0.3">
      <c r="A377" t="s">
        <v>49</v>
      </c>
      <c r="B377" t="s">
        <v>433</v>
      </c>
      <c r="C377">
        <v>58.217314545616603</v>
      </c>
      <c r="D377">
        <v>49</v>
      </c>
      <c r="E377">
        <v>917</v>
      </c>
      <c r="F377">
        <v>5872.0184443114003</v>
      </c>
      <c r="G377" t="s">
        <v>35</v>
      </c>
      <c r="H377">
        <v>73</v>
      </c>
      <c r="I377">
        <v>27</v>
      </c>
      <c r="J377">
        <v>51</v>
      </c>
      <c r="K377">
        <v>3</v>
      </c>
      <c r="L377" t="s">
        <v>36</v>
      </c>
      <c r="M377">
        <v>4.5018774607185899</v>
      </c>
      <c r="N377" t="s">
        <v>45</v>
      </c>
      <c r="O377" t="s">
        <v>38</v>
      </c>
      <c r="P377">
        <f>VLOOKUP(O377, Coordinates!$A$2:$C$6, 2, FALSE)</f>
        <v>25.761700000000001</v>
      </c>
      <c r="Q377">
        <f>VLOOKUP(O377, Coordinates!$A$2:$C$6, 3, FALSE)</f>
        <v>-80.191800000000001</v>
      </c>
      <c r="R377">
        <v>29</v>
      </c>
      <c r="S377">
        <v>458</v>
      </c>
      <c r="T377">
        <v>9</v>
      </c>
      <c r="U377">
        <v>56.277882333574503</v>
      </c>
      <c r="V377" t="s">
        <v>39</v>
      </c>
      <c r="W377">
        <v>4.8269666217753402</v>
      </c>
      <c r="X377" t="s">
        <v>40</v>
      </c>
      <c r="Y377" t="s">
        <v>32</v>
      </c>
      <c r="Z377">
        <v>149.07800563047701</v>
      </c>
    </row>
    <row r="378" spans="1:26" x14ac:dyDescent="0.3">
      <c r="A378" t="s">
        <v>82</v>
      </c>
      <c r="B378" t="s">
        <v>434</v>
      </c>
      <c r="C378">
        <v>76.319303164937907</v>
      </c>
      <c r="D378">
        <v>82</v>
      </c>
      <c r="E378">
        <v>975</v>
      </c>
      <c r="F378">
        <v>3915.05997322341</v>
      </c>
      <c r="G378" t="s">
        <v>54</v>
      </c>
      <c r="H378">
        <v>8</v>
      </c>
      <c r="I378">
        <v>20</v>
      </c>
      <c r="J378">
        <v>31</v>
      </c>
      <c r="K378">
        <v>8</v>
      </c>
      <c r="L378" t="s">
        <v>36</v>
      </c>
      <c r="M378">
        <v>1.0667258267415001</v>
      </c>
      <c r="N378" t="s">
        <v>51</v>
      </c>
      <c r="O378" t="s">
        <v>67</v>
      </c>
      <c r="P378">
        <f>VLOOKUP(O378, Coordinates!$A$2:$C$6, 2, FALSE)</f>
        <v>40.712800000000001</v>
      </c>
      <c r="Q378">
        <f>VLOOKUP(O378, Coordinates!$A$2:$C$6, 3, FALSE)</f>
        <v>-74.006</v>
      </c>
      <c r="R378">
        <v>10</v>
      </c>
      <c r="S378">
        <v>885</v>
      </c>
      <c r="T378">
        <v>12</v>
      </c>
      <c r="U378">
        <v>29.639159664916299</v>
      </c>
      <c r="V378" t="s">
        <v>39</v>
      </c>
      <c r="W378">
        <v>1.57673694465292</v>
      </c>
      <c r="X378" t="s">
        <v>46</v>
      </c>
      <c r="Y378" t="s">
        <v>41</v>
      </c>
      <c r="Z378">
        <v>155.742029385249</v>
      </c>
    </row>
    <row r="379" spans="1:26" x14ac:dyDescent="0.3">
      <c r="A379" t="s">
        <v>82</v>
      </c>
      <c r="B379" t="s">
        <v>435</v>
      </c>
      <c r="C379">
        <v>58.008170184350703</v>
      </c>
      <c r="D379">
        <v>96</v>
      </c>
      <c r="E379">
        <v>24</v>
      </c>
      <c r="F379">
        <v>2226.2550858278</v>
      </c>
      <c r="G379" t="s">
        <v>26</v>
      </c>
      <c r="H379">
        <v>43</v>
      </c>
      <c r="I379">
        <v>4</v>
      </c>
      <c r="J379">
        <v>69</v>
      </c>
      <c r="K379">
        <v>9</v>
      </c>
      <c r="L379" t="s">
        <v>27</v>
      </c>
      <c r="M379">
        <v>6.5525447887755996</v>
      </c>
      <c r="N379" t="s">
        <v>45</v>
      </c>
      <c r="O379" t="s">
        <v>38</v>
      </c>
      <c r="P379">
        <f>VLOOKUP(O379, Coordinates!$A$2:$C$6, 2, FALSE)</f>
        <v>25.761700000000001</v>
      </c>
      <c r="Q379">
        <f>VLOOKUP(O379, Coordinates!$A$2:$C$6, 3, FALSE)</f>
        <v>-80.191800000000001</v>
      </c>
      <c r="R379">
        <v>29</v>
      </c>
      <c r="S379">
        <v>126</v>
      </c>
      <c r="T379">
        <v>22</v>
      </c>
      <c r="U379">
        <v>54.441250984095802</v>
      </c>
      <c r="V379" t="s">
        <v>39</v>
      </c>
      <c r="W379">
        <v>4.5869466962939303</v>
      </c>
      <c r="X379" t="s">
        <v>46</v>
      </c>
      <c r="Y379" t="s">
        <v>32</v>
      </c>
      <c r="Z379">
        <v>937.36439950011504</v>
      </c>
    </row>
    <row r="380" spans="1:26" x14ac:dyDescent="0.3">
      <c r="A380" t="s">
        <v>33</v>
      </c>
      <c r="B380" t="s">
        <v>436</v>
      </c>
      <c r="C380">
        <v>57.488793404358802</v>
      </c>
      <c r="D380">
        <v>53</v>
      </c>
      <c r="E380">
        <v>564</v>
      </c>
      <c r="F380">
        <v>8988.0676463457203</v>
      </c>
      <c r="G380" t="s">
        <v>26</v>
      </c>
      <c r="H380">
        <v>38</v>
      </c>
      <c r="I380">
        <v>13</v>
      </c>
      <c r="J380">
        <v>95</v>
      </c>
      <c r="K380">
        <v>2</v>
      </c>
      <c r="L380" t="s">
        <v>27</v>
      </c>
      <c r="M380">
        <v>7.7914417751469101</v>
      </c>
      <c r="N380" t="s">
        <v>51</v>
      </c>
      <c r="O380" t="s">
        <v>29</v>
      </c>
      <c r="P380">
        <f>VLOOKUP(O380, Coordinates!$A$2:$C$6, 2, FALSE)</f>
        <v>29.760400000000001</v>
      </c>
      <c r="Q380">
        <f>VLOOKUP(O380, Coordinates!$A$2:$C$6, 3, FALSE)</f>
        <v>-95.369799999999998</v>
      </c>
      <c r="R380">
        <v>9</v>
      </c>
      <c r="S380">
        <v>959</v>
      </c>
      <c r="T380">
        <v>18</v>
      </c>
      <c r="U380">
        <v>10.079355421730799</v>
      </c>
      <c r="V380" t="s">
        <v>55</v>
      </c>
      <c r="W380">
        <v>2.4431928407682899</v>
      </c>
      <c r="X380" t="s">
        <v>31</v>
      </c>
      <c r="Y380" t="s">
        <v>32</v>
      </c>
      <c r="Z380">
        <v>810.63331498405898</v>
      </c>
    </row>
    <row r="381" spans="1:26" x14ac:dyDescent="0.3">
      <c r="A381" t="s">
        <v>49</v>
      </c>
      <c r="B381" t="s">
        <v>437</v>
      </c>
      <c r="D381">
        <v>3</v>
      </c>
      <c r="E381">
        <v>973</v>
      </c>
      <c r="F381">
        <v>5236.86153148842</v>
      </c>
      <c r="G381" t="s">
        <v>26</v>
      </c>
      <c r="H381">
        <v>4</v>
      </c>
      <c r="I381">
        <v>18</v>
      </c>
      <c r="J381">
        <v>46</v>
      </c>
      <c r="K381">
        <v>3</v>
      </c>
      <c r="L381" t="s">
        <v>36</v>
      </c>
      <c r="M381">
        <v>11.3992524391741</v>
      </c>
      <c r="N381" t="s">
        <v>28</v>
      </c>
      <c r="O381" t="s">
        <v>29</v>
      </c>
      <c r="P381">
        <f>VLOOKUP(O381, Coordinates!$A$2:$C$6, 2, FALSE)</f>
        <v>29.760400000000001</v>
      </c>
      <c r="Q381">
        <f>VLOOKUP(O381, Coordinates!$A$2:$C$6, 3, FALSE)</f>
        <v>-95.369799999999998</v>
      </c>
      <c r="R381">
        <v>26</v>
      </c>
      <c r="S381">
        <v>171</v>
      </c>
      <c r="T381">
        <v>11</v>
      </c>
      <c r="U381">
        <v>87.646603929205597</v>
      </c>
      <c r="V381" t="s">
        <v>39</v>
      </c>
      <c r="W381">
        <v>3.09004933402931</v>
      </c>
      <c r="X381" t="s">
        <v>40</v>
      </c>
      <c r="Y381" t="s">
        <v>32</v>
      </c>
      <c r="Z381">
        <v>796.84045003192796</v>
      </c>
    </row>
    <row r="382" spans="1:26" x14ac:dyDescent="0.3">
      <c r="A382" t="s">
        <v>49</v>
      </c>
      <c r="B382" t="s">
        <v>438</v>
      </c>
      <c r="C382">
        <v>37.648003297864697</v>
      </c>
      <c r="D382">
        <v>66</v>
      </c>
      <c r="E382">
        <v>134</v>
      </c>
      <c r="F382">
        <v>8903.0367728713099</v>
      </c>
      <c r="G382" t="s">
        <v>54</v>
      </c>
      <c r="H382">
        <v>24</v>
      </c>
      <c r="I382">
        <v>3</v>
      </c>
      <c r="J382">
        <v>48</v>
      </c>
      <c r="K382">
        <v>7</v>
      </c>
      <c r="L382" t="s">
        <v>27</v>
      </c>
      <c r="M382">
        <v>1.93277745322019</v>
      </c>
      <c r="N382" t="s">
        <v>28</v>
      </c>
      <c r="O382" t="s">
        <v>38</v>
      </c>
      <c r="P382">
        <f>VLOOKUP(O382, Coordinates!$A$2:$C$6, 2, FALSE)</f>
        <v>25.761700000000001</v>
      </c>
      <c r="Q382">
        <f>VLOOKUP(O382, Coordinates!$A$2:$C$6, 3, FALSE)</f>
        <v>-80.191800000000001</v>
      </c>
      <c r="R382">
        <v>26</v>
      </c>
      <c r="S382">
        <v>194</v>
      </c>
      <c r="T382">
        <v>10</v>
      </c>
      <c r="U382">
        <v>11.141053935018601</v>
      </c>
      <c r="V382" t="s">
        <v>39</v>
      </c>
      <c r="W382">
        <v>4.4200892989509102</v>
      </c>
      <c r="X382" t="s">
        <v>40</v>
      </c>
      <c r="Y382" t="s">
        <v>32</v>
      </c>
      <c r="Z382">
        <v>768.35955637467202</v>
      </c>
    </row>
    <row r="383" spans="1:26" x14ac:dyDescent="0.3">
      <c r="A383" t="s">
        <v>72</v>
      </c>
      <c r="B383" t="s">
        <v>439</v>
      </c>
      <c r="C383">
        <v>22.6636019222199</v>
      </c>
      <c r="D383">
        <v>97</v>
      </c>
      <c r="E383">
        <v>297</v>
      </c>
      <c r="F383">
        <v>6057.98079380939</v>
      </c>
      <c r="G383" t="s">
        <v>26</v>
      </c>
      <c r="H383">
        <v>55</v>
      </c>
      <c r="I383">
        <v>19</v>
      </c>
      <c r="J383">
        <v>93</v>
      </c>
      <c r="K383">
        <v>5</v>
      </c>
      <c r="L383" t="s">
        <v>27</v>
      </c>
      <c r="M383">
        <v>13.9358517735819</v>
      </c>
      <c r="N383" t="s">
        <v>51</v>
      </c>
      <c r="O383" t="s">
        <v>29</v>
      </c>
      <c r="P383">
        <f>VLOOKUP(O383, Coordinates!$A$2:$C$6, 2, FALSE)</f>
        <v>29.760400000000001</v>
      </c>
      <c r="Q383">
        <f>VLOOKUP(O383, Coordinates!$A$2:$C$6, 3, FALSE)</f>
        <v>-95.369799999999998</v>
      </c>
      <c r="R383">
        <v>13</v>
      </c>
      <c r="S383">
        <v>687</v>
      </c>
      <c r="T383">
        <v>10</v>
      </c>
      <c r="U383">
        <v>93.811669050000006</v>
      </c>
      <c r="V383" t="s">
        <v>39</v>
      </c>
      <c r="W383">
        <v>0.86769599392578201</v>
      </c>
      <c r="X383" t="s">
        <v>40</v>
      </c>
      <c r="Y383" t="s">
        <v>60</v>
      </c>
      <c r="Z383">
        <v>745.59665432644499</v>
      </c>
    </row>
    <row r="384" spans="1:26" x14ac:dyDescent="0.3">
      <c r="A384" t="s">
        <v>24</v>
      </c>
      <c r="B384" t="s">
        <v>440</v>
      </c>
      <c r="C384">
        <v>29.173188066788001</v>
      </c>
      <c r="D384">
        <v>42</v>
      </c>
      <c r="E384">
        <v>901</v>
      </c>
      <c r="F384">
        <v>23656.538203358399</v>
      </c>
      <c r="G384" t="s">
        <v>26</v>
      </c>
      <c r="H384">
        <v>89</v>
      </c>
      <c r="I384">
        <v>5</v>
      </c>
      <c r="J384">
        <v>83</v>
      </c>
      <c r="K384">
        <v>10</v>
      </c>
      <c r="L384" t="s">
        <v>36</v>
      </c>
      <c r="M384">
        <v>4.6954185554585797</v>
      </c>
      <c r="N384" t="s">
        <v>28</v>
      </c>
      <c r="O384" t="s">
        <v>67</v>
      </c>
      <c r="P384">
        <f>VLOOKUP(O384, Coordinates!$A$2:$C$6, 2, FALSE)</f>
        <v>40.712800000000001</v>
      </c>
      <c r="Q384">
        <f>VLOOKUP(O384, Coordinates!$A$2:$C$6, 3, FALSE)</f>
        <v>-74.006</v>
      </c>
      <c r="R384">
        <v>3</v>
      </c>
      <c r="S384">
        <v>525</v>
      </c>
      <c r="T384">
        <v>18</v>
      </c>
      <c r="U384">
        <v>91.778556929999993</v>
      </c>
      <c r="V384" t="s">
        <v>39</v>
      </c>
      <c r="W384">
        <v>2.5230844132006198</v>
      </c>
      <c r="X384" t="s">
        <v>46</v>
      </c>
      <c r="Y384" t="s">
        <v>41</v>
      </c>
      <c r="Z384">
        <v>651.90059047486602</v>
      </c>
    </row>
    <row r="385" spans="1:26" x14ac:dyDescent="0.3">
      <c r="A385" t="s">
        <v>72</v>
      </c>
      <c r="B385" t="s">
        <v>441</v>
      </c>
      <c r="C385">
        <v>20.913289754767199</v>
      </c>
      <c r="D385">
        <v>19</v>
      </c>
      <c r="E385">
        <v>136</v>
      </c>
      <c r="F385">
        <v>2559.7866659834999</v>
      </c>
      <c r="G385" t="s">
        <v>54</v>
      </c>
      <c r="H385">
        <v>63</v>
      </c>
      <c r="I385">
        <v>1</v>
      </c>
      <c r="J385">
        <v>83</v>
      </c>
      <c r="K385">
        <v>7</v>
      </c>
      <c r="L385" t="s">
        <v>44</v>
      </c>
      <c r="M385">
        <v>6.1340896617954597</v>
      </c>
      <c r="N385" t="s">
        <v>57</v>
      </c>
      <c r="O385" t="s">
        <v>29</v>
      </c>
      <c r="P385">
        <f>VLOOKUP(O385, Coordinates!$A$2:$C$6, 2, FALSE)</f>
        <v>29.760400000000001</v>
      </c>
      <c r="Q385">
        <f>VLOOKUP(O385, Coordinates!$A$2:$C$6, 3, FALSE)</f>
        <v>-95.369799999999998</v>
      </c>
      <c r="R385">
        <v>17</v>
      </c>
      <c r="S385">
        <v>105</v>
      </c>
      <c r="T385">
        <v>26</v>
      </c>
      <c r="U385">
        <v>88.691662488452195</v>
      </c>
      <c r="V385" t="s">
        <v>30</v>
      </c>
      <c r="W385">
        <v>2.1213362964380602</v>
      </c>
      <c r="X385" t="s">
        <v>31</v>
      </c>
      <c r="Y385" t="s">
        <v>41</v>
      </c>
      <c r="Z385">
        <v>831.46604007446604</v>
      </c>
    </row>
    <row r="386" spans="1:26" x14ac:dyDescent="0.3">
      <c r="A386" t="s">
        <v>72</v>
      </c>
      <c r="B386" t="s">
        <v>442</v>
      </c>
      <c r="C386">
        <v>26.1402637133355</v>
      </c>
      <c r="D386">
        <v>17</v>
      </c>
      <c r="E386">
        <v>360</v>
      </c>
      <c r="F386">
        <v>8469.4454431207196</v>
      </c>
      <c r="G386" t="s">
        <v>26</v>
      </c>
      <c r="H386">
        <v>71</v>
      </c>
      <c r="I386">
        <v>9</v>
      </c>
      <c r="J386">
        <v>99</v>
      </c>
      <c r="K386">
        <v>2</v>
      </c>
      <c r="L386" t="s">
        <v>27</v>
      </c>
      <c r="M386">
        <v>1.6770745183336599</v>
      </c>
      <c r="N386" t="s">
        <v>57</v>
      </c>
      <c r="O386" t="s">
        <v>29</v>
      </c>
      <c r="P386">
        <f>VLOOKUP(O386, Coordinates!$A$2:$C$6, 2, FALSE)</f>
        <v>29.760400000000001</v>
      </c>
      <c r="Q386">
        <f>VLOOKUP(O386, Coordinates!$A$2:$C$6, 3, FALSE)</f>
        <v>-95.369799999999998</v>
      </c>
      <c r="R386">
        <v>30</v>
      </c>
      <c r="S386">
        <v>189</v>
      </c>
      <c r="T386">
        <v>1</v>
      </c>
      <c r="U386">
        <v>77.557184778707196</v>
      </c>
      <c r="V386" t="s">
        <v>30</v>
      </c>
      <c r="W386">
        <v>1.4796004505029801</v>
      </c>
      <c r="X386" t="s">
        <v>31</v>
      </c>
      <c r="Y386" t="s">
        <v>32</v>
      </c>
      <c r="Z386">
        <v>130.75516070116299</v>
      </c>
    </row>
    <row r="387" spans="1:26" x14ac:dyDescent="0.3">
      <c r="A387" t="s">
        <v>72</v>
      </c>
      <c r="B387" t="s">
        <v>443</v>
      </c>
      <c r="C387">
        <v>28.744881252892799</v>
      </c>
      <c r="D387">
        <v>33</v>
      </c>
      <c r="E387">
        <v>58</v>
      </c>
      <c r="F387">
        <v>1500.482801401</v>
      </c>
      <c r="G387" t="s">
        <v>35</v>
      </c>
      <c r="H387">
        <v>85</v>
      </c>
      <c r="I387">
        <v>24</v>
      </c>
      <c r="J387">
        <v>98</v>
      </c>
      <c r="K387">
        <v>4</v>
      </c>
      <c r="L387" t="s">
        <v>44</v>
      </c>
      <c r="M387">
        <v>10.1439097514537</v>
      </c>
      <c r="N387" t="s">
        <v>28</v>
      </c>
      <c r="O387" t="s">
        <v>58</v>
      </c>
      <c r="P387">
        <f>VLOOKUP(O387, Coordinates!$A$2:$C$6, 2, FALSE)</f>
        <v>34.052199999999999</v>
      </c>
      <c r="Q387">
        <f>VLOOKUP(O387, Coordinates!$A$2:$C$6, 3, FALSE)</f>
        <v>-118.2437</v>
      </c>
      <c r="R387">
        <v>30</v>
      </c>
      <c r="S387">
        <v>691</v>
      </c>
      <c r="T387">
        <v>28</v>
      </c>
      <c r="U387">
        <v>83.400745185579595</v>
      </c>
      <c r="V387" t="s">
        <v>39</v>
      </c>
      <c r="W387">
        <v>4.5980408847688601</v>
      </c>
      <c r="X387" t="s">
        <v>52</v>
      </c>
      <c r="Y387" t="s">
        <v>41</v>
      </c>
      <c r="Z387">
        <v>766.271897693494</v>
      </c>
    </row>
    <row r="388" spans="1:26" x14ac:dyDescent="0.3">
      <c r="A388" t="s">
        <v>72</v>
      </c>
      <c r="B388" t="s">
        <v>444</v>
      </c>
      <c r="C388">
        <v>22.0323471303887</v>
      </c>
      <c r="D388">
        <v>76</v>
      </c>
      <c r="E388">
        <v>894</v>
      </c>
      <c r="F388">
        <v>17727.226501110799</v>
      </c>
      <c r="G388" t="s">
        <v>35</v>
      </c>
      <c r="H388">
        <v>51</v>
      </c>
      <c r="I388">
        <v>8</v>
      </c>
      <c r="J388">
        <v>62</v>
      </c>
      <c r="K388">
        <v>1</v>
      </c>
      <c r="L388" t="s">
        <v>44</v>
      </c>
      <c r="M388">
        <v>10.9249191634581</v>
      </c>
      <c r="N388" t="s">
        <v>37</v>
      </c>
      <c r="O388" t="s">
        <v>67</v>
      </c>
      <c r="P388">
        <f>VLOOKUP(O388, Coordinates!$A$2:$C$6, 2, FALSE)</f>
        <v>40.712800000000001</v>
      </c>
      <c r="Q388">
        <f>VLOOKUP(O388, Coordinates!$A$2:$C$6, 3, FALSE)</f>
        <v>-74.006</v>
      </c>
      <c r="R388">
        <v>18</v>
      </c>
      <c r="S388">
        <v>321</v>
      </c>
      <c r="T388">
        <v>20</v>
      </c>
      <c r="U388">
        <v>91.804565117262399</v>
      </c>
      <c r="V388" t="s">
        <v>30</v>
      </c>
      <c r="W388">
        <v>4.0855462000000002E-2</v>
      </c>
      <c r="X388" t="s">
        <v>40</v>
      </c>
      <c r="Y388" t="s">
        <v>41</v>
      </c>
      <c r="Z388">
        <v>624.62574993316605</v>
      </c>
    </row>
    <row r="389" spans="1:26" x14ac:dyDescent="0.3">
      <c r="A389" t="s">
        <v>72</v>
      </c>
      <c r="B389" t="s">
        <v>445</v>
      </c>
      <c r="C389">
        <v>21.306510705588</v>
      </c>
      <c r="D389">
        <v>49</v>
      </c>
      <c r="E389">
        <v>797</v>
      </c>
      <c r="F389">
        <v>15283.1601291182</v>
      </c>
      <c r="G389" t="s">
        <v>48</v>
      </c>
      <c r="H389">
        <v>88</v>
      </c>
      <c r="I389">
        <v>3</v>
      </c>
      <c r="J389">
        <v>37</v>
      </c>
      <c r="K389">
        <v>5</v>
      </c>
      <c r="L389" t="s">
        <v>27</v>
      </c>
      <c r="M389">
        <v>14.003077042056701</v>
      </c>
      <c r="N389" t="s">
        <v>51</v>
      </c>
      <c r="O389" t="s">
        <v>65</v>
      </c>
      <c r="P389">
        <f>VLOOKUP(O389, Coordinates!$A$2:$C$6, 2, FALSE)</f>
        <v>41.878100000000003</v>
      </c>
      <c r="Q389">
        <f>VLOOKUP(O389, Coordinates!$A$2:$C$6, 3, FALSE)</f>
        <v>-87.629800000000003</v>
      </c>
      <c r="R389">
        <v>5</v>
      </c>
      <c r="S389">
        <v>694</v>
      </c>
      <c r="T389">
        <v>26</v>
      </c>
      <c r="U389">
        <v>83.750627531678504</v>
      </c>
      <c r="V389" t="s">
        <v>30</v>
      </c>
      <c r="W389">
        <v>0.61052396315188495</v>
      </c>
      <c r="X389" t="s">
        <v>31</v>
      </c>
      <c r="Y389" t="s">
        <v>41</v>
      </c>
      <c r="Z389">
        <v>916.713182579815</v>
      </c>
    </row>
    <row r="390" spans="1:26" x14ac:dyDescent="0.3">
      <c r="A390" t="s">
        <v>42</v>
      </c>
      <c r="B390" t="s">
        <v>446</v>
      </c>
      <c r="C390">
        <v>46.901855033824397</v>
      </c>
      <c r="D390">
        <v>56</v>
      </c>
      <c r="E390">
        <v>391</v>
      </c>
      <c r="F390">
        <v>4362.8526673568504</v>
      </c>
      <c r="G390" t="s">
        <v>48</v>
      </c>
      <c r="H390">
        <v>75</v>
      </c>
      <c r="I390">
        <v>2</v>
      </c>
      <c r="J390">
        <v>86</v>
      </c>
      <c r="K390">
        <v>8</v>
      </c>
      <c r="L390" t="s">
        <v>44</v>
      </c>
      <c r="M390">
        <v>5.7156060464131997</v>
      </c>
      <c r="N390" t="s">
        <v>28</v>
      </c>
      <c r="O390" t="s">
        <v>38</v>
      </c>
      <c r="P390">
        <f>VLOOKUP(O390, Coordinates!$A$2:$C$6, 2, FALSE)</f>
        <v>25.761700000000001</v>
      </c>
      <c r="Q390">
        <f>VLOOKUP(O390, Coordinates!$A$2:$C$6, 3, FALSE)</f>
        <v>-80.191800000000001</v>
      </c>
      <c r="R390">
        <v>16</v>
      </c>
      <c r="S390">
        <v>693</v>
      </c>
      <c r="T390">
        <v>11</v>
      </c>
      <c r="U390">
        <v>84.037397231986901</v>
      </c>
      <c r="V390" t="s">
        <v>55</v>
      </c>
      <c r="W390">
        <v>3.6667222495805398</v>
      </c>
      <c r="X390" t="s">
        <v>31</v>
      </c>
      <c r="Y390" t="s">
        <v>60</v>
      </c>
      <c r="Z390">
        <v>942.73645669412394</v>
      </c>
    </row>
    <row r="391" spans="1:26" x14ac:dyDescent="0.3">
      <c r="A391" t="s">
        <v>49</v>
      </c>
      <c r="B391" t="s">
        <v>447</v>
      </c>
      <c r="C391">
        <v>23.5828809392289</v>
      </c>
      <c r="D391">
        <v>63</v>
      </c>
      <c r="E391">
        <v>269</v>
      </c>
      <c r="F391">
        <v>4493.0931109164703</v>
      </c>
      <c r="G391" t="s">
        <v>48</v>
      </c>
      <c r="H391">
        <v>8</v>
      </c>
      <c r="I391">
        <v>1</v>
      </c>
      <c r="J391">
        <v>24</v>
      </c>
      <c r="K391">
        <v>1</v>
      </c>
      <c r="L391" t="s">
        <v>36</v>
      </c>
      <c r="M391">
        <v>4.6031622182952603</v>
      </c>
      <c r="N391" t="s">
        <v>51</v>
      </c>
      <c r="O391" t="s">
        <v>65</v>
      </c>
      <c r="P391">
        <f>VLOOKUP(O391, Coordinates!$A$2:$C$6, 2, FALSE)</f>
        <v>41.878100000000003</v>
      </c>
      <c r="Q391">
        <f>VLOOKUP(O391, Coordinates!$A$2:$C$6, 3, FALSE)</f>
        <v>-87.629800000000003</v>
      </c>
      <c r="R391">
        <v>30</v>
      </c>
      <c r="S391">
        <v>251</v>
      </c>
      <c r="T391">
        <v>29</v>
      </c>
      <c r="U391">
        <v>42.5870803810026</v>
      </c>
      <c r="V391" t="s">
        <v>30</v>
      </c>
      <c r="W391">
        <v>1.31720802343456</v>
      </c>
      <c r="X391" t="s">
        <v>31</v>
      </c>
      <c r="Y391" t="s">
        <v>32</v>
      </c>
      <c r="Z391">
        <v>317.19745749999998</v>
      </c>
    </row>
    <row r="392" spans="1:26" x14ac:dyDescent="0.3">
      <c r="A392" t="s">
        <v>72</v>
      </c>
      <c r="B392" t="s">
        <v>448</v>
      </c>
      <c r="C392">
        <v>20.325608030000001</v>
      </c>
      <c r="D392">
        <v>3</v>
      </c>
      <c r="E392">
        <v>986</v>
      </c>
      <c r="F392">
        <v>18036.944566951399</v>
      </c>
      <c r="G392" t="s">
        <v>35</v>
      </c>
      <c r="H392">
        <v>9</v>
      </c>
      <c r="I392">
        <v>12</v>
      </c>
      <c r="J392">
        <v>69</v>
      </c>
      <c r="K392">
        <v>7</v>
      </c>
      <c r="L392" t="s">
        <v>27</v>
      </c>
      <c r="M392">
        <v>11.1652110499921</v>
      </c>
      <c r="N392" t="s">
        <v>28</v>
      </c>
      <c r="O392" t="s">
        <v>58</v>
      </c>
      <c r="P392">
        <f>VLOOKUP(O392, Coordinates!$A$2:$C$6, 2, FALSE)</f>
        <v>34.052199999999999</v>
      </c>
      <c r="Q392">
        <f>VLOOKUP(O392, Coordinates!$A$2:$C$6, 3, FALSE)</f>
        <v>-118.2437</v>
      </c>
      <c r="R392">
        <v>26</v>
      </c>
      <c r="S392">
        <v>656</v>
      </c>
      <c r="T392">
        <v>2</v>
      </c>
      <c r="U392">
        <v>83.729103370860798</v>
      </c>
      <c r="V392" t="s">
        <v>39</v>
      </c>
      <c r="W392">
        <v>3.6158963054612099</v>
      </c>
      <c r="X392" t="s">
        <v>40</v>
      </c>
      <c r="Y392" t="s">
        <v>41</v>
      </c>
      <c r="Z392">
        <v>810.51407671586503</v>
      </c>
    </row>
    <row r="393" spans="1:26" x14ac:dyDescent="0.3">
      <c r="A393" t="s">
        <v>49</v>
      </c>
      <c r="B393" t="s">
        <v>449</v>
      </c>
      <c r="C393">
        <v>13.9334299212553</v>
      </c>
      <c r="D393">
        <v>49</v>
      </c>
      <c r="E393">
        <v>219</v>
      </c>
      <c r="F393">
        <v>9231.2599169999994</v>
      </c>
      <c r="G393" t="s">
        <v>35</v>
      </c>
      <c r="H393">
        <v>9</v>
      </c>
      <c r="I393">
        <v>22</v>
      </c>
      <c r="J393">
        <v>69</v>
      </c>
      <c r="K393">
        <v>7</v>
      </c>
      <c r="L393" t="s">
        <v>27</v>
      </c>
      <c r="M393">
        <v>10.8952124382009</v>
      </c>
      <c r="N393" t="s">
        <v>57</v>
      </c>
      <c r="O393" t="s">
        <v>29</v>
      </c>
      <c r="P393">
        <f>VLOOKUP(O393, Coordinates!$A$2:$C$6, 2, FALSE)</f>
        <v>29.760400000000001</v>
      </c>
      <c r="Q393">
        <f>VLOOKUP(O393, Coordinates!$A$2:$C$6, 3, FALSE)</f>
        <v>-95.369799999999998</v>
      </c>
      <c r="R393">
        <v>23</v>
      </c>
      <c r="S393">
        <v>311</v>
      </c>
      <c r="T393">
        <v>26</v>
      </c>
      <c r="U393">
        <v>20.394056230997599</v>
      </c>
      <c r="V393" t="s">
        <v>30</v>
      </c>
      <c r="W393">
        <v>4.1612680535778104</v>
      </c>
      <c r="X393" t="s">
        <v>46</v>
      </c>
      <c r="Y393" t="s">
        <v>60</v>
      </c>
      <c r="Z393">
        <v>961.29885456868499</v>
      </c>
    </row>
    <row r="394" spans="1:26" x14ac:dyDescent="0.3">
      <c r="A394" t="s">
        <v>49</v>
      </c>
      <c r="B394" t="s">
        <v>450</v>
      </c>
      <c r="C394">
        <v>38.883742543467598</v>
      </c>
      <c r="D394">
        <v>55</v>
      </c>
      <c r="E394">
        <v>464</v>
      </c>
      <c r="F394">
        <v>1819.32683450897</v>
      </c>
      <c r="G394" t="s">
        <v>35</v>
      </c>
      <c r="H394">
        <v>72</v>
      </c>
      <c r="I394">
        <v>13</v>
      </c>
      <c r="J394">
        <v>15</v>
      </c>
      <c r="K394">
        <v>7</v>
      </c>
      <c r="L394" t="s">
        <v>44</v>
      </c>
      <c r="M394">
        <v>14.119736809947399</v>
      </c>
      <c r="N394" t="s">
        <v>37</v>
      </c>
      <c r="O394" t="s">
        <v>38</v>
      </c>
      <c r="P394">
        <f>VLOOKUP(O394, Coordinates!$A$2:$C$6, 2, FALSE)</f>
        <v>25.761700000000001</v>
      </c>
      <c r="Q394">
        <f>VLOOKUP(O394, Coordinates!$A$2:$C$6, 3, FALSE)</f>
        <v>-80.191800000000001</v>
      </c>
      <c r="R394">
        <v>16</v>
      </c>
      <c r="S394">
        <v>682</v>
      </c>
      <c r="T394">
        <v>11</v>
      </c>
      <c r="U394">
        <v>23.754377912982299</v>
      </c>
      <c r="V394" t="s">
        <v>30</v>
      </c>
      <c r="W394">
        <v>1.27308008417265</v>
      </c>
      <c r="X394" t="s">
        <v>52</v>
      </c>
      <c r="Y394" t="s">
        <v>32</v>
      </c>
      <c r="Z394">
        <v>339.98456506132499</v>
      </c>
    </row>
    <row r="395" spans="1:26" x14ac:dyDescent="0.3">
      <c r="A395" t="s">
        <v>61</v>
      </c>
      <c r="B395" t="s">
        <v>451</v>
      </c>
      <c r="C395">
        <v>76.960779054994603</v>
      </c>
      <c r="D395">
        <v>26</v>
      </c>
      <c r="E395">
        <v>462</v>
      </c>
      <c r="F395">
        <v>6833.8825970369999</v>
      </c>
      <c r="G395" t="s">
        <v>48</v>
      </c>
      <c r="H395">
        <v>61</v>
      </c>
      <c r="I395">
        <v>10</v>
      </c>
      <c r="J395">
        <v>61</v>
      </c>
      <c r="K395">
        <v>1</v>
      </c>
      <c r="L395" t="s">
        <v>27</v>
      </c>
      <c r="M395">
        <v>3.8744607392659698</v>
      </c>
      <c r="N395" t="s">
        <v>51</v>
      </c>
      <c r="O395" t="s">
        <v>67</v>
      </c>
      <c r="P395">
        <f>VLOOKUP(O395, Coordinates!$A$2:$C$6, 2, FALSE)</f>
        <v>40.712800000000001</v>
      </c>
      <c r="Q395">
        <f>VLOOKUP(O395, Coordinates!$A$2:$C$6, 3, FALSE)</f>
        <v>-74.006</v>
      </c>
      <c r="R395">
        <v>11</v>
      </c>
      <c r="S395">
        <v>362</v>
      </c>
      <c r="T395">
        <v>25</v>
      </c>
      <c r="U395">
        <v>61.151643552341802</v>
      </c>
      <c r="V395" t="s">
        <v>30</v>
      </c>
      <c r="W395">
        <v>0.95972143899999995</v>
      </c>
      <c r="X395" t="s">
        <v>52</v>
      </c>
      <c r="Y395" t="s">
        <v>60</v>
      </c>
      <c r="Z395">
        <v>865.97626877076402</v>
      </c>
    </row>
    <row r="396" spans="1:26" x14ac:dyDescent="0.3">
      <c r="A396" t="s">
        <v>42</v>
      </c>
      <c r="B396" t="s">
        <v>452</v>
      </c>
      <c r="C396">
        <v>31.261960605422601</v>
      </c>
      <c r="D396">
        <v>99</v>
      </c>
      <c r="E396">
        <v>806</v>
      </c>
      <c r="F396">
        <v>4718.75030922517</v>
      </c>
      <c r="G396" t="s">
        <v>48</v>
      </c>
      <c r="H396">
        <v>89</v>
      </c>
      <c r="I396">
        <v>17</v>
      </c>
      <c r="J396">
        <v>21</v>
      </c>
      <c r="K396">
        <v>3</v>
      </c>
      <c r="L396" t="s">
        <v>27</v>
      </c>
      <c r="M396">
        <v>10.8740967177234</v>
      </c>
      <c r="N396" t="s">
        <v>37</v>
      </c>
      <c r="O396" t="s">
        <v>38</v>
      </c>
      <c r="P396">
        <f>VLOOKUP(O396, Coordinates!$A$2:$C$6, 2, FALSE)</f>
        <v>25.761700000000001</v>
      </c>
      <c r="Q396">
        <f>VLOOKUP(O396, Coordinates!$A$2:$C$6, 3, FALSE)</f>
        <v>-80.191800000000001</v>
      </c>
      <c r="R396">
        <v>22</v>
      </c>
      <c r="S396">
        <v>481</v>
      </c>
      <c r="T396">
        <v>2</v>
      </c>
      <c r="U396">
        <v>19.239053117359301</v>
      </c>
      <c r="V396" t="s">
        <v>30</v>
      </c>
      <c r="W396">
        <v>0.72650316340578802</v>
      </c>
      <c r="X396" t="s">
        <v>46</v>
      </c>
      <c r="Y396" t="s">
        <v>60</v>
      </c>
      <c r="Z396">
        <v>627.87669152229898</v>
      </c>
    </row>
    <row r="397" spans="1:26" x14ac:dyDescent="0.3">
      <c r="A397" t="s">
        <v>72</v>
      </c>
      <c r="B397" t="s">
        <v>453</v>
      </c>
      <c r="C397">
        <v>29.7064526152955</v>
      </c>
      <c r="D397">
        <v>72</v>
      </c>
      <c r="E397">
        <v>47</v>
      </c>
      <c r="F397">
        <v>1256.5829456270001</v>
      </c>
      <c r="G397" t="s">
        <v>48</v>
      </c>
      <c r="H397">
        <v>98</v>
      </c>
      <c r="I397">
        <v>30</v>
      </c>
      <c r="J397">
        <v>28</v>
      </c>
      <c r="K397">
        <v>2</v>
      </c>
      <c r="L397" t="s">
        <v>44</v>
      </c>
      <c r="M397">
        <v>1.93616008065095</v>
      </c>
      <c r="N397" t="s">
        <v>57</v>
      </c>
      <c r="O397" t="s">
        <v>58</v>
      </c>
      <c r="P397">
        <f>VLOOKUP(O397, Coordinates!$A$2:$C$6, 2, FALSE)</f>
        <v>34.052199999999999</v>
      </c>
      <c r="Q397">
        <f>VLOOKUP(O397, Coordinates!$A$2:$C$6, 3, FALSE)</f>
        <v>-118.2437</v>
      </c>
      <c r="R397">
        <v>4</v>
      </c>
      <c r="S397">
        <v>669</v>
      </c>
      <c r="T397">
        <v>27</v>
      </c>
      <c r="U397">
        <v>80.402516157683607</v>
      </c>
      <c r="V397" t="s">
        <v>30</v>
      </c>
      <c r="W397">
        <v>1.00044305441223</v>
      </c>
      <c r="X397" t="s">
        <v>40</v>
      </c>
      <c r="Y397" t="s">
        <v>60</v>
      </c>
      <c r="Z397">
        <v>455.49566722372202</v>
      </c>
    </row>
    <row r="398" spans="1:26" x14ac:dyDescent="0.3">
      <c r="A398" t="s">
        <v>82</v>
      </c>
      <c r="B398" t="s">
        <v>454</v>
      </c>
      <c r="C398">
        <v>66.054092478880193</v>
      </c>
      <c r="D398">
        <v>52</v>
      </c>
      <c r="E398">
        <v>590</v>
      </c>
      <c r="F398">
        <v>7115.9665291541496</v>
      </c>
      <c r="G398" t="s">
        <v>48</v>
      </c>
      <c r="H398">
        <v>90</v>
      </c>
      <c r="I398">
        <v>11</v>
      </c>
      <c r="J398">
        <v>84</v>
      </c>
      <c r="K398">
        <v>5</v>
      </c>
      <c r="L398" t="s">
        <v>44</v>
      </c>
      <c r="M398">
        <v>7.7251534946010603</v>
      </c>
      <c r="N398" t="s">
        <v>45</v>
      </c>
      <c r="O398" t="s">
        <v>38</v>
      </c>
      <c r="P398">
        <f>VLOOKUP(O398, Coordinates!$A$2:$C$6, 2, FALSE)</f>
        <v>25.761700000000001</v>
      </c>
      <c r="Q398">
        <f>VLOOKUP(O398, Coordinates!$A$2:$C$6, 3, FALSE)</f>
        <v>-80.191800000000001</v>
      </c>
      <c r="R398">
        <v>26</v>
      </c>
      <c r="S398">
        <v>156</v>
      </c>
      <c r="T398">
        <v>9</v>
      </c>
      <c r="U398">
        <v>31.120932161069501</v>
      </c>
      <c r="V398" t="s">
        <v>55</v>
      </c>
      <c r="W398">
        <v>3.7580187717568299</v>
      </c>
      <c r="X398" t="s">
        <v>31</v>
      </c>
      <c r="Y398" t="s">
        <v>41</v>
      </c>
      <c r="Z398">
        <v>841.24845823263195</v>
      </c>
    </row>
    <row r="399" spans="1:26" x14ac:dyDescent="0.3">
      <c r="A399" t="s">
        <v>33</v>
      </c>
      <c r="B399" t="s">
        <v>455</v>
      </c>
      <c r="C399">
        <v>23.604877195757201</v>
      </c>
      <c r="D399">
        <v>100</v>
      </c>
      <c r="E399">
        <v>866</v>
      </c>
      <c r="F399">
        <v>1603.8435936689</v>
      </c>
      <c r="G399" t="s">
        <v>48</v>
      </c>
      <c r="H399">
        <v>59</v>
      </c>
      <c r="I399">
        <v>5</v>
      </c>
      <c r="J399">
        <v>11</v>
      </c>
      <c r="K399">
        <v>2</v>
      </c>
      <c r="L399" t="s">
        <v>27</v>
      </c>
      <c r="M399">
        <v>2.6714708817199102</v>
      </c>
      <c r="N399" t="s">
        <v>45</v>
      </c>
      <c r="O399" t="s">
        <v>38</v>
      </c>
      <c r="P399">
        <f>VLOOKUP(O399, Coordinates!$A$2:$C$6, 2, FALSE)</f>
        <v>25.761700000000001</v>
      </c>
      <c r="Q399">
        <f>VLOOKUP(O399, Coordinates!$A$2:$C$6, 3, FALSE)</f>
        <v>-80.191800000000001</v>
      </c>
      <c r="R399">
        <v>28</v>
      </c>
      <c r="S399">
        <v>525</v>
      </c>
      <c r="T399">
        <v>1</v>
      </c>
      <c r="U399">
        <v>49.953207989226698</v>
      </c>
      <c r="V399" t="s">
        <v>39</v>
      </c>
      <c r="W399">
        <v>4.9095978314187096</v>
      </c>
      <c r="X399" t="s">
        <v>46</v>
      </c>
      <c r="Y399" t="s">
        <v>32</v>
      </c>
      <c r="Z399">
        <v>883.26915532517796</v>
      </c>
    </row>
    <row r="400" spans="1:26" x14ac:dyDescent="0.3">
      <c r="A400" t="s">
        <v>24</v>
      </c>
      <c r="B400" t="s">
        <v>456</v>
      </c>
      <c r="C400">
        <v>22.936702228384899</v>
      </c>
      <c r="D400">
        <v>7</v>
      </c>
      <c r="E400">
        <v>282</v>
      </c>
      <c r="F400">
        <v>5821.3350255640898</v>
      </c>
      <c r="G400" t="s">
        <v>48</v>
      </c>
      <c r="H400">
        <v>94</v>
      </c>
      <c r="I400">
        <v>25</v>
      </c>
      <c r="J400">
        <v>64</v>
      </c>
      <c r="K400">
        <v>5</v>
      </c>
      <c r="L400" t="s">
        <v>27</v>
      </c>
      <c r="M400">
        <v>10.1440438333226</v>
      </c>
      <c r="N400" t="s">
        <v>51</v>
      </c>
      <c r="O400" t="s">
        <v>67</v>
      </c>
      <c r="P400">
        <f>VLOOKUP(O400, Coordinates!$A$2:$C$6, 2, FALSE)</f>
        <v>40.712800000000001</v>
      </c>
      <c r="Q400">
        <f>VLOOKUP(O400, Coordinates!$A$2:$C$6, 3, FALSE)</f>
        <v>-74.006</v>
      </c>
      <c r="R400">
        <v>12</v>
      </c>
      <c r="S400">
        <v>722</v>
      </c>
      <c r="T400">
        <v>30</v>
      </c>
      <c r="U400">
        <v>76.023765018620296</v>
      </c>
      <c r="V400" t="s">
        <v>39</v>
      </c>
      <c r="W400">
        <v>3.8500220662621598</v>
      </c>
      <c r="X400" t="s">
        <v>52</v>
      </c>
      <c r="Y400" t="s">
        <v>32</v>
      </c>
      <c r="Z400">
        <v>354.38212602571099</v>
      </c>
    </row>
    <row r="401" spans="1:26" x14ac:dyDescent="0.3">
      <c r="A401" t="s">
        <v>82</v>
      </c>
      <c r="B401" t="s">
        <v>457</v>
      </c>
      <c r="C401">
        <v>54.4180997088976</v>
      </c>
      <c r="D401">
        <v>46</v>
      </c>
      <c r="E401">
        <v>842</v>
      </c>
      <c r="F401">
        <v>7948.2860737511901</v>
      </c>
      <c r="G401" t="s">
        <v>35</v>
      </c>
      <c r="H401">
        <v>18</v>
      </c>
      <c r="I401">
        <v>27</v>
      </c>
      <c r="J401">
        <v>24</v>
      </c>
      <c r="K401">
        <v>5</v>
      </c>
      <c r="L401" t="s">
        <v>36</v>
      </c>
      <c r="M401">
        <v>9.4205346639999998</v>
      </c>
      <c r="N401" t="s">
        <v>57</v>
      </c>
      <c r="O401" t="s">
        <v>65</v>
      </c>
      <c r="P401">
        <f>VLOOKUP(O401, Coordinates!$A$2:$C$6, 2, FALSE)</f>
        <v>41.878100000000003</v>
      </c>
      <c r="Q401">
        <f>VLOOKUP(O401, Coordinates!$A$2:$C$6, 3, FALSE)</f>
        <v>-87.629800000000003</v>
      </c>
      <c r="R401">
        <v>27</v>
      </c>
      <c r="S401">
        <v>241</v>
      </c>
      <c r="T401">
        <v>23</v>
      </c>
      <c r="U401">
        <v>54.979387452364399</v>
      </c>
      <c r="V401" t="s">
        <v>30</v>
      </c>
      <c r="W401">
        <v>9.2215849999999992E-3</v>
      </c>
      <c r="X401" t="s">
        <v>40</v>
      </c>
      <c r="Y401" t="s">
        <v>41</v>
      </c>
      <c r="Z401">
        <v>815.016665861055</v>
      </c>
    </row>
    <row r="402" spans="1:26" x14ac:dyDescent="0.3">
      <c r="A402" t="s">
        <v>42</v>
      </c>
      <c r="B402" t="s">
        <v>458</v>
      </c>
      <c r="C402">
        <v>47.522279330420602</v>
      </c>
      <c r="D402">
        <v>46</v>
      </c>
      <c r="E402">
        <v>758</v>
      </c>
      <c r="F402">
        <v>8453.9148209793402</v>
      </c>
      <c r="H402">
        <v>37</v>
      </c>
      <c r="I402">
        <v>9</v>
      </c>
      <c r="J402">
        <v>73</v>
      </c>
      <c r="K402">
        <v>4</v>
      </c>
      <c r="L402" t="s">
        <v>36</v>
      </c>
      <c r="M402">
        <v>1.6836610708162001</v>
      </c>
      <c r="N402" t="s">
        <v>51</v>
      </c>
      <c r="O402" t="s">
        <v>29</v>
      </c>
      <c r="P402">
        <f>VLOOKUP(O402, Coordinates!$A$2:$C$6, 2, FALSE)</f>
        <v>29.760400000000001</v>
      </c>
      <c r="Q402">
        <f>VLOOKUP(O402, Coordinates!$A$2:$C$6, 3, FALSE)</f>
        <v>-95.369799999999998</v>
      </c>
      <c r="R402">
        <v>16</v>
      </c>
      <c r="S402">
        <v>667</v>
      </c>
      <c r="T402">
        <v>6</v>
      </c>
      <c r="U402">
        <v>93.5806965754673</v>
      </c>
      <c r="V402" t="s">
        <v>55</v>
      </c>
      <c r="W402">
        <v>4.3705957104904796</v>
      </c>
      <c r="X402" t="s">
        <v>31</v>
      </c>
      <c r="Y402" t="s">
        <v>32</v>
      </c>
      <c r="Z402">
        <v>144.69533400121199</v>
      </c>
    </row>
    <row r="403" spans="1:26" x14ac:dyDescent="0.3">
      <c r="A403" t="s">
        <v>33</v>
      </c>
      <c r="B403" t="s">
        <v>459</v>
      </c>
      <c r="C403">
        <v>57.992918233274096</v>
      </c>
      <c r="D403">
        <v>100</v>
      </c>
      <c r="E403">
        <v>134</v>
      </c>
      <c r="F403">
        <v>2534.7735045439699</v>
      </c>
      <c r="G403" t="s">
        <v>54</v>
      </c>
      <c r="H403">
        <v>5</v>
      </c>
      <c r="I403">
        <v>13</v>
      </c>
      <c r="J403">
        <v>78</v>
      </c>
      <c r="K403">
        <v>7</v>
      </c>
      <c r="L403" t="s">
        <v>27</v>
      </c>
      <c r="M403">
        <v>5.47464951618658</v>
      </c>
      <c r="N403" t="s">
        <v>51</v>
      </c>
      <c r="O403" t="s">
        <v>29</v>
      </c>
      <c r="P403">
        <f>VLOOKUP(O403, Coordinates!$A$2:$C$6, 2, FALSE)</f>
        <v>29.760400000000001</v>
      </c>
      <c r="Q403">
        <f>VLOOKUP(O403, Coordinates!$A$2:$C$6, 3, FALSE)</f>
        <v>-95.369799999999998</v>
      </c>
      <c r="R403">
        <v>4</v>
      </c>
      <c r="S403">
        <v>623</v>
      </c>
      <c r="T403">
        <v>22</v>
      </c>
      <c r="U403">
        <v>12.2017295007165</v>
      </c>
      <c r="V403" t="s">
        <v>39</v>
      </c>
      <c r="W403">
        <v>0.39406149850988798</v>
      </c>
      <c r="X403" t="s">
        <v>52</v>
      </c>
      <c r="Y403" t="s">
        <v>32</v>
      </c>
      <c r="Z403">
        <v>475.89632446501901</v>
      </c>
    </row>
    <row r="404" spans="1:26" x14ac:dyDescent="0.3">
      <c r="A404" t="s">
        <v>42</v>
      </c>
      <c r="B404" t="s">
        <v>460</v>
      </c>
      <c r="C404">
        <v>20.773259774538499</v>
      </c>
      <c r="D404">
        <v>16</v>
      </c>
      <c r="E404">
        <v>354</v>
      </c>
      <c r="F404">
        <v>9076.7714507035598</v>
      </c>
      <c r="G404" t="s">
        <v>48</v>
      </c>
      <c r="H404">
        <v>14</v>
      </c>
      <c r="I404">
        <v>28</v>
      </c>
      <c r="J404">
        <v>24</v>
      </c>
      <c r="K404">
        <v>10</v>
      </c>
      <c r="L404" t="s">
        <v>27</v>
      </c>
      <c r="M404">
        <v>6.5304708518745302</v>
      </c>
      <c r="N404" t="s">
        <v>51</v>
      </c>
      <c r="O404" t="s">
        <v>58</v>
      </c>
      <c r="P404">
        <f>VLOOKUP(O404, Coordinates!$A$2:$C$6, 2, FALSE)</f>
        <v>34.052199999999999</v>
      </c>
      <c r="Q404">
        <f>VLOOKUP(O404, Coordinates!$A$2:$C$6, 3, FALSE)</f>
        <v>-118.2437</v>
      </c>
      <c r="R404">
        <v>3</v>
      </c>
      <c r="S404">
        <v>960</v>
      </c>
      <c r="T404">
        <v>2</v>
      </c>
      <c r="U404">
        <v>66.788637868671799</v>
      </c>
      <c r="V404" t="s">
        <v>30</v>
      </c>
      <c r="W404">
        <v>3.2763280877343601</v>
      </c>
      <c r="X404" t="s">
        <v>52</v>
      </c>
      <c r="Y404" t="s">
        <v>60</v>
      </c>
      <c r="Z404">
        <v>162.80673668440301</v>
      </c>
    </row>
    <row r="405" spans="1:26" x14ac:dyDescent="0.3">
      <c r="A405" t="s">
        <v>49</v>
      </c>
      <c r="B405" t="s">
        <v>461</v>
      </c>
      <c r="C405">
        <v>63.279948170721703</v>
      </c>
      <c r="D405">
        <v>24</v>
      </c>
      <c r="E405">
        <v>710</v>
      </c>
      <c r="F405">
        <v>6905.3148270000002</v>
      </c>
      <c r="G405" t="s">
        <v>54</v>
      </c>
      <c r="H405">
        <v>92</v>
      </c>
      <c r="I405">
        <v>20</v>
      </c>
      <c r="J405">
        <v>52</v>
      </c>
      <c r="K405">
        <v>6</v>
      </c>
      <c r="L405" t="s">
        <v>36</v>
      </c>
      <c r="M405">
        <v>4.4728437731815003</v>
      </c>
      <c r="N405" t="s">
        <v>37</v>
      </c>
      <c r="O405" t="s">
        <v>58</v>
      </c>
      <c r="P405">
        <f>VLOOKUP(O405, Coordinates!$A$2:$C$6, 2, FALSE)</f>
        <v>34.052199999999999</v>
      </c>
      <c r="Q405">
        <f>VLOOKUP(O405, Coordinates!$A$2:$C$6, 3, FALSE)</f>
        <v>-118.2437</v>
      </c>
      <c r="R405">
        <v>27</v>
      </c>
      <c r="S405">
        <v>114</v>
      </c>
      <c r="T405">
        <v>15</v>
      </c>
      <c r="U405">
        <v>85.225812863638794</v>
      </c>
      <c r="V405" t="s">
        <v>30</v>
      </c>
      <c r="W405">
        <v>0.75737384108413097</v>
      </c>
      <c r="X405" t="s">
        <v>52</v>
      </c>
      <c r="Y405" t="s">
        <v>41</v>
      </c>
      <c r="Z405">
        <v>364.45207488213401</v>
      </c>
    </row>
    <row r="406" spans="1:26" x14ac:dyDescent="0.3">
      <c r="A406" t="s">
        <v>33</v>
      </c>
      <c r="B406" t="s">
        <v>462</v>
      </c>
      <c r="C406">
        <v>39.494569980230899</v>
      </c>
      <c r="D406">
        <v>61</v>
      </c>
      <c r="E406">
        <v>548</v>
      </c>
      <c r="F406">
        <v>8936.6932073861408</v>
      </c>
      <c r="G406" t="s">
        <v>54</v>
      </c>
      <c r="H406">
        <v>46</v>
      </c>
      <c r="I406">
        <v>23</v>
      </c>
      <c r="J406">
        <v>83</v>
      </c>
      <c r="K406">
        <v>2</v>
      </c>
      <c r="L406" t="s">
        <v>44</v>
      </c>
      <c r="M406">
        <v>1.5413806162633401</v>
      </c>
      <c r="N406" t="s">
        <v>28</v>
      </c>
      <c r="O406" t="s">
        <v>58</v>
      </c>
      <c r="P406">
        <f>VLOOKUP(O406, Coordinates!$A$2:$C$6, 2, FALSE)</f>
        <v>34.052199999999999</v>
      </c>
      <c r="Q406">
        <f>VLOOKUP(O406, Coordinates!$A$2:$C$6, 3, FALSE)</f>
        <v>-118.2437</v>
      </c>
      <c r="R406">
        <v>21</v>
      </c>
      <c r="S406">
        <v>107</v>
      </c>
      <c r="T406">
        <v>1</v>
      </c>
      <c r="U406">
        <v>38.121475829425897</v>
      </c>
      <c r="V406" t="s">
        <v>30</v>
      </c>
      <c r="W406">
        <v>0.31137905255478099</v>
      </c>
      <c r="X406" t="s">
        <v>31</v>
      </c>
      <c r="Y406" t="s">
        <v>60</v>
      </c>
      <c r="Z406">
        <v>955.32845009378605</v>
      </c>
    </row>
    <row r="407" spans="1:26" x14ac:dyDescent="0.3">
      <c r="A407" t="s">
        <v>49</v>
      </c>
      <c r="B407" t="s">
        <v>463</v>
      </c>
      <c r="C407">
        <v>90.23270239</v>
      </c>
      <c r="D407">
        <v>54</v>
      </c>
      <c r="E407">
        <v>110</v>
      </c>
      <c r="F407">
        <v>5367.5264539917798</v>
      </c>
      <c r="G407" t="s">
        <v>35</v>
      </c>
      <c r="H407">
        <v>44</v>
      </c>
      <c r="I407">
        <v>30</v>
      </c>
      <c r="J407">
        <v>26</v>
      </c>
      <c r="K407">
        <v>4</v>
      </c>
      <c r="L407" t="s">
        <v>27</v>
      </c>
      <c r="M407">
        <v>5.4635065454848197</v>
      </c>
      <c r="N407" t="s">
        <v>57</v>
      </c>
      <c r="O407" t="s">
        <v>29</v>
      </c>
      <c r="P407">
        <f>VLOOKUP(O407, Coordinates!$A$2:$C$6, 2, FALSE)</f>
        <v>29.760400000000001</v>
      </c>
      <c r="Q407">
        <f>VLOOKUP(O407, Coordinates!$A$2:$C$6, 3, FALSE)</f>
        <v>-95.369799999999998</v>
      </c>
      <c r="R407">
        <v>4</v>
      </c>
      <c r="S407">
        <v>330</v>
      </c>
      <c r="T407">
        <v>26</v>
      </c>
      <c r="U407">
        <v>21.836669051730201</v>
      </c>
      <c r="V407" t="s">
        <v>55</v>
      </c>
      <c r="W407">
        <v>3.7988534876058799</v>
      </c>
      <c r="X407" t="s">
        <v>52</v>
      </c>
      <c r="Y407" t="s">
        <v>32</v>
      </c>
      <c r="Z407">
        <v>761.26370340331096</v>
      </c>
    </row>
    <row r="408" spans="1:26" x14ac:dyDescent="0.3">
      <c r="A408" t="s">
        <v>82</v>
      </c>
      <c r="B408" t="s">
        <v>464</v>
      </c>
      <c r="C408">
        <v>21.041149634380101</v>
      </c>
      <c r="D408">
        <v>62</v>
      </c>
      <c r="E408">
        <v>916</v>
      </c>
      <c r="F408">
        <v>5878.3001058748096</v>
      </c>
      <c r="G408" t="s">
        <v>48</v>
      </c>
      <c r="H408">
        <v>4</v>
      </c>
      <c r="I408">
        <v>11</v>
      </c>
      <c r="J408">
        <v>33</v>
      </c>
      <c r="K408">
        <v>7</v>
      </c>
      <c r="L408" t="s">
        <v>36</v>
      </c>
      <c r="M408">
        <v>12.09674862</v>
      </c>
      <c r="N408" t="s">
        <v>37</v>
      </c>
      <c r="O408" t="s">
        <v>58</v>
      </c>
      <c r="P408">
        <f>VLOOKUP(O408, Coordinates!$A$2:$C$6, 2, FALSE)</f>
        <v>34.052199999999999</v>
      </c>
      <c r="Q408">
        <f>VLOOKUP(O408, Coordinates!$A$2:$C$6, 3, FALSE)</f>
        <v>-118.2437</v>
      </c>
      <c r="R408">
        <v>2</v>
      </c>
      <c r="S408">
        <v>285</v>
      </c>
      <c r="T408">
        <v>24</v>
      </c>
      <c r="U408">
        <v>13.9005808848336</v>
      </c>
      <c r="V408" t="s">
        <v>55</v>
      </c>
      <c r="W408">
        <v>2.3360155692792102</v>
      </c>
      <c r="X408" t="s">
        <v>40</v>
      </c>
      <c r="Y408" t="s">
        <v>32</v>
      </c>
      <c r="Z408">
        <v>780.03956726528997</v>
      </c>
    </row>
    <row r="409" spans="1:26" x14ac:dyDescent="0.3">
      <c r="A409" t="s">
        <v>82</v>
      </c>
      <c r="B409" t="s">
        <v>465</v>
      </c>
      <c r="C409">
        <v>53.169854870000002</v>
      </c>
      <c r="D409">
        <v>1</v>
      </c>
      <c r="E409">
        <v>720</v>
      </c>
      <c r="F409">
        <v>9271.3444930000005</v>
      </c>
      <c r="G409" t="s">
        <v>48</v>
      </c>
      <c r="H409">
        <v>77</v>
      </c>
      <c r="I409">
        <v>23</v>
      </c>
      <c r="J409">
        <v>83</v>
      </c>
      <c r="K409">
        <v>9</v>
      </c>
      <c r="L409" t="s">
        <v>36</v>
      </c>
      <c r="M409">
        <v>6.0415272402829903</v>
      </c>
      <c r="N409" t="s">
        <v>28</v>
      </c>
      <c r="O409" t="s">
        <v>38</v>
      </c>
      <c r="P409">
        <f>VLOOKUP(O409, Coordinates!$A$2:$C$6, 2, FALSE)</f>
        <v>25.761700000000001</v>
      </c>
      <c r="Q409">
        <f>VLOOKUP(O409, Coordinates!$A$2:$C$6, 3, FALSE)</f>
        <v>-80.191800000000001</v>
      </c>
      <c r="R409">
        <v>19</v>
      </c>
      <c r="S409">
        <v>152</v>
      </c>
      <c r="T409">
        <v>24</v>
      </c>
      <c r="U409">
        <v>67.9512753492222</v>
      </c>
      <c r="V409" t="s">
        <v>30</v>
      </c>
      <c r="W409">
        <v>2.99531256655579</v>
      </c>
      <c r="X409" t="s">
        <v>40</v>
      </c>
      <c r="Y409" t="s">
        <v>41</v>
      </c>
      <c r="Z409">
        <v>221.037744394935</v>
      </c>
    </row>
    <row r="410" spans="1:26" x14ac:dyDescent="0.3">
      <c r="A410" t="s">
        <v>33</v>
      </c>
      <c r="B410" t="s">
        <v>466</v>
      </c>
      <c r="C410">
        <v>61.8206997900567</v>
      </c>
      <c r="D410">
        <v>49</v>
      </c>
      <c r="E410">
        <v>5</v>
      </c>
      <c r="F410">
        <v>9099.1858901920405</v>
      </c>
      <c r="G410" t="s">
        <v>54</v>
      </c>
      <c r="H410">
        <v>52</v>
      </c>
      <c r="I410">
        <v>4</v>
      </c>
      <c r="J410">
        <v>39</v>
      </c>
      <c r="K410">
        <v>9</v>
      </c>
      <c r="L410" t="s">
        <v>27</v>
      </c>
      <c r="M410">
        <v>5.5271765732809399</v>
      </c>
      <c r="N410" t="s">
        <v>51</v>
      </c>
      <c r="O410" t="s">
        <v>38</v>
      </c>
      <c r="P410">
        <f>VLOOKUP(O410, Coordinates!$A$2:$C$6, 2, FALSE)</f>
        <v>25.761700000000001</v>
      </c>
      <c r="Q410">
        <f>VLOOKUP(O410, Coordinates!$A$2:$C$6, 3, FALSE)</f>
        <v>-80.191800000000001</v>
      </c>
      <c r="R410">
        <v>7</v>
      </c>
      <c r="S410">
        <v>236</v>
      </c>
      <c r="T410">
        <v>18</v>
      </c>
      <c r="U410">
        <v>59.701094220616099</v>
      </c>
      <c r="V410" t="s">
        <v>39</v>
      </c>
      <c r="W410">
        <v>2.1267650939872902</v>
      </c>
      <c r="X410" t="s">
        <v>31</v>
      </c>
      <c r="Y410" t="s">
        <v>60</v>
      </c>
      <c r="Z410">
        <v>620.81731362923495</v>
      </c>
    </row>
    <row r="411" spans="1:26" x14ac:dyDescent="0.3">
      <c r="A411" t="s">
        <v>33</v>
      </c>
      <c r="B411" t="s">
        <v>467</v>
      </c>
      <c r="C411">
        <v>8.1714421697062107</v>
      </c>
      <c r="D411">
        <v>25</v>
      </c>
      <c r="E411">
        <v>761</v>
      </c>
      <c r="F411">
        <v>5033.44786032101</v>
      </c>
      <c r="G411" t="s">
        <v>48</v>
      </c>
      <c r="H411">
        <v>65</v>
      </c>
      <c r="I411">
        <v>21</v>
      </c>
      <c r="J411">
        <v>76</v>
      </c>
      <c r="K411">
        <v>3</v>
      </c>
      <c r="L411" t="s">
        <v>27</v>
      </c>
      <c r="M411">
        <v>14.1845439307621</v>
      </c>
      <c r="N411" t="s">
        <v>45</v>
      </c>
      <c r="O411" t="s">
        <v>38</v>
      </c>
      <c r="P411">
        <f>VLOOKUP(O411, Coordinates!$A$2:$C$6, 2, FALSE)</f>
        <v>25.761700000000001</v>
      </c>
      <c r="Q411">
        <f>VLOOKUP(O411, Coordinates!$A$2:$C$6, 3, FALSE)</f>
        <v>-80.191800000000001</v>
      </c>
      <c r="R411">
        <v>25</v>
      </c>
      <c r="S411">
        <v>273</v>
      </c>
      <c r="T411">
        <v>4</v>
      </c>
      <c r="U411">
        <v>30.6365489552797</v>
      </c>
      <c r="V411" t="s">
        <v>39</v>
      </c>
      <c r="W411">
        <v>4.6593725807328203</v>
      </c>
      <c r="X411" t="s">
        <v>40</v>
      </c>
      <c r="Y411" t="s">
        <v>60</v>
      </c>
      <c r="Z411">
        <v>449.951883810563</v>
      </c>
    </row>
    <row r="412" spans="1:26" x14ac:dyDescent="0.3">
      <c r="A412" t="s">
        <v>72</v>
      </c>
      <c r="B412" t="s">
        <v>468</v>
      </c>
      <c r="C412">
        <v>33.771931442699199</v>
      </c>
      <c r="D412">
        <v>10</v>
      </c>
      <c r="E412">
        <v>588</v>
      </c>
      <c r="F412">
        <v>17872.106119476401</v>
      </c>
      <c r="G412" t="s">
        <v>48</v>
      </c>
      <c r="H412">
        <v>61</v>
      </c>
      <c r="I412">
        <v>11</v>
      </c>
      <c r="J412">
        <v>60</v>
      </c>
      <c r="K412">
        <v>1</v>
      </c>
      <c r="L412" t="s">
        <v>36</v>
      </c>
      <c r="M412">
        <v>1.58283006200301</v>
      </c>
      <c r="N412" t="s">
        <v>37</v>
      </c>
      <c r="O412" t="s">
        <v>29</v>
      </c>
      <c r="P412">
        <f>VLOOKUP(O412, Coordinates!$A$2:$C$6, 2, FALSE)</f>
        <v>29.760400000000001</v>
      </c>
      <c r="Q412">
        <f>VLOOKUP(O412, Coordinates!$A$2:$C$6, 3, FALSE)</f>
        <v>-95.369799999999998</v>
      </c>
      <c r="R412">
        <v>2</v>
      </c>
      <c r="S412">
        <v>959</v>
      </c>
      <c r="T412">
        <v>29</v>
      </c>
      <c r="U412">
        <v>85.2600762607251</v>
      </c>
      <c r="V412" t="s">
        <v>55</v>
      </c>
      <c r="W412">
        <v>3.6980908314348699</v>
      </c>
      <c r="X412" t="s">
        <v>46</v>
      </c>
      <c r="Y412" t="s">
        <v>60</v>
      </c>
      <c r="Z412">
        <v>760.76213911997002</v>
      </c>
    </row>
    <row r="413" spans="1:26" x14ac:dyDescent="0.3">
      <c r="A413" t="s">
        <v>42</v>
      </c>
      <c r="B413" t="s">
        <v>469</v>
      </c>
      <c r="C413">
        <v>74.600347296579102</v>
      </c>
      <c r="D413">
        <v>80</v>
      </c>
      <c r="E413">
        <v>436</v>
      </c>
      <c r="F413">
        <v>4538.5339110783698</v>
      </c>
      <c r="G413" t="s">
        <v>48</v>
      </c>
      <c r="H413">
        <v>22</v>
      </c>
      <c r="I413">
        <v>9</v>
      </c>
      <c r="J413">
        <v>69</v>
      </c>
      <c r="K413">
        <v>9</v>
      </c>
      <c r="L413" t="s">
        <v>27</v>
      </c>
      <c r="M413">
        <v>11.7420347389877</v>
      </c>
      <c r="N413" t="s">
        <v>57</v>
      </c>
      <c r="O413" t="s">
        <v>58</v>
      </c>
      <c r="P413">
        <f>VLOOKUP(O413, Coordinates!$A$2:$C$6, 2, FALSE)</f>
        <v>34.052199999999999</v>
      </c>
      <c r="Q413">
        <f>VLOOKUP(O413, Coordinates!$A$2:$C$6, 3, FALSE)</f>
        <v>-118.2437</v>
      </c>
      <c r="R413">
        <v>1</v>
      </c>
      <c r="S413">
        <v>318</v>
      </c>
      <c r="T413">
        <v>13</v>
      </c>
      <c r="U413">
        <v>76.195571689999994</v>
      </c>
      <c r="V413" t="s">
        <v>30</v>
      </c>
      <c r="W413">
        <v>4.1017556058441302</v>
      </c>
      <c r="X413" t="s">
        <v>40</v>
      </c>
      <c r="Y413" t="s">
        <v>41</v>
      </c>
      <c r="Z413">
        <v>241.37713847580599</v>
      </c>
    </row>
    <row r="414" spans="1:26" x14ac:dyDescent="0.3">
      <c r="A414" t="s">
        <v>72</v>
      </c>
      <c r="B414" t="s">
        <v>470</v>
      </c>
      <c r="C414">
        <v>29.858810073065499</v>
      </c>
      <c r="D414">
        <v>16</v>
      </c>
      <c r="E414">
        <v>310</v>
      </c>
      <c r="F414">
        <v>8330.6080103853001</v>
      </c>
      <c r="G414" t="s">
        <v>48</v>
      </c>
      <c r="H414">
        <v>43</v>
      </c>
      <c r="I414">
        <v>7</v>
      </c>
      <c r="J414">
        <v>12</v>
      </c>
      <c r="K414">
        <v>8</v>
      </c>
      <c r="L414" t="s">
        <v>44</v>
      </c>
      <c r="M414">
        <v>7.7633103764008897</v>
      </c>
      <c r="N414" t="s">
        <v>57</v>
      </c>
      <c r="O414" t="s">
        <v>67</v>
      </c>
      <c r="P414">
        <f>VLOOKUP(O414, Coordinates!$A$2:$C$6, 2, FALSE)</f>
        <v>40.712800000000001</v>
      </c>
      <c r="Q414">
        <f>VLOOKUP(O414, Coordinates!$A$2:$C$6, 3, FALSE)</f>
        <v>-74.006</v>
      </c>
      <c r="R414">
        <v>18</v>
      </c>
      <c r="S414">
        <v>362</v>
      </c>
      <c r="T414">
        <v>4</v>
      </c>
      <c r="U414">
        <v>90.489389871017593</v>
      </c>
      <c r="V414" t="s">
        <v>30</v>
      </c>
      <c r="W414">
        <v>0.20710271544350101</v>
      </c>
      <c r="X414" t="s">
        <v>52</v>
      </c>
      <c r="Y414" t="s">
        <v>60</v>
      </c>
      <c r="Z414">
        <v>353.72912540679198</v>
      </c>
    </row>
    <row r="415" spans="1:26" x14ac:dyDescent="0.3">
      <c r="A415" t="s">
        <v>42</v>
      </c>
      <c r="B415" t="s">
        <v>471</v>
      </c>
      <c r="C415">
        <v>34.750389507641799</v>
      </c>
      <c r="D415">
        <v>58</v>
      </c>
      <c r="E415">
        <v>913</v>
      </c>
      <c r="F415">
        <v>3581.80187484514</v>
      </c>
      <c r="G415" t="s">
        <v>54</v>
      </c>
      <c r="H415">
        <v>51</v>
      </c>
      <c r="I415">
        <v>16</v>
      </c>
      <c r="J415">
        <v>14</v>
      </c>
      <c r="K415">
        <v>7</v>
      </c>
      <c r="L415" t="s">
        <v>27</v>
      </c>
      <c r="M415">
        <v>14.222475105147501</v>
      </c>
      <c r="N415" t="s">
        <v>28</v>
      </c>
      <c r="O415" t="s">
        <v>58</v>
      </c>
      <c r="P415">
        <f>VLOOKUP(O415, Coordinates!$A$2:$C$6, 2, FALSE)</f>
        <v>34.052199999999999</v>
      </c>
      <c r="Q415">
        <f>VLOOKUP(O415, Coordinates!$A$2:$C$6, 3, FALSE)</f>
        <v>-118.2437</v>
      </c>
      <c r="R415">
        <v>28</v>
      </c>
      <c r="S415">
        <v>354</v>
      </c>
      <c r="T415">
        <v>15</v>
      </c>
      <c r="U415">
        <v>77.802672057817006</v>
      </c>
      <c r="V415" t="s">
        <v>30</v>
      </c>
      <c r="W415">
        <v>1.87858598491969</v>
      </c>
      <c r="X415" t="s">
        <v>52</v>
      </c>
      <c r="Y415" t="s">
        <v>60</v>
      </c>
      <c r="Z415">
        <v>908.71549704859206</v>
      </c>
    </row>
    <row r="416" spans="1:26" x14ac:dyDescent="0.3">
      <c r="A416" t="s">
        <v>72</v>
      </c>
      <c r="B416" t="s">
        <v>472</v>
      </c>
      <c r="C416">
        <v>20.378741553169199</v>
      </c>
      <c r="D416">
        <v>72</v>
      </c>
      <c r="E416">
        <v>531</v>
      </c>
      <c r="F416">
        <v>9739.0005882595906</v>
      </c>
      <c r="G416" t="s">
        <v>26</v>
      </c>
      <c r="H416">
        <v>45</v>
      </c>
      <c r="I416">
        <v>23</v>
      </c>
      <c r="J416">
        <v>37</v>
      </c>
      <c r="K416">
        <v>6</v>
      </c>
      <c r="L416" t="s">
        <v>36</v>
      </c>
      <c r="M416">
        <v>6.5085904182874801</v>
      </c>
      <c r="N416" t="s">
        <v>37</v>
      </c>
      <c r="O416" t="s">
        <v>29</v>
      </c>
      <c r="P416">
        <f>VLOOKUP(O416, Coordinates!$A$2:$C$6, 2, FALSE)</f>
        <v>29.760400000000001</v>
      </c>
      <c r="Q416">
        <f>VLOOKUP(O416, Coordinates!$A$2:$C$6, 3, FALSE)</f>
        <v>-95.369799999999998</v>
      </c>
      <c r="R416">
        <v>8</v>
      </c>
      <c r="S416">
        <v>911</v>
      </c>
      <c r="T416">
        <v>2</v>
      </c>
      <c r="U416">
        <v>77.921427101416597</v>
      </c>
      <c r="V416" t="s">
        <v>55</v>
      </c>
      <c r="W416">
        <v>2.7865826853507998</v>
      </c>
      <c r="X416" t="s">
        <v>40</v>
      </c>
      <c r="Y416" t="s">
        <v>32</v>
      </c>
      <c r="Z416">
        <v>252.80165491693899</v>
      </c>
    </row>
    <row r="417" spans="1:26" x14ac:dyDescent="0.3">
      <c r="A417" t="s">
        <v>49</v>
      </c>
      <c r="B417" t="s">
        <v>473</v>
      </c>
      <c r="C417">
        <v>96.936808324821897</v>
      </c>
      <c r="D417">
        <v>29</v>
      </c>
      <c r="E417">
        <v>57</v>
      </c>
      <c r="F417">
        <v>8749.5664283174701</v>
      </c>
      <c r="G417" t="s">
        <v>54</v>
      </c>
      <c r="H417">
        <v>18</v>
      </c>
      <c r="I417">
        <v>26</v>
      </c>
      <c r="J417">
        <v>87</v>
      </c>
      <c r="K417">
        <v>10</v>
      </c>
      <c r="L417" t="s">
        <v>36</v>
      </c>
      <c r="M417">
        <v>10.912592718077301</v>
      </c>
      <c r="N417" t="s">
        <v>51</v>
      </c>
      <c r="O417" t="s">
        <v>38</v>
      </c>
      <c r="P417">
        <f>VLOOKUP(O417, Coordinates!$A$2:$C$6, 2, FALSE)</f>
        <v>25.761700000000001</v>
      </c>
      <c r="Q417">
        <f>VLOOKUP(O417, Coordinates!$A$2:$C$6, 3, FALSE)</f>
        <v>-80.191800000000001</v>
      </c>
      <c r="R417">
        <v>8</v>
      </c>
      <c r="S417">
        <v>369</v>
      </c>
      <c r="T417">
        <v>27</v>
      </c>
      <c r="U417">
        <v>70.774071567972399</v>
      </c>
      <c r="V417" t="s">
        <v>55</v>
      </c>
      <c r="W417">
        <v>3.0259171138345802</v>
      </c>
      <c r="X417" t="s">
        <v>40</v>
      </c>
      <c r="Y417" t="s">
        <v>32</v>
      </c>
      <c r="Z417">
        <v>669.170809955707</v>
      </c>
    </row>
    <row r="418" spans="1:26" x14ac:dyDescent="0.3">
      <c r="A418" t="s">
        <v>33</v>
      </c>
      <c r="B418" t="s">
        <v>474</v>
      </c>
      <c r="C418">
        <v>86.403023927133901</v>
      </c>
      <c r="D418">
        <v>92</v>
      </c>
      <c r="E418">
        <v>944</v>
      </c>
      <c r="F418">
        <v>1628.7572861619501</v>
      </c>
      <c r="G418" t="s">
        <v>35</v>
      </c>
      <c r="H418">
        <v>87</v>
      </c>
      <c r="I418">
        <v>23</v>
      </c>
      <c r="J418">
        <v>20</v>
      </c>
      <c r="K418">
        <v>7</v>
      </c>
      <c r="L418" t="s">
        <v>27</v>
      </c>
      <c r="M418">
        <v>1.9790951014672</v>
      </c>
      <c r="N418" t="s">
        <v>28</v>
      </c>
      <c r="O418" t="s">
        <v>29</v>
      </c>
      <c r="P418">
        <f>VLOOKUP(O418, Coordinates!$A$2:$C$6, 2, FALSE)</f>
        <v>29.760400000000001</v>
      </c>
      <c r="Q418">
        <f>VLOOKUP(O418, Coordinates!$A$2:$C$6, 3, FALSE)</f>
        <v>-95.369799999999998</v>
      </c>
      <c r="R418">
        <v>28</v>
      </c>
      <c r="S418">
        <v>686</v>
      </c>
      <c r="T418">
        <v>9</v>
      </c>
      <c r="U418">
        <v>20.669053696649101</v>
      </c>
      <c r="V418" t="s">
        <v>39</v>
      </c>
      <c r="W418">
        <v>2.89076470570649</v>
      </c>
      <c r="X418" t="s">
        <v>31</v>
      </c>
      <c r="Y418" t="s">
        <v>60</v>
      </c>
      <c r="Z418">
        <v>383.63669126981603</v>
      </c>
    </row>
    <row r="419" spans="1:26" x14ac:dyDescent="0.3">
      <c r="A419" t="s">
        <v>82</v>
      </c>
      <c r="B419" t="s">
        <v>475</v>
      </c>
      <c r="C419">
        <v>16.1761788751358</v>
      </c>
      <c r="D419">
        <v>6</v>
      </c>
      <c r="E419">
        <v>524</v>
      </c>
      <c r="F419">
        <v>7098.5006388963402</v>
      </c>
      <c r="G419" t="s">
        <v>26</v>
      </c>
      <c r="H419">
        <v>83</v>
      </c>
      <c r="I419">
        <v>25</v>
      </c>
      <c r="J419">
        <v>81</v>
      </c>
      <c r="K419">
        <v>9</v>
      </c>
      <c r="L419" t="s">
        <v>36</v>
      </c>
      <c r="M419">
        <v>14.002813958174301</v>
      </c>
      <c r="N419" t="s">
        <v>57</v>
      </c>
      <c r="O419" t="s">
        <v>58</v>
      </c>
      <c r="P419">
        <f>VLOOKUP(O419, Coordinates!$A$2:$C$6, 2, FALSE)</f>
        <v>34.052199999999999</v>
      </c>
      <c r="Q419">
        <f>VLOOKUP(O419, Coordinates!$A$2:$C$6, 3, FALSE)</f>
        <v>-118.2437</v>
      </c>
      <c r="R419">
        <v>10</v>
      </c>
      <c r="S419">
        <v>323</v>
      </c>
      <c r="T419">
        <v>12</v>
      </c>
      <c r="U419">
        <v>72.301551699988593</v>
      </c>
      <c r="V419" t="s">
        <v>30</v>
      </c>
      <c r="W419">
        <v>3.4647032695106401</v>
      </c>
      <c r="X419" t="s">
        <v>31</v>
      </c>
      <c r="Y419" t="s">
        <v>60</v>
      </c>
      <c r="Z419">
        <v>173.696757558043</v>
      </c>
    </row>
    <row r="420" spans="1:26" x14ac:dyDescent="0.3">
      <c r="A420" t="s">
        <v>42</v>
      </c>
      <c r="B420" t="s">
        <v>476</v>
      </c>
      <c r="C420">
        <v>75.2743815481263</v>
      </c>
      <c r="D420">
        <v>16</v>
      </c>
      <c r="E420">
        <v>334</v>
      </c>
      <c r="F420">
        <v>2555.3804631080702</v>
      </c>
      <c r="G420" t="s">
        <v>26</v>
      </c>
      <c r="H420">
        <v>46</v>
      </c>
      <c r="I420">
        <v>5</v>
      </c>
      <c r="J420">
        <v>81</v>
      </c>
      <c r="K420">
        <v>6</v>
      </c>
      <c r="L420" t="s">
        <v>44</v>
      </c>
      <c r="M420">
        <v>5.8235973351802901</v>
      </c>
      <c r="N420" t="s">
        <v>37</v>
      </c>
      <c r="O420" t="s">
        <v>29</v>
      </c>
      <c r="P420">
        <f>VLOOKUP(O420, Coordinates!$A$2:$C$6, 2, FALSE)</f>
        <v>29.760400000000001</v>
      </c>
      <c r="Q420">
        <f>VLOOKUP(O420, Coordinates!$A$2:$C$6, 3, FALSE)</f>
        <v>-95.369799999999998</v>
      </c>
      <c r="R420">
        <v>18</v>
      </c>
      <c r="S420">
        <v>982</v>
      </c>
      <c r="T420">
        <v>14</v>
      </c>
      <c r="U420">
        <v>31.489697708403401</v>
      </c>
      <c r="V420" t="s">
        <v>55</v>
      </c>
      <c r="W420">
        <v>4.8340810120976103</v>
      </c>
      <c r="X420" t="s">
        <v>46</v>
      </c>
      <c r="Y420" t="s">
        <v>32</v>
      </c>
      <c r="Z420">
        <v>301.31415206269099</v>
      </c>
    </row>
    <row r="421" spans="1:26" x14ac:dyDescent="0.3">
      <c r="A421" t="s">
        <v>42</v>
      </c>
      <c r="B421" t="s">
        <v>477</v>
      </c>
      <c r="C421">
        <v>35.368349081851697</v>
      </c>
      <c r="D421">
        <v>20</v>
      </c>
      <c r="E421">
        <v>562</v>
      </c>
      <c r="F421">
        <v>4100.5530405465597</v>
      </c>
      <c r="G421" t="s">
        <v>26</v>
      </c>
      <c r="H421">
        <v>90</v>
      </c>
      <c r="I421">
        <v>6</v>
      </c>
      <c r="J421">
        <v>85</v>
      </c>
      <c r="K421">
        <v>10</v>
      </c>
      <c r="L421" t="s">
        <v>27</v>
      </c>
      <c r="M421">
        <v>8.3360640610000001</v>
      </c>
      <c r="N421" t="s">
        <v>45</v>
      </c>
      <c r="O421" t="s">
        <v>38</v>
      </c>
      <c r="P421">
        <f>VLOOKUP(O421, Coordinates!$A$2:$C$6, 2, FALSE)</f>
        <v>25.761700000000001</v>
      </c>
      <c r="Q421">
        <f>VLOOKUP(O421, Coordinates!$A$2:$C$6, 3, FALSE)</f>
        <v>-80.191800000000001</v>
      </c>
      <c r="R421">
        <v>28</v>
      </c>
      <c r="S421">
        <v>703</v>
      </c>
      <c r="T421">
        <v>20</v>
      </c>
      <c r="U421">
        <v>61.522241881754198</v>
      </c>
      <c r="V421" t="s">
        <v>55</v>
      </c>
      <c r="W421">
        <v>3.5512341115706301</v>
      </c>
      <c r="X421" t="s">
        <v>40</v>
      </c>
      <c r="Y421" t="s">
        <v>41</v>
      </c>
      <c r="Z421">
        <v>882.46839771844702</v>
      </c>
    </row>
    <row r="422" spans="1:26" x14ac:dyDescent="0.3">
      <c r="A422" t="s">
        <v>82</v>
      </c>
      <c r="B422" t="s">
        <v>478</v>
      </c>
      <c r="C422">
        <v>98.899518994147201</v>
      </c>
      <c r="D422">
        <v>80</v>
      </c>
      <c r="E422">
        <v>329</v>
      </c>
      <c r="F422">
        <v>1553.88730721353</v>
      </c>
      <c r="G422" t="s">
        <v>54</v>
      </c>
      <c r="H422">
        <v>51</v>
      </c>
      <c r="I422">
        <v>19</v>
      </c>
      <c r="J422">
        <v>24</v>
      </c>
      <c r="K422">
        <v>3</v>
      </c>
      <c r="L422" t="s">
        <v>27</v>
      </c>
      <c r="M422">
        <v>2.93874252268153</v>
      </c>
      <c r="N422" t="s">
        <v>51</v>
      </c>
      <c r="O422" t="s">
        <v>29</v>
      </c>
      <c r="P422">
        <f>VLOOKUP(O422, Coordinates!$A$2:$C$6, 2, FALSE)</f>
        <v>29.760400000000001</v>
      </c>
      <c r="Q422">
        <f>VLOOKUP(O422, Coordinates!$A$2:$C$6, 3, FALSE)</f>
        <v>-95.369799999999998</v>
      </c>
      <c r="R422">
        <v>27</v>
      </c>
      <c r="S422">
        <v>233</v>
      </c>
      <c r="T422">
        <v>4</v>
      </c>
      <c r="U422">
        <v>25.521748016669399</v>
      </c>
      <c r="V422" t="s">
        <v>30</v>
      </c>
      <c r="W422">
        <v>2.7831178347779399</v>
      </c>
      <c r="X422" t="s">
        <v>46</v>
      </c>
      <c r="Y422" t="s">
        <v>32</v>
      </c>
      <c r="Z422">
        <v>919.49461986338497</v>
      </c>
    </row>
    <row r="423" spans="1:26" x14ac:dyDescent="0.3">
      <c r="A423" t="s">
        <v>72</v>
      </c>
      <c r="B423" t="s">
        <v>479</v>
      </c>
      <c r="C423">
        <v>21.180695963105599</v>
      </c>
      <c r="D423">
        <v>71</v>
      </c>
      <c r="E423">
        <v>118</v>
      </c>
      <c r="F423">
        <v>2249.3899112818099</v>
      </c>
      <c r="G423" t="s">
        <v>35</v>
      </c>
      <c r="H423">
        <v>23</v>
      </c>
      <c r="I423">
        <v>1</v>
      </c>
      <c r="J423">
        <v>92</v>
      </c>
      <c r="K423">
        <v>3</v>
      </c>
      <c r="L423" t="s">
        <v>36</v>
      </c>
      <c r="M423">
        <v>14.2378101970833</v>
      </c>
      <c r="N423" t="s">
        <v>57</v>
      </c>
      <c r="O423" t="s">
        <v>65</v>
      </c>
      <c r="P423">
        <f>VLOOKUP(O423, Coordinates!$A$2:$C$6, 2, FALSE)</f>
        <v>41.878100000000003</v>
      </c>
      <c r="Q423">
        <f>VLOOKUP(O423, Coordinates!$A$2:$C$6, 3, FALSE)</f>
        <v>-87.629800000000003</v>
      </c>
      <c r="R423">
        <v>28</v>
      </c>
      <c r="S423">
        <v>262</v>
      </c>
      <c r="T423">
        <v>15</v>
      </c>
      <c r="U423">
        <v>92.875551345121195</v>
      </c>
      <c r="V423" t="s">
        <v>30</v>
      </c>
      <c r="W423">
        <v>3.49539314731999</v>
      </c>
      <c r="X423" t="s">
        <v>40</v>
      </c>
      <c r="Y423" t="s">
        <v>60</v>
      </c>
      <c r="Z423">
        <v>477.85023389504602</v>
      </c>
    </row>
    <row r="424" spans="1:26" x14ac:dyDescent="0.3">
      <c r="A424" t="s">
        <v>42</v>
      </c>
      <c r="B424" t="s">
        <v>480</v>
      </c>
      <c r="C424">
        <v>16.631220344099301</v>
      </c>
      <c r="D424">
        <v>78</v>
      </c>
      <c r="E424">
        <v>151</v>
      </c>
      <c r="F424">
        <v>7915.7896400551699</v>
      </c>
      <c r="G424" t="s">
        <v>54</v>
      </c>
      <c r="H424">
        <v>16</v>
      </c>
      <c r="I424">
        <v>27</v>
      </c>
      <c r="J424">
        <v>57</v>
      </c>
      <c r="K424">
        <v>10</v>
      </c>
      <c r="L424" t="s">
        <v>44</v>
      </c>
      <c r="M424">
        <v>10.4215856550185</v>
      </c>
      <c r="N424" t="s">
        <v>37</v>
      </c>
      <c r="O424" t="s">
        <v>29</v>
      </c>
      <c r="P424">
        <f>VLOOKUP(O424, Coordinates!$A$2:$C$6, 2, FALSE)</f>
        <v>29.760400000000001</v>
      </c>
      <c r="Q424">
        <f>VLOOKUP(O424, Coordinates!$A$2:$C$6, 3, FALSE)</f>
        <v>-95.369799999999998</v>
      </c>
      <c r="R424">
        <v>11</v>
      </c>
      <c r="S424">
        <v>809</v>
      </c>
      <c r="T424">
        <v>4</v>
      </c>
      <c r="U424">
        <v>15.4791616953746</v>
      </c>
      <c r="V424" t="s">
        <v>39</v>
      </c>
      <c r="W424">
        <v>2.9621191103890201</v>
      </c>
      <c r="X424" t="s">
        <v>46</v>
      </c>
      <c r="Y424" t="s">
        <v>41</v>
      </c>
      <c r="Z424">
        <v>942.82513952255294</v>
      </c>
    </row>
    <row r="425" spans="1:26" x14ac:dyDescent="0.3">
      <c r="A425" t="s">
        <v>24</v>
      </c>
      <c r="B425" t="s">
        <v>481</v>
      </c>
      <c r="C425">
        <v>38.355670119518201</v>
      </c>
      <c r="D425">
        <v>43</v>
      </c>
      <c r="E425">
        <v>170</v>
      </c>
      <c r="F425">
        <v>5868.4175282862898</v>
      </c>
      <c r="G425" t="s">
        <v>35</v>
      </c>
      <c r="H425">
        <v>88</v>
      </c>
      <c r="I425">
        <v>16</v>
      </c>
      <c r="J425">
        <v>55</v>
      </c>
      <c r="K425">
        <v>10</v>
      </c>
      <c r="L425" t="s">
        <v>27</v>
      </c>
      <c r="M425">
        <v>1.7552646757055701</v>
      </c>
      <c r="N425" t="s">
        <v>45</v>
      </c>
      <c r="O425" t="s">
        <v>38</v>
      </c>
      <c r="P425">
        <f>VLOOKUP(O425, Coordinates!$A$2:$C$6, 2, FALSE)</f>
        <v>25.761700000000001</v>
      </c>
      <c r="Q425">
        <f>VLOOKUP(O425, Coordinates!$A$2:$C$6, 3, FALSE)</f>
        <v>-80.191800000000001</v>
      </c>
      <c r="R425">
        <v>26</v>
      </c>
      <c r="S425">
        <v>800</v>
      </c>
      <c r="T425">
        <v>5</v>
      </c>
      <c r="U425">
        <v>86.105679701044906</v>
      </c>
      <c r="V425" t="s">
        <v>39</v>
      </c>
      <c r="W425">
        <v>4.2533855420852298</v>
      </c>
      <c r="X425" t="s">
        <v>40</v>
      </c>
      <c r="Y425" t="s">
        <v>60</v>
      </c>
      <c r="Z425">
        <v>568.44828702380801</v>
      </c>
    </row>
    <row r="426" spans="1:26" x14ac:dyDescent="0.3">
      <c r="A426" t="s">
        <v>49</v>
      </c>
      <c r="B426" t="s">
        <v>482</v>
      </c>
      <c r="C426">
        <v>35.686063846690303</v>
      </c>
      <c r="D426">
        <v>26</v>
      </c>
      <c r="E426">
        <v>383</v>
      </c>
      <c r="F426">
        <v>2993.7443671213</v>
      </c>
      <c r="G426" t="s">
        <v>54</v>
      </c>
      <c r="H426">
        <v>45</v>
      </c>
      <c r="I426">
        <v>28</v>
      </c>
      <c r="J426">
        <v>37</v>
      </c>
      <c r="K426">
        <v>10</v>
      </c>
      <c r="L426" t="s">
        <v>36</v>
      </c>
      <c r="M426">
        <v>3.17289490850996</v>
      </c>
      <c r="N426" t="s">
        <v>57</v>
      </c>
      <c r="O426" t="s">
        <v>65</v>
      </c>
      <c r="P426">
        <f>VLOOKUP(O426, Coordinates!$A$2:$C$6, 2, FALSE)</f>
        <v>41.878100000000003</v>
      </c>
      <c r="Q426">
        <f>VLOOKUP(O426, Coordinates!$A$2:$C$6, 3, FALSE)</f>
        <v>-87.629800000000003</v>
      </c>
      <c r="R426">
        <v>23</v>
      </c>
      <c r="S426">
        <v>172</v>
      </c>
      <c r="T426">
        <v>10</v>
      </c>
      <c r="U426">
        <v>26.572283188375199</v>
      </c>
      <c r="V426" t="s">
        <v>30</v>
      </c>
      <c r="W426">
        <v>3.1203964397491299</v>
      </c>
      <c r="X426" t="s">
        <v>40</v>
      </c>
      <c r="Y426" t="s">
        <v>60</v>
      </c>
      <c r="Z426">
        <v>351.724647538277</v>
      </c>
    </row>
    <row r="427" spans="1:26" x14ac:dyDescent="0.3">
      <c r="A427" t="s">
        <v>33</v>
      </c>
      <c r="B427" t="s">
        <v>483</v>
      </c>
      <c r="C427">
        <v>99.722424922757796</v>
      </c>
      <c r="D427">
        <v>90</v>
      </c>
      <c r="E427">
        <v>143</v>
      </c>
      <c r="F427">
        <v>5171.9305533302904</v>
      </c>
      <c r="H427">
        <v>63</v>
      </c>
      <c r="I427">
        <v>18</v>
      </c>
      <c r="J427">
        <v>16</v>
      </c>
      <c r="K427">
        <v>8</v>
      </c>
      <c r="L427" t="s">
        <v>27</v>
      </c>
      <c r="M427">
        <v>6.5976759669970901</v>
      </c>
      <c r="N427" t="s">
        <v>45</v>
      </c>
      <c r="O427" t="s">
        <v>38</v>
      </c>
      <c r="P427">
        <f>VLOOKUP(O427, Coordinates!$A$2:$C$6, 2, FALSE)</f>
        <v>25.761700000000001</v>
      </c>
      <c r="Q427">
        <f>VLOOKUP(O427, Coordinates!$A$2:$C$6, 3, FALSE)</f>
        <v>-80.191800000000001</v>
      </c>
      <c r="R427">
        <v>28</v>
      </c>
      <c r="S427">
        <v>997</v>
      </c>
      <c r="T427">
        <v>12</v>
      </c>
      <c r="U427">
        <v>13.720922726859801</v>
      </c>
      <c r="V427" t="s">
        <v>39</v>
      </c>
      <c r="W427">
        <v>4.4791726939999998</v>
      </c>
      <c r="X427" t="s">
        <v>40</v>
      </c>
      <c r="Y427" t="s">
        <v>60</v>
      </c>
      <c r="Z427">
        <v>410.31578655671399</v>
      </c>
    </row>
    <row r="428" spans="1:26" x14ac:dyDescent="0.3">
      <c r="A428" t="s">
        <v>82</v>
      </c>
      <c r="B428" t="s">
        <v>484</v>
      </c>
      <c r="C428">
        <v>98.079333496179501</v>
      </c>
      <c r="D428">
        <v>78</v>
      </c>
      <c r="E428">
        <v>633</v>
      </c>
      <c r="F428">
        <v>5232.91643143485</v>
      </c>
      <c r="H428">
        <v>94</v>
      </c>
      <c r="I428">
        <v>24</v>
      </c>
      <c r="J428">
        <v>80</v>
      </c>
      <c r="K428">
        <v>9</v>
      </c>
      <c r="L428" t="s">
        <v>44</v>
      </c>
      <c r="M428">
        <v>4.0347941733798001</v>
      </c>
      <c r="N428" t="s">
        <v>57</v>
      </c>
      <c r="O428" t="s">
        <v>58</v>
      </c>
      <c r="P428">
        <f>VLOOKUP(O428, Coordinates!$A$2:$C$6, 2, FALSE)</f>
        <v>34.052199999999999</v>
      </c>
      <c r="Q428">
        <f>VLOOKUP(O428, Coordinates!$A$2:$C$6, 3, FALSE)</f>
        <v>-118.2437</v>
      </c>
      <c r="R428">
        <v>7</v>
      </c>
      <c r="S428">
        <v>817</v>
      </c>
      <c r="T428">
        <v>12</v>
      </c>
      <c r="U428">
        <v>77.051126449999998</v>
      </c>
      <c r="V428" t="s">
        <v>55</v>
      </c>
      <c r="W428">
        <v>2.92484237663168</v>
      </c>
      <c r="X428" t="s">
        <v>46</v>
      </c>
      <c r="Y428" t="s">
        <v>41</v>
      </c>
      <c r="Z428">
        <v>968.344727271946</v>
      </c>
    </row>
    <row r="429" spans="1:26" x14ac:dyDescent="0.3">
      <c r="A429" t="s">
        <v>33</v>
      </c>
      <c r="B429" t="s">
        <v>485</v>
      </c>
      <c r="C429">
        <v>67.332731711955105</v>
      </c>
      <c r="D429">
        <v>71</v>
      </c>
      <c r="E429">
        <v>868</v>
      </c>
      <c r="F429">
        <v>8862.1777518376002</v>
      </c>
      <c r="H429">
        <v>5</v>
      </c>
      <c r="I429">
        <v>27</v>
      </c>
      <c r="J429">
        <v>91</v>
      </c>
      <c r="K429">
        <v>9</v>
      </c>
      <c r="L429" t="s">
        <v>36</v>
      </c>
      <c r="M429">
        <v>5.2647579732286198</v>
      </c>
      <c r="N429" t="s">
        <v>28</v>
      </c>
      <c r="O429" t="s">
        <v>67</v>
      </c>
      <c r="P429">
        <f>VLOOKUP(O429, Coordinates!$A$2:$C$6, 2, FALSE)</f>
        <v>40.712800000000001</v>
      </c>
      <c r="Q429">
        <f>VLOOKUP(O429, Coordinates!$A$2:$C$6, 3, FALSE)</f>
        <v>-74.006</v>
      </c>
      <c r="R429">
        <v>28</v>
      </c>
      <c r="S429">
        <v>642</v>
      </c>
      <c r="T429">
        <v>8</v>
      </c>
      <c r="U429">
        <v>98.285725426593899</v>
      </c>
      <c r="V429" t="s">
        <v>55</v>
      </c>
      <c r="W429">
        <v>1.0255533037618501</v>
      </c>
      <c r="X429" t="s">
        <v>52</v>
      </c>
      <c r="Y429" t="s">
        <v>60</v>
      </c>
      <c r="Z429">
        <v>725.82584108730396</v>
      </c>
    </row>
    <row r="430" spans="1:26" x14ac:dyDescent="0.3">
      <c r="A430" t="s">
        <v>24</v>
      </c>
      <c r="B430" t="s">
        <v>486</v>
      </c>
      <c r="C430">
        <v>22.486695211908099</v>
      </c>
      <c r="D430">
        <v>33</v>
      </c>
      <c r="E430">
        <v>280</v>
      </c>
      <c r="F430">
        <v>5666.6471934008496</v>
      </c>
      <c r="G430" t="s">
        <v>54</v>
      </c>
      <c r="H430">
        <v>49</v>
      </c>
      <c r="I430">
        <v>1</v>
      </c>
      <c r="J430">
        <v>97</v>
      </c>
      <c r="K430">
        <v>8</v>
      </c>
      <c r="L430" t="s">
        <v>27</v>
      </c>
      <c r="M430">
        <v>14.9648762522664</v>
      </c>
      <c r="N430" t="s">
        <v>28</v>
      </c>
      <c r="O430" t="s">
        <v>29</v>
      </c>
      <c r="P430">
        <f>VLOOKUP(O430, Coordinates!$A$2:$C$6, 2, FALSE)</f>
        <v>29.760400000000001</v>
      </c>
      <c r="Q430">
        <f>VLOOKUP(O430, Coordinates!$A$2:$C$6, 3, FALSE)</f>
        <v>-95.369799999999998</v>
      </c>
      <c r="R430">
        <v>27</v>
      </c>
      <c r="S430">
        <v>993</v>
      </c>
      <c r="T430">
        <v>4</v>
      </c>
      <c r="U430">
        <v>91.245977612478796</v>
      </c>
      <c r="V430" t="s">
        <v>30</v>
      </c>
      <c r="W430">
        <v>2.52990679076215</v>
      </c>
      <c r="X430" t="s">
        <v>31</v>
      </c>
      <c r="Y430" t="s">
        <v>41</v>
      </c>
      <c r="Z430">
        <v>414.87055516375199</v>
      </c>
    </row>
    <row r="431" spans="1:26" x14ac:dyDescent="0.3">
      <c r="A431" t="s">
        <v>42</v>
      </c>
      <c r="B431" t="s">
        <v>487</v>
      </c>
      <c r="C431">
        <v>70.251794779127707</v>
      </c>
      <c r="D431">
        <v>26</v>
      </c>
      <c r="E431">
        <v>920</v>
      </c>
      <c r="F431">
        <v>5617.6949653124402</v>
      </c>
      <c r="G431" t="s">
        <v>35</v>
      </c>
      <c r="H431">
        <v>63</v>
      </c>
      <c r="I431">
        <v>10</v>
      </c>
      <c r="J431">
        <v>15</v>
      </c>
      <c r="K431">
        <v>10</v>
      </c>
      <c r="L431" t="s">
        <v>36</v>
      </c>
      <c r="M431">
        <v>10.221081760097199</v>
      </c>
      <c r="N431" t="s">
        <v>28</v>
      </c>
      <c r="O431" t="s">
        <v>29</v>
      </c>
      <c r="P431">
        <f>VLOOKUP(O431, Coordinates!$A$2:$C$6, 2, FALSE)</f>
        <v>29.760400000000001</v>
      </c>
      <c r="Q431">
        <f>VLOOKUP(O431, Coordinates!$A$2:$C$6, 3, FALSE)</f>
        <v>-95.369799999999998</v>
      </c>
      <c r="R431">
        <v>8</v>
      </c>
      <c r="S431">
        <v>730</v>
      </c>
      <c r="T431">
        <v>3</v>
      </c>
      <c r="U431">
        <v>87.456876589999993</v>
      </c>
      <c r="V431" t="s">
        <v>55</v>
      </c>
      <c r="W431">
        <v>4.4217840488034996</v>
      </c>
      <c r="X431" t="s">
        <v>31</v>
      </c>
      <c r="Y431" t="s">
        <v>32</v>
      </c>
      <c r="Z431">
        <v>729.02338764900196</v>
      </c>
    </row>
    <row r="432" spans="1:26" x14ac:dyDescent="0.3">
      <c r="A432" t="s">
        <v>42</v>
      </c>
      <c r="B432" t="s">
        <v>488</v>
      </c>
      <c r="C432">
        <v>13.8378962137025</v>
      </c>
      <c r="D432">
        <v>45</v>
      </c>
      <c r="E432">
        <v>793</v>
      </c>
      <c r="F432">
        <v>7036.7248042459596</v>
      </c>
      <c r="G432" t="s">
        <v>35</v>
      </c>
      <c r="H432">
        <v>27</v>
      </c>
      <c r="I432">
        <v>7</v>
      </c>
      <c r="J432">
        <v>67</v>
      </c>
      <c r="K432">
        <v>2</v>
      </c>
      <c r="L432" t="s">
        <v>36</v>
      </c>
      <c r="M432">
        <v>13.9110464324023</v>
      </c>
      <c r="N432" t="s">
        <v>37</v>
      </c>
      <c r="O432" t="s">
        <v>58</v>
      </c>
      <c r="P432">
        <f>VLOOKUP(O432, Coordinates!$A$2:$C$6, 2, FALSE)</f>
        <v>34.052199999999999</v>
      </c>
      <c r="Q432">
        <f>VLOOKUP(O432, Coordinates!$A$2:$C$6, 3, FALSE)</f>
        <v>-118.2437</v>
      </c>
      <c r="R432">
        <v>25</v>
      </c>
      <c r="S432">
        <v>894</v>
      </c>
      <c r="T432">
        <v>27</v>
      </c>
      <c r="U432">
        <v>10.5406894304449</v>
      </c>
      <c r="V432" t="s">
        <v>39</v>
      </c>
      <c r="W432">
        <v>4.3430093901612103</v>
      </c>
      <c r="X432" t="s">
        <v>46</v>
      </c>
      <c r="Y432" t="s">
        <v>41</v>
      </c>
      <c r="Z432">
        <v>964.88273520969403</v>
      </c>
    </row>
    <row r="433" spans="1:26" x14ac:dyDescent="0.3">
      <c r="A433" t="s">
        <v>24</v>
      </c>
      <c r="B433" t="s">
        <v>489</v>
      </c>
      <c r="C433">
        <v>35.146480242165403</v>
      </c>
      <c r="D433">
        <v>84</v>
      </c>
      <c r="E433">
        <v>854</v>
      </c>
      <c r="F433">
        <v>27013.584714128301</v>
      </c>
      <c r="G433" t="s">
        <v>35</v>
      </c>
      <c r="H433">
        <v>85</v>
      </c>
      <c r="I433">
        <v>5</v>
      </c>
      <c r="J433">
        <v>77</v>
      </c>
      <c r="K433">
        <v>4</v>
      </c>
      <c r="L433" t="s">
        <v>44</v>
      </c>
      <c r="M433">
        <v>7.1011772479606003</v>
      </c>
      <c r="N433" t="s">
        <v>28</v>
      </c>
      <c r="O433" t="s">
        <v>29</v>
      </c>
      <c r="P433">
        <f>VLOOKUP(O433, Coordinates!$A$2:$C$6, 2, FALSE)</f>
        <v>29.760400000000001</v>
      </c>
      <c r="Q433">
        <f>VLOOKUP(O433, Coordinates!$A$2:$C$6, 3, FALSE)</f>
        <v>-95.369799999999998</v>
      </c>
      <c r="R433">
        <v>14</v>
      </c>
      <c r="S433">
        <v>583</v>
      </c>
      <c r="T433">
        <v>1</v>
      </c>
      <c r="U433">
        <v>88.340797452571806</v>
      </c>
      <c r="V433" t="s">
        <v>30</v>
      </c>
      <c r="W433">
        <v>3.7539396249800498</v>
      </c>
      <c r="X433" t="s">
        <v>40</v>
      </c>
      <c r="Y433" t="s">
        <v>60</v>
      </c>
      <c r="Z433">
        <v>122.10144191762799</v>
      </c>
    </row>
    <row r="434" spans="1:26" x14ac:dyDescent="0.3">
      <c r="A434" t="s">
        <v>82</v>
      </c>
      <c r="B434" t="s">
        <v>490</v>
      </c>
      <c r="C434">
        <v>83.181052391041106</v>
      </c>
      <c r="D434">
        <v>63</v>
      </c>
      <c r="E434">
        <v>829</v>
      </c>
      <c r="F434">
        <v>1085.8505862299</v>
      </c>
      <c r="G434" t="s">
        <v>26</v>
      </c>
      <c r="H434">
        <v>55</v>
      </c>
      <c r="I434">
        <v>13</v>
      </c>
      <c r="J434">
        <v>64</v>
      </c>
      <c r="K434">
        <v>4</v>
      </c>
      <c r="L434" t="s">
        <v>44</v>
      </c>
      <c r="M434">
        <v>10.943951982867899</v>
      </c>
      <c r="N434" t="s">
        <v>37</v>
      </c>
      <c r="O434" t="s">
        <v>29</v>
      </c>
      <c r="P434">
        <f>VLOOKUP(O434, Coordinates!$A$2:$C$6, 2, FALSE)</f>
        <v>29.760400000000001</v>
      </c>
      <c r="Q434">
        <f>VLOOKUP(O434, Coordinates!$A$2:$C$6, 3, FALSE)</f>
        <v>-95.369799999999998</v>
      </c>
      <c r="R434">
        <v>24</v>
      </c>
      <c r="S434">
        <v>977</v>
      </c>
      <c r="T434">
        <v>18</v>
      </c>
      <c r="U434">
        <v>60.311830536537599</v>
      </c>
      <c r="V434" t="s">
        <v>55</v>
      </c>
      <c r="W434">
        <v>3.4859775721861199</v>
      </c>
      <c r="X434" t="s">
        <v>52</v>
      </c>
      <c r="Y434" t="s">
        <v>60</v>
      </c>
      <c r="Z434">
        <v>247.45332632591899</v>
      </c>
    </row>
    <row r="435" spans="1:26" x14ac:dyDescent="0.3">
      <c r="A435" t="s">
        <v>49</v>
      </c>
      <c r="B435" t="s">
        <v>491</v>
      </c>
      <c r="C435">
        <v>24.926530029949699</v>
      </c>
      <c r="D435">
        <v>67</v>
      </c>
      <c r="E435">
        <v>182</v>
      </c>
      <c r="F435">
        <v>4626.0102794504301</v>
      </c>
      <c r="G435" t="s">
        <v>54</v>
      </c>
      <c r="H435">
        <v>58</v>
      </c>
      <c r="I435">
        <v>22</v>
      </c>
      <c r="J435">
        <v>76</v>
      </c>
      <c r="K435">
        <v>2</v>
      </c>
      <c r="L435" t="s">
        <v>27</v>
      </c>
      <c r="M435">
        <v>7.4356640902580402</v>
      </c>
      <c r="N435" t="s">
        <v>51</v>
      </c>
      <c r="O435" t="s">
        <v>38</v>
      </c>
      <c r="P435">
        <f>VLOOKUP(O435, Coordinates!$A$2:$C$6, 2, FALSE)</f>
        <v>25.761700000000001</v>
      </c>
      <c r="Q435">
        <f>VLOOKUP(O435, Coordinates!$A$2:$C$6, 3, FALSE)</f>
        <v>-80.191800000000001</v>
      </c>
      <c r="R435">
        <v>19</v>
      </c>
      <c r="S435">
        <v>770</v>
      </c>
      <c r="T435">
        <v>20</v>
      </c>
      <c r="U435">
        <v>98.008199631474994</v>
      </c>
      <c r="V435" t="s">
        <v>39</v>
      </c>
      <c r="W435">
        <v>0.76639568880225395</v>
      </c>
      <c r="X435" t="s">
        <v>46</v>
      </c>
      <c r="Y435" t="s">
        <v>32</v>
      </c>
      <c r="Z435">
        <v>924.64408722592395</v>
      </c>
    </row>
    <row r="436" spans="1:26" x14ac:dyDescent="0.3">
      <c r="A436" t="s">
        <v>61</v>
      </c>
      <c r="B436" t="s">
        <v>492</v>
      </c>
      <c r="C436">
        <v>41.007576990814201</v>
      </c>
      <c r="D436">
        <v>52</v>
      </c>
      <c r="E436">
        <v>846</v>
      </c>
      <c r="F436">
        <v>9165.1885054936993</v>
      </c>
      <c r="G436" t="s">
        <v>54</v>
      </c>
      <c r="H436">
        <v>4</v>
      </c>
      <c r="I436">
        <v>16</v>
      </c>
      <c r="J436">
        <v>58</v>
      </c>
      <c r="K436">
        <v>8</v>
      </c>
      <c r="L436" t="s">
        <v>36</v>
      </c>
      <c r="M436">
        <v>5.5951435999703296</v>
      </c>
      <c r="N436" t="s">
        <v>28</v>
      </c>
      <c r="O436" t="s">
        <v>29</v>
      </c>
      <c r="P436">
        <f>VLOOKUP(O436, Coordinates!$A$2:$C$6, 2, FALSE)</f>
        <v>29.760400000000001</v>
      </c>
      <c r="Q436">
        <f>VLOOKUP(O436, Coordinates!$A$2:$C$6, 3, FALSE)</f>
        <v>-95.369799999999998</v>
      </c>
      <c r="R436">
        <v>8</v>
      </c>
      <c r="S436">
        <v>354</v>
      </c>
      <c r="T436">
        <v>25</v>
      </c>
      <c r="U436">
        <v>69.464163794338305</v>
      </c>
      <c r="V436" t="s">
        <v>55</v>
      </c>
      <c r="W436">
        <v>2.29732332252224</v>
      </c>
      <c r="X436" t="s">
        <v>46</v>
      </c>
      <c r="Y436" t="s">
        <v>32</v>
      </c>
      <c r="Z436">
        <v>164.41273904977001</v>
      </c>
    </row>
    <row r="437" spans="1:26" x14ac:dyDescent="0.3">
      <c r="A437" t="s">
        <v>82</v>
      </c>
      <c r="B437" t="s">
        <v>493</v>
      </c>
      <c r="C437">
        <v>97.478452047736397</v>
      </c>
      <c r="D437">
        <v>68</v>
      </c>
      <c r="E437">
        <v>358</v>
      </c>
      <c r="F437">
        <v>7662.81727759556</v>
      </c>
      <c r="G437" t="s">
        <v>48</v>
      </c>
      <c r="H437">
        <v>53</v>
      </c>
      <c r="I437">
        <v>24</v>
      </c>
      <c r="J437">
        <v>60</v>
      </c>
      <c r="K437">
        <v>3</v>
      </c>
      <c r="L437" t="s">
        <v>36</v>
      </c>
      <c r="M437">
        <v>8.2684240510147795</v>
      </c>
      <c r="N437" t="s">
        <v>37</v>
      </c>
      <c r="O437" t="s">
        <v>29</v>
      </c>
      <c r="P437">
        <f>VLOOKUP(O437, Coordinates!$A$2:$C$6, 2, FALSE)</f>
        <v>29.760400000000001</v>
      </c>
      <c r="Q437">
        <f>VLOOKUP(O437, Coordinates!$A$2:$C$6, 3, FALSE)</f>
        <v>-95.369799999999998</v>
      </c>
      <c r="R437">
        <v>19</v>
      </c>
      <c r="S437">
        <v>856</v>
      </c>
      <c r="T437">
        <v>14</v>
      </c>
      <c r="U437">
        <v>43.672302436426897</v>
      </c>
      <c r="V437" t="s">
        <v>30</v>
      </c>
      <c r="W437">
        <v>0.55475654873747005</v>
      </c>
      <c r="X437" t="s">
        <v>31</v>
      </c>
      <c r="Y437" t="s">
        <v>32</v>
      </c>
      <c r="Z437">
        <v>788.54207689999998</v>
      </c>
    </row>
    <row r="438" spans="1:26" x14ac:dyDescent="0.3">
      <c r="A438" t="s">
        <v>61</v>
      </c>
      <c r="B438" t="s">
        <v>494</v>
      </c>
      <c r="C438">
        <v>36.999847676804798</v>
      </c>
      <c r="D438">
        <v>26</v>
      </c>
      <c r="E438">
        <v>158</v>
      </c>
      <c r="F438">
        <v>5885.5723690066698</v>
      </c>
      <c r="G438" t="s">
        <v>26</v>
      </c>
      <c r="H438">
        <v>43</v>
      </c>
      <c r="I438">
        <v>20</v>
      </c>
      <c r="J438">
        <v>68</v>
      </c>
      <c r="K438">
        <v>2</v>
      </c>
      <c r="L438" t="s">
        <v>36</v>
      </c>
      <c r="M438">
        <v>6.9823545850248099</v>
      </c>
      <c r="N438" t="s">
        <v>57</v>
      </c>
      <c r="O438" t="s">
        <v>38</v>
      </c>
      <c r="P438">
        <f>VLOOKUP(O438, Coordinates!$A$2:$C$6, 2, FALSE)</f>
        <v>25.761700000000001</v>
      </c>
      <c r="Q438">
        <f>VLOOKUP(O438, Coordinates!$A$2:$C$6, 3, FALSE)</f>
        <v>-80.191800000000001</v>
      </c>
      <c r="R438">
        <v>22</v>
      </c>
      <c r="S438">
        <v>717</v>
      </c>
      <c r="T438">
        <v>17</v>
      </c>
      <c r="U438">
        <v>23.1534374933313</v>
      </c>
      <c r="V438" t="s">
        <v>39</v>
      </c>
      <c r="W438">
        <v>4.0864222481800896</v>
      </c>
      <c r="X438" t="s">
        <v>31</v>
      </c>
      <c r="Y438" t="s">
        <v>41</v>
      </c>
      <c r="Z438">
        <v>661.58042720000003</v>
      </c>
    </row>
    <row r="439" spans="1:26" x14ac:dyDescent="0.3">
      <c r="A439" t="s">
        <v>24</v>
      </c>
      <c r="B439" t="s">
        <v>495</v>
      </c>
      <c r="C439">
        <v>24.925428624246798</v>
      </c>
      <c r="D439">
        <v>75</v>
      </c>
      <c r="E439">
        <v>930</v>
      </c>
      <c r="F439">
        <v>20862.583758494598</v>
      </c>
      <c r="G439" t="s">
        <v>35</v>
      </c>
      <c r="H439">
        <v>41</v>
      </c>
      <c r="I439">
        <v>22</v>
      </c>
      <c r="J439">
        <v>15</v>
      </c>
      <c r="K439">
        <v>7</v>
      </c>
      <c r="L439" t="s">
        <v>27</v>
      </c>
      <c r="M439">
        <v>14.727569081529699</v>
      </c>
      <c r="N439" t="s">
        <v>37</v>
      </c>
      <c r="O439" t="s">
        <v>29</v>
      </c>
      <c r="P439">
        <f>VLOOKUP(O439, Coordinates!$A$2:$C$6, 2, FALSE)</f>
        <v>29.760400000000001</v>
      </c>
      <c r="Q439">
        <f>VLOOKUP(O439, Coordinates!$A$2:$C$6, 3, FALSE)</f>
        <v>-95.369799999999998</v>
      </c>
      <c r="R439">
        <v>4</v>
      </c>
      <c r="S439">
        <v>297</v>
      </c>
      <c r="T439">
        <v>6</v>
      </c>
      <c r="U439">
        <v>77.698912469999996</v>
      </c>
      <c r="V439" t="s">
        <v>30</v>
      </c>
      <c r="W439">
        <v>1.45521603219875</v>
      </c>
      <c r="X439" t="s">
        <v>52</v>
      </c>
      <c r="Y439" t="s">
        <v>41</v>
      </c>
      <c r="Z439">
        <v>142.93081370034801</v>
      </c>
    </row>
    <row r="440" spans="1:26" x14ac:dyDescent="0.3">
      <c r="A440" t="s">
        <v>72</v>
      </c>
      <c r="B440" t="s">
        <v>496</v>
      </c>
      <c r="C440">
        <v>26.431327379539901</v>
      </c>
      <c r="D440">
        <v>2</v>
      </c>
      <c r="E440">
        <v>205</v>
      </c>
      <c r="F440">
        <v>4876.5799015251196</v>
      </c>
      <c r="G440" t="s">
        <v>35</v>
      </c>
      <c r="H440">
        <v>71</v>
      </c>
      <c r="I440">
        <v>14</v>
      </c>
      <c r="J440">
        <v>99</v>
      </c>
      <c r="K440">
        <v>1</v>
      </c>
      <c r="L440" t="s">
        <v>44</v>
      </c>
      <c r="M440">
        <v>7.9463296730296102</v>
      </c>
      <c r="N440" t="s">
        <v>37</v>
      </c>
      <c r="O440" t="s">
        <v>38</v>
      </c>
      <c r="P440">
        <f>VLOOKUP(O440, Coordinates!$A$2:$C$6, 2, FALSE)</f>
        <v>25.761700000000001</v>
      </c>
      <c r="Q440">
        <f>VLOOKUP(O440, Coordinates!$A$2:$C$6, 3, FALSE)</f>
        <v>-80.191800000000001</v>
      </c>
      <c r="R440">
        <v>23</v>
      </c>
      <c r="S440">
        <v>526</v>
      </c>
      <c r="T440">
        <v>6</v>
      </c>
      <c r="U440">
        <v>93.131844332904194</v>
      </c>
      <c r="V440" t="s">
        <v>30</v>
      </c>
      <c r="W440">
        <v>3.8343293212454599</v>
      </c>
      <c r="X440" t="s">
        <v>40</v>
      </c>
      <c r="Y440" t="s">
        <v>41</v>
      </c>
      <c r="Z440">
        <v>100.654718564592</v>
      </c>
    </row>
    <row r="441" spans="1:26" x14ac:dyDescent="0.3">
      <c r="A441" t="s">
        <v>61</v>
      </c>
      <c r="B441" t="s">
        <v>497</v>
      </c>
      <c r="C441">
        <v>15.521102305301</v>
      </c>
      <c r="D441">
        <v>14</v>
      </c>
      <c r="E441">
        <v>882</v>
      </c>
      <c r="F441">
        <v>5684.6848027736296</v>
      </c>
      <c r="G441" t="s">
        <v>54</v>
      </c>
      <c r="H441">
        <v>91</v>
      </c>
      <c r="I441">
        <v>11</v>
      </c>
      <c r="J441">
        <v>60</v>
      </c>
      <c r="K441">
        <v>6</v>
      </c>
      <c r="L441" t="s">
        <v>44</v>
      </c>
      <c r="M441">
        <v>12.355583860583099</v>
      </c>
      <c r="N441" t="s">
        <v>57</v>
      </c>
      <c r="O441" t="s">
        <v>67</v>
      </c>
      <c r="P441">
        <f>VLOOKUP(O441, Coordinates!$A$2:$C$6, 2, FALSE)</f>
        <v>40.712800000000001</v>
      </c>
      <c r="Q441">
        <f>VLOOKUP(O441, Coordinates!$A$2:$C$6, 3, FALSE)</f>
        <v>-74.006</v>
      </c>
      <c r="R441">
        <v>24</v>
      </c>
      <c r="S441">
        <v>592</v>
      </c>
      <c r="T441">
        <v>10</v>
      </c>
      <c r="U441">
        <v>74.242917760960594</v>
      </c>
      <c r="V441" t="s">
        <v>39</v>
      </c>
      <c r="W441">
        <v>4.0728944575445096</v>
      </c>
      <c r="X441" t="s">
        <v>52</v>
      </c>
      <c r="Y441" t="s">
        <v>41</v>
      </c>
      <c r="Z441">
        <v>551.79922828963697</v>
      </c>
    </row>
    <row r="442" spans="1:26" x14ac:dyDescent="0.3">
      <c r="A442" t="s">
        <v>49</v>
      </c>
      <c r="B442" t="s">
        <v>498</v>
      </c>
      <c r="C442">
        <v>77.160328960889998</v>
      </c>
      <c r="D442">
        <v>30</v>
      </c>
      <c r="E442">
        <v>119</v>
      </c>
      <c r="F442">
        <v>6898.4487951710698</v>
      </c>
      <c r="G442" t="s">
        <v>35</v>
      </c>
      <c r="H442">
        <v>56</v>
      </c>
      <c r="I442">
        <v>19</v>
      </c>
      <c r="J442">
        <v>47</v>
      </c>
      <c r="K442">
        <v>3</v>
      </c>
      <c r="L442" t="s">
        <v>36</v>
      </c>
      <c r="M442">
        <v>10.3354725561418</v>
      </c>
      <c r="N442" t="s">
        <v>37</v>
      </c>
      <c r="O442" t="s">
        <v>29</v>
      </c>
      <c r="P442">
        <f>VLOOKUP(O442, Coordinates!$A$2:$C$6, 2, FALSE)</f>
        <v>29.760400000000001</v>
      </c>
      <c r="Q442">
        <f>VLOOKUP(O442, Coordinates!$A$2:$C$6, 3, FALSE)</f>
        <v>-95.369799999999998</v>
      </c>
      <c r="R442">
        <v>10</v>
      </c>
      <c r="S442">
        <v>731</v>
      </c>
      <c r="T442">
        <v>19</v>
      </c>
      <c r="U442">
        <v>12.8637361922419</v>
      </c>
      <c r="V442" t="s">
        <v>55</v>
      </c>
      <c r="W442">
        <v>4.4624804870577002</v>
      </c>
      <c r="X442" t="s">
        <v>31</v>
      </c>
      <c r="Y442" t="s">
        <v>32</v>
      </c>
      <c r="Z442">
        <v>205.61088321987199</v>
      </c>
    </row>
    <row r="443" spans="1:26" x14ac:dyDescent="0.3">
      <c r="A443" t="s">
        <v>72</v>
      </c>
      <c r="B443" t="s">
        <v>499</v>
      </c>
      <c r="C443">
        <v>20.495817895406098</v>
      </c>
      <c r="D443">
        <v>49</v>
      </c>
      <c r="E443">
        <v>675</v>
      </c>
      <c r="F443">
        <v>12451.209371459199</v>
      </c>
      <c r="G443" t="s">
        <v>54</v>
      </c>
      <c r="H443">
        <v>46</v>
      </c>
      <c r="I443">
        <v>23</v>
      </c>
      <c r="J443">
        <v>20</v>
      </c>
      <c r="K443">
        <v>3</v>
      </c>
      <c r="L443" t="s">
        <v>27</v>
      </c>
      <c r="M443">
        <v>7.71478132104391</v>
      </c>
      <c r="N443" t="s">
        <v>57</v>
      </c>
      <c r="O443" t="s">
        <v>58</v>
      </c>
      <c r="P443">
        <f>VLOOKUP(O443, Coordinates!$A$2:$C$6, 2, FALSE)</f>
        <v>34.052199999999999</v>
      </c>
      <c r="Q443">
        <f>VLOOKUP(O443, Coordinates!$A$2:$C$6, 3, FALSE)</f>
        <v>-118.2437</v>
      </c>
      <c r="R443">
        <v>22</v>
      </c>
      <c r="S443">
        <v>181</v>
      </c>
      <c r="T443">
        <v>10</v>
      </c>
      <c r="U443">
        <v>89.362995056885495</v>
      </c>
      <c r="V443" t="s">
        <v>39</v>
      </c>
      <c r="W443">
        <v>3.7691503924388101</v>
      </c>
      <c r="X443" t="s">
        <v>40</v>
      </c>
      <c r="Y443" t="s">
        <v>60</v>
      </c>
      <c r="Z443">
        <v>884.99400331391303</v>
      </c>
    </row>
    <row r="444" spans="1:26" x14ac:dyDescent="0.3">
      <c r="A444" t="s">
        <v>61</v>
      </c>
      <c r="B444" t="s">
        <v>500</v>
      </c>
      <c r="C444">
        <v>90.623121023591594</v>
      </c>
      <c r="D444">
        <v>12</v>
      </c>
      <c r="E444">
        <v>558</v>
      </c>
      <c r="F444">
        <v>7427.3783175295603</v>
      </c>
      <c r="G444" t="s">
        <v>54</v>
      </c>
      <c r="H444">
        <v>75</v>
      </c>
      <c r="I444">
        <v>2</v>
      </c>
      <c r="J444">
        <v>61</v>
      </c>
      <c r="K444">
        <v>5</v>
      </c>
      <c r="L444" t="s">
        <v>36</v>
      </c>
      <c r="M444">
        <v>7.6381010145286998</v>
      </c>
      <c r="N444" t="s">
        <v>45</v>
      </c>
      <c r="O444" t="s">
        <v>38</v>
      </c>
      <c r="P444">
        <f>VLOOKUP(O444, Coordinates!$A$2:$C$6, 2, FALSE)</f>
        <v>25.761700000000001</v>
      </c>
      <c r="Q444">
        <f>VLOOKUP(O444, Coordinates!$A$2:$C$6, 3, FALSE)</f>
        <v>-80.191800000000001</v>
      </c>
      <c r="R444">
        <v>29</v>
      </c>
      <c r="S444">
        <v>407</v>
      </c>
      <c r="T444">
        <v>25</v>
      </c>
      <c r="U444">
        <v>94.739629212082505</v>
      </c>
      <c r="V444" t="s">
        <v>55</v>
      </c>
      <c r="W444">
        <v>3.5914835047595002</v>
      </c>
      <c r="X444" t="s">
        <v>52</v>
      </c>
      <c r="Y444" t="s">
        <v>60</v>
      </c>
      <c r="Z444">
        <v>532.69719276569003</v>
      </c>
    </row>
    <row r="445" spans="1:26" x14ac:dyDescent="0.3">
      <c r="A445" t="s">
        <v>24</v>
      </c>
      <c r="B445" t="s">
        <v>501</v>
      </c>
      <c r="C445">
        <v>31.1229714871981</v>
      </c>
      <c r="D445">
        <v>90</v>
      </c>
      <c r="E445">
        <v>763</v>
      </c>
      <c r="F445">
        <v>21372.144520258898</v>
      </c>
      <c r="G445" t="s">
        <v>48</v>
      </c>
      <c r="H445">
        <v>24</v>
      </c>
      <c r="I445">
        <v>28</v>
      </c>
      <c r="J445">
        <v>29</v>
      </c>
      <c r="K445">
        <v>9</v>
      </c>
      <c r="L445" t="s">
        <v>44</v>
      </c>
      <c r="M445">
        <v>5.7864616388685199</v>
      </c>
      <c r="N445" t="s">
        <v>28</v>
      </c>
      <c r="O445" t="s">
        <v>67</v>
      </c>
      <c r="P445">
        <f>VLOOKUP(O445, Coordinates!$A$2:$C$6, 2, FALSE)</f>
        <v>40.712800000000001</v>
      </c>
      <c r="Q445">
        <f>VLOOKUP(O445, Coordinates!$A$2:$C$6, 3, FALSE)</f>
        <v>-74.006</v>
      </c>
      <c r="R445">
        <v>4</v>
      </c>
      <c r="S445">
        <v>881</v>
      </c>
      <c r="T445">
        <v>30</v>
      </c>
      <c r="U445">
        <v>75.711579794556599</v>
      </c>
      <c r="V445" t="s">
        <v>30</v>
      </c>
      <c r="W445">
        <v>2.99092457363348</v>
      </c>
      <c r="X445" t="s">
        <v>46</v>
      </c>
      <c r="Y445" t="s">
        <v>41</v>
      </c>
      <c r="Z445">
        <v>959.14977064974596</v>
      </c>
    </row>
    <row r="446" spans="1:26" x14ac:dyDescent="0.3">
      <c r="A446" t="s">
        <v>72</v>
      </c>
      <c r="B446" t="s">
        <v>502</v>
      </c>
      <c r="C446">
        <v>29.340890092261201</v>
      </c>
      <c r="D446">
        <v>44</v>
      </c>
      <c r="E446">
        <v>72</v>
      </c>
      <c r="F446">
        <v>1901.2896780000001</v>
      </c>
      <c r="G446" t="s">
        <v>26</v>
      </c>
      <c r="H446">
        <v>43</v>
      </c>
      <c r="I446">
        <v>8</v>
      </c>
      <c r="J446">
        <v>19</v>
      </c>
      <c r="K446">
        <v>4</v>
      </c>
      <c r="L446" t="s">
        <v>36</v>
      </c>
      <c r="M446">
        <v>2.4977453068487798</v>
      </c>
      <c r="N446" t="s">
        <v>51</v>
      </c>
      <c r="O446" t="s">
        <v>29</v>
      </c>
      <c r="P446">
        <f>VLOOKUP(O446, Coordinates!$A$2:$C$6, 2, FALSE)</f>
        <v>29.760400000000001</v>
      </c>
      <c r="Q446">
        <f>VLOOKUP(O446, Coordinates!$A$2:$C$6, 3, FALSE)</f>
        <v>-95.369799999999998</v>
      </c>
      <c r="R446">
        <v>8</v>
      </c>
      <c r="S446">
        <v>798</v>
      </c>
      <c r="T446">
        <v>26</v>
      </c>
      <c r="U446">
        <v>86.600884774575306</v>
      </c>
      <c r="V446" t="s">
        <v>55</v>
      </c>
      <c r="W446">
        <v>1.60291138411309</v>
      </c>
      <c r="X446" t="s">
        <v>46</v>
      </c>
      <c r="Y446" t="s">
        <v>32</v>
      </c>
      <c r="Z446">
        <v>251.384394118616</v>
      </c>
    </row>
    <row r="447" spans="1:26" x14ac:dyDescent="0.3">
      <c r="A447" t="s">
        <v>24</v>
      </c>
      <c r="B447" t="s">
        <v>503</v>
      </c>
      <c r="C447">
        <v>34.899090832419901</v>
      </c>
      <c r="D447">
        <v>33</v>
      </c>
      <c r="E447">
        <v>449</v>
      </c>
      <c r="G447" t="s">
        <v>54</v>
      </c>
      <c r="H447">
        <v>14</v>
      </c>
      <c r="I447">
        <v>13</v>
      </c>
      <c r="J447">
        <v>35</v>
      </c>
      <c r="K447">
        <v>3</v>
      </c>
      <c r="L447" t="s">
        <v>36</v>
      </c>
      <c r="M447">
        <v>11.6605706051224</v>
      </c>
      <c r="N447" t="s">
        <v>37</v>
      </c>
      <c r="O447" t="s">
        <v>58</v>
      </c>
      <c r="P447">
        <f>VLOOKUP(O447, Coordinates!$A$2:$C$6, 2, FALSE)</f>
        <v>34.052199999999999</v>
      </c>
      <c r="Q447">
        <f>VLOOKUP(O447, Coordinates!$A$2:$C$6, 3, FALSE)</f>
        <v>-118.2437</v>
      </c>
      <c r="R447">
        <v>7</v>
      </c>
      <c r="S447">
        <v>887</v>
      </c>
      <c r="T447">
        <v>3</v>
      </c>
      <c r="U447">
        <v>84.602524131513505</v>
      </c>
      <c r="V447" t="s">
        <v>30</v>
      </c>
      <c r="W447">
        <v>0.88498095695222601</v>
      </c>
      <c r="X447" t="s">
        <v>46</v>
      </c>
      <c r="Y447" t="s">
        <v>32</v>
      </c>
      <c r="Z447">
        <v>852.19535616662199</v>
      </c>
    </row>
    <row r="448" spans="1:26" x14ac:dyDescent="0.3">
      <c r="A448" t="s">
        <v>61</v>
      </c>
      <c r="B448" t="s">
        <v>504</v>
      </c>
      <c r="C448">
        <v>82.829234959999994</v>
      </c>
      <c r="D448">
        <v>13</v>
      </c>
      <c r="E448">
        <v>449</v>
      </c>
      <c r="F448">
        <v>4672.1808215657202</v>
      </c>
      <c r="G448" t="s">
        <v>54</v>
      </c>
      <c r="H448">
        <v>50</v>
      </c>
      <c r="I448">
        <v>7</v>
      </c>
      <c r="J448">
        <v>57</v>
      </c>
      <c r="K448">
        <v>7</v>
      </c>
      <c r="L448" t="s">
        <v>36</v>
      </c>
      <c r="M448">
        <v>13.8533271048075</v>
      </c>
      <c r="N448" t="s">
        <v>57</v>
      </c>
      <c r="O448" t="s">
        <v>65</v>
      </c>
      <c r="P448">
        <f>VLOOKUP(O448, Coordinates!$A$2:$C$6, 2, FALSE)</f>
        <v>41.878100000000003</v>
      </c>
      <c r="Q448">
        <f>VLOOKUP(O448, Coordinates!$A$2:$C$6, 3, FALSE)</f>
        <v>-87.629800000000003</v>
      </c>
      <c r="R448">
        <v>26</v>
      </c>
      <c r="S448">
        <v>473</v>
      </c>
      <c r="T448">
        <v>1</v>
      </c>
      <c r="U448">
        <v>98.0013084354906</v>
      </c>
      <c r="V448" t="s">
        <v>30</v>
      </c>
      <c r="W448">
        <v>0.6531810241189</v>
      </c>
      <c r="X448" t="s">
        <v>40</v>
      </c>
      <c r="Y448" t="s">
        <v>32</v>
      </c>
      <c r="Z448">
        <v>746.86488338617698</v>
      </c>
    </row>
    <row r="449" spans="1:26" x14ac:dyDescent="0.3">
      <c r="A449" t="s">
        <v>24</v>
      </c>
      <c r="B449" t="s">
        <v>505</v>
      </c>
      <c r="C449">
        <v>38.113786002621701</v>
      </c>
      <c r="D449">
        <v>78</v>
      </c>
      <c r="E449">
        <v>330</v>
      </c>
      <c r="F449">
        <v>11319.794442778601</v>
      </c>
      <c r="G449" t="s">
        <v>54</v>
      </c>
      <c r="H449">
        <v>52</v>
      </c>
      <c r="I449">
        <v>12</v>
      </c>
      <c r="J449">
        <v>100</v>
      </c>
      <c r="K449">
        <v>3</v>
      </c>
      <c r="L449" t="s">
        <v>44</v>
      </c>
      <c r="M449">
        <v>4.0513679652416403</v>
      </c>
      <c r="N449" t="s">
        <v>28</v>
      </c>
      <c r="O449" t="s">
        <v>38</v>
      </c>
      <c r="P449">
        <f>VLOOKUP(O449, Coordinates!$A$2:$C$6, 2, FALSE)</f>
        <v>25.761700000000001</v>
      </c>
      <c r="Q449">
        <f>VLOOKUP(O449, Coordinates!$A$2:$C$6, 3, FALSE)</f>
        <v>-80.191800000000001</v>
      </c>
      <c r="R449">
        <v>15</v>
      </c>
      <c r="S449">
        <v>663</v>
      </c>
      <c r="T449">
        <v>18</v>
      </c>
      <c r="U449">
        <v>92.1830815248248</v>
      </c>
      <c r="V449" t="s">
        <v>55</v>
      </c>
      <c r="W449">
        <v>0.91011760558385701</v>
      </c>
      <c r="X449" t="s">
        <v>40</v>
      </c>
      <c r="Y449" t="s">
        <v>60</v>
      </c>
      <c r="Z449">
        <v>746.16649551273497</v>
      </c>
    </row>
    <row r="450" spans="1:26" x14ac:dyDescent="0.3">
      <c r="A450" t="s">
        <v>49</v>
      </c>
      <c r="B450" t="s">
        <v>506</v>
      </c>
      <c r="C450">
        <v>54.916316691840798</v>
      </c>
      <c r="D450">
        <v>88</v>
      </c>
      <c r="E450">
        <v>850</v>
      </c>
      <c r="F450">
        <v>3248.8071873213598</v>
      </c>
      <c r="G450" t="s">
        <v>48</v>
      </c>
      <c r="H450">
        <v>33</v>
      </c>
      <c r="I450">
        <v>28</v>
      </c>
      <c r="J450">
        <v>23</v>
      </c>
      <c r="K450">
        <v>10</v>
      </c>
      <c r="L450" t="s">
        <v>27</v>
      </c>
      <c r="M450">
        <v>13.959428915008701</v>
      </c>
      <c r="N450" t="s">
        <v>37</v>
      </c>
      <c r="O450" t="s">
        <v>29</v>
      </c>
      <c r="P450">
        <f>VLOOKUP(O450, Coordinates!$A$2:$C$6, 2, FALSE)</f>
        <v>29.760400000000001</v>
      </c>
      <c r="Q450">
        <f>VLOOKUP(O450, Coordinates!$A$2:$C$6, 3, FALSE)</f>
        <v>-95.369799999999998</v>
      </c>
      <c r="R450">
        <v>8</v>
      </c>
      <c r="S450">
        <v>558</v>
      </c>
      <c r="T450">
        <v>15</v>
      </c>
      <c r="U450">
        <v>88.235300652865703</v>
      </c>
      <c r="V450" t="s">
        <v>55</v>
      </c>
      <c r="W450">
        <v>4.6697594370142301</v>
      </c>
      <c r="X450" t="s">
        <v>31</v>
      </c>
      <c r="Y450" t="s">
        <v>60</v>
      </c>
      <c r="Z450">
        <v>176.77607292102101</v>
      </c>
    </row>
    <row r="451" spans="1:26" x14ac:dyDescent="0.3">
      <c r="A451" t="s">
        <v>61</v>
      </c>
      <c r="B451" t="s">
        <v>507</v>
      </c>
      <c r="C451">
        <v>28.212294374714201</v>
      </c>
      <c r="D451">
        <v>98</v>
      </c>
      <c r="E451">
        <v>712</v>
      </c>
      <c r="F451">
        <v>6762.2582345704805</v>
      </c>
      <c r="G451" t="s">
        <v>54</v>
      </c>
      <c r="H451">
        <v>76</v>
      </c>
      <c r="I451">
        <v>8</v>
      </c>
      <c r="J451">
        <v>68</v>
      </c>
      <c r="K451">
        <v>4</v>
      </c>
      <c r="L451" t="s">
        <v>36</v>
      </c>
      <c r="M451">
        <v>4.2522590528158899</v>
      </c>
      <c r="N451" t="s">
        <v>28</v>
      </c>
      <c r="O451" t="s">
        <v>38</v>
      </c>
      <c r="P451">
        <f>VLOOKUP(O451, Coordinates!$A$2:$C$6, 2, FALSE)</f>
        <v>25.761700000000001</v>
      </c>
      <c r="Q451">
        <f>VLOOKUP(O451, Coordinates!$A$2:$C$6, 3, FALSE)</f>
        <v>-80.191800000000001</v>
      </c>
      <c r="R451">
        <v>29</v>
      </c>
      <c r="S451">
        <v>600</v>
      </c>
      <c r="T451">
        <v>20</v>
      </c>
      <c r="U451">
        <v>26.8127983629652</v>
      </c>
      <c r="V451" t="s">
        <v>55</v>
      </c>
      <c r="W451">
        <v>0.82216627100341799</v>
      </c>
      <c r="X451" t="s">
        <v>52</v>
      </c>
      <c r="Y451" t="s">
        <v>41</v>
      </c>
      <c r="Z451">
        <v>662.06602018711601</v>
      </c>
    </row>
    <row r="452" spans="1:26" x14ac:dyDescent="0.3">
      <c r="A452" t="s">
        <v>61</v>
      </c>
      <c r="B452" t="s">
        <v>508</v>
      </c>
      <c r="C452">
        <v>15.7296047990614</v>
      </c>
      <c r="D452">
        <v>26</v>
      </c>
      <c r="E452">
        <v>606</v>
      </c>
      <c r="F452">
        <v>8897.4031755833894</v>
      </c>
      <c r="H452">
        <v>7</v>
      </c>
      <c r="I452">
        <v>16</v>
      </c>
      <c r="J452">
        <v>21</v>
      </c>
      <c r="K452">
        <v>2</v>
      </c>
      <c r="L452" t="s">
        <v>44</v>
      </c>
      <c r="M452">
        <v>8.4211074277728493</v>
      </c>
      <c r="N452" t="s">
        <v>45</v>
      </c>
      <c r="O452" t="s">
        <v>38</v>
      </c>
      <c r="P452">
        <f>VLOOKUP(O452, Coordinates!$A$2:$C$6, 2, FALSE)</f>
        <v>25.761700000000001</v>
      </c>
      <c r="Q452">
        <f>VLOOKUP(O452, Coordinates!$A$2:$C$6, 3, FALSE)</f>
        <v>-80.191800000000001</v>
      </c>
      <c r="R452">
        <v>27</v>
      </c>
      <c r="S452">
        <v>456</v>
      </c>
      <c r="T452">
        <v>4</v>
      </c>
      <c r="U452">
        <v>50.187316839601301</v>
      </c>
      <c r="V452" t="s">
        <v>55</v>
      </c>
      <c r="W452">
        <v>4.0295902638503902</v>
      </c>
      <c r="X452" t="s">
        <v>40</v>
      </c>
      <c r="Y452" t="s">
        <v>60</v>
      </c>
      <c r="Z452">
        <v>882.53432481777702</v>
      </c>
    </row>
    <row r="453" spans="1:26" x14ac:dyDescent="0.3">
      <c r="A453" t="s">
        <v>61</v>
      </c>
      <c r="B453" t="s">
        <v>509</v>
      </c>
      <c r="C453">
        <v>13.282049444023899</v>
      </c>
      <c r="D453">
        <v>21</v>
      </c>
      <c r="E453">
        <v>627</v>
      </c>
      <c r="F453">
        <v>4763.1843981426</v>
      </c>
      <c r="G453" t="s">
        <v>26</v>
      </c>
      <c r="H453">
        <v>76</v>
      </c>
      <c r="I453">
        <v>18</v>
      </c>
      <c r="J453">
        <v>32</v>
      </c>
      <c r="K453">
        <v>2</v>
      </c>
      <c r="L453" t="s">
        <v>36</v>
      </c>
      <c r="M453">
        <v>5.810707946</v>
      </c>
      <c r="N453" t="s">
        <v>37</v>
      </c>
      <c r="O453" t="s">
        <v>65</v>
      </c>
      <c r="P453">
        <f>VLOOKUP(O453, Coordinates!$A$2:$C$6, 2, FALSE)</f>
        <v>41.878100000000003</v>
      </c>
      <c r="Q453">
        <f>VLOOKUP(O453, Coordinates!$A$2:$C$6, 3, FALSE)</f>
        <v>-87.629800000000003</v>
      </c>
      <c r="R453">
        <v>7</v>
      </c>
      <c r="S453">
        <v>395</v>
      </c>
      <c r="T453">
        <v>18</v>
      </c>
      <c r="U453">
        <v>13.974794976157799</v>
      </c>
      <c r="V453" t="s">
        <v>30</v>
      </c>
      <c r="W453">
        <v>0.92314271657362301</v>
      </c>
      <c r="X453" t="s">
        <v>40</v>
      </c>
      <c r="Y453" t="s">
        <v>32</v>
      </c>
      <c r="Z453">
        <v>789.310566087349</v>
      </c>
    </row>
    <row r="454" spans="1:26" x14ac:dyDescent="0.3">
      <c r="A454" t="s">
        <v>82</v>
      </c>
      <c r="B454" t="s">
        <v>510</v>
      </c>
      <c r="C454">
        <v>73.312357498616194</v>
      </c>
      <c r="D454">
        <v>28</v>
      </c>
      <c r="E454">
        <v>884</v>
      </c>
      <c r="F454">
        <v>9199.1412999999993</v>
      </c>
      <c r="G454" t="s">
        <v>35</v>
      </c>
      <c r="H454">
        <v>99</v>
      </c>
      <c r="I454">
        <v>19</v>
      </c>
      <c r="J454">
        <v>94</v>
      </c>
      <c r="K454">
        <v>9</v>
      </c>
      <c r="L454" t="s">
        <v>27</v>
      </c>
      <c r="M454">
        <v>2.6031230027716101</v>
      </c>
      <c r="N454" t="s">
        <v>57</v>
      </c>
      <c r="O454" t="s">
        <v>65</v>
      </c>
      <c r="P454">
        <f>VLOOKUP(O454, Coordinates!$A$2:$C$6, 2, FALSE)</f>
        <v>41.878100000000003</v>
      </c>
      <c r="Q454">
        <f>VLOOKUP(O454, Coordinates!$A$2:$C$6, 3, FALSE)</f>
        <v>-87.629800000000003</v>
      </c>
      <c r="R454">
        <v>30</v>
      </c>
      <c r="S454">
        <v>679</v>
      </c>
      <c r="T454">
        <v>10</v>
      </c>
      <c r="U454">
        <v>13.606839715854401</v>
      </c>
      <c r="V454" t="s">
        <v>55</v>
      </c>
      <c r="W454">
        <v>4.8764488510788597</v>
      </c>
      <c r="X454" t="s">
        <v>52</v>
      </c>
      <c r="Y454" t="s">
        <v>60</v>
      </c>
      <c r="Z454">
        <v>206.34101733921301</v>
      </c>
    </row>
    <row r="455" spans="1:26" x14ac:dyDescent="0.3">
      <c r="A455" t="s">
        <v>82</v>
      </c>
      <c r="B455" t="s">
        <v>511</v>
      </c>
      <c r="C455">
        <v>44.911279145533797</v>
      </c>
      <c r="D455">
        <v>48</v>
      </c>
      <c r="E455">
        <v>363</v>
      </c>
      <c r="F455">
        <v>9938.4736504012999</v>
      </c>
      <c r="G455" t="s">
        <v>26</v>
      </c>
      <c r="H455">
        <v>69</v>
      </c>
      <c r="I455">
        <v>28</v>
      </c>
      <c r="J455">
        <v>81</v>
      </c>
      <c r="K455">
        <v>1</v>
      </c>
      <c r="L455" t="s">
        <v>36</v>
      </c>
      <c r="M455">
        <v>1.7397372493776599</v>
      </c>
      <c r="N455" t="s">
        <v>45</v>
      </c>
      <c r="O455" t="s">
        <v>38</v>
      </c>
      <c r="P455">
        <f>VLOOKUP(O455, Coordinates!$A$2:$C$6, 2, FALSE)</f>
        <v>25.761700000000001</v>
      </c>
      <c r="Q455">
        <f>VLOOKUP(O455, Coordinates!$A$2:$C$6, 3, FALSE)</f>
        <v>-80.191800000000001</v>
      </c>
      <c r="R455">
        <v>28</v>
      </c>
      <c r="S455">
        <v>399</v>
      </c>
      <c r="T455">
        <v>22</v>
      </c>
      <c r="U455">
        <v>94.894849069267394</v>
      </c>
      <c r="V455" t="s">
        <v>39</v>
      </c>
      <c r="W455">
        <v>4.4724536925887204</v>
      </c>
      <c r="X455" t="s">
        <v>31</v>
      </c>
      <c r="Y455" t="s">
        <v>60</v>
      </c>
      <c r="Z455">
        <v>954.35143259999995</v>
      </c>
    </row>
    <row r="456" spans="1:26" x14ac:dyDescent="0.3">
      <c r="A456" t="s">
        <v>82</v>
      </c>
      <c r="B456" t="s">
        <v>512</v>
      </c>
      <c r="C456">
        <v>91.009188056397605</v>
      </c>
      <c r="D456">
        <v>100</v>
      </c>
      <c r="E456">
        <v>149</v>
      </c>
      <c r="F456">
        <v>1954.82844953156</v>
      </c>
      <c r="H456">
        <v>95</v>
      </c>
      <c r="I456">
        <v>4</v>
      </c>
      <c r="J456">
        <v>48</v>
      </c>
      <c r="K456">
        <v>1</v>
      </c>
      <c r="L456" t="s">
        <v>27</v>
      </c>
      <c r="M456">
        <v>6.11485145001918</v>
      </c>
      <c r="N456" t="s">
        <v>37</v>
      </c>
      <c r="O456" t="s">
        <v>38</v>
      </c>
      <c r="P456">
        <f>VLOOKUP(O456, Coordinates!$A$2:$C$6, 2, FALSE)</f>
        <v>25.761700000000001</v>
      </c>
      <c r="Q456">
        <f>VLOOKUP(O456, Coordinates!$A$2:$C$6, 3, FALSE)</f>
        <v>-80.191800000000001</v>
      </c>
      <c r="R456">
        <v>3</v>
      </c>
      <c r="S456">
        <v>745</v>
      </c>
      <c r="T456">
        <v>22</v>
      </c>
      <c r="U456">
        <v>82.954595127613501</v>
      </c>
      <c r="V456" t="s">
        <v>55</v>
      </c>
      <c r="W456">
        <v>2.0606821451453401</v>
      </c>
      <c r="X456" t="s">
        <v>40</v>
      </c>
      <c r="Y456" t="s">
        <v>60</v>
      </c>
      <c r="Z456">
        <v>162.76093544576301</v>
      </c>
    </row>
    <row r="457" spans="1:26" x14ac:dyDescent="0.3">
      <c r="A457" t="s">
        <v>49</v>
      </c>
      <c r="B457" t="s">
        <v>513</v>
      </c>
      <c r="C457">
        <v>75.268773569042494</v>
      </c>
      <c r="D457">
        <v>40</v>
      </c>
      <c r="E457">
        <v>279</v>
      </c>
      <c r="F457">
        <v>3097.4786918637201</v>
      </c>
      <c r="G457" t="s">
        <v>26</v>
      </c>
      <c r="H457">
        <v>20</v>
      </c>
      <c r="I457">
        <v>28</v>
      </c>
      <c r="J457">
        <v>18</v>
      </c>
      <c r="K457">
        <v>10</v>
      </c>
      <c r="L457" t="s">
        <v>44</v>
      </c>
      <c r="M457">
        <v>1.66281410369215</v>
      </c>
      <c r="N457" t="s">
        <v>28</v>
      </c>
      <c r="O457" t="s">
        <v>67</v>
      </c>
      <c r="P457">
        <f>VLOOKUP(O457, Coordinates!$A$2:$C$6, 2, FALSE)</f>
        <v>40.712800000000001</v>
      </c>
      <c r="Q457">
        <f>VLOOKUP(O457, Coordinates!$A$2:$C$6, 3, FALSE)</f>
        <v>-74.006</v>
      </c>
      <c r="R457">
        <v>9</v>
      </c>
      <c r="S457">
        <v>442</v>
      </c>
      <c r="T457">
        <v>19</v>
      </c>
      <c r="U457">
        <v>57.684344000000003</v>
      </c>
      <c r="V457" t="s">
        <v>39</v>
      </c>
      <c r="W457">
        <v>2.02255789391076</v>
      </c>
      <c r="X457" t="s">
        <v>52</v>
      </c>
      <c r="Y457" t="s">
        <v>41</v>
      </c>
      <c r="Z457">
        <v>601.21388390000004</v>
      </c>
    </row>
    <row r="458" spans="1:26" x14ac:dyDescent="0.3">
      <c r="A458" t="s">
        <v>72</v>
      </c>
      <c r="B458" t="s">
        <v>514</v>
      </c>
      <c r="C458">
        <v>30.954175983863198</v>
      </c>
      <c r="D458">
        <v>66</v>
      </c>
      <c r="E458">
        <v>513</v>
      </c>
      <c r="F458">
        <v>14291.543051749601</v>
      </c>
      <c r="G458" t="s">
        <v>35</v>
      </c>
      <c r="H458">
        <v>6</v>
      </c>
      <c r="I458">
        <v>25</v>
      </c>
      <c r="J458">
        <v>97</v>
      </c>
      <c r="K458">
        <v>1</v>
      </c>
      <c r="L458" t="s">
        <v>27</v>
      </c>
      <c r="M458">
        <v>2.4588901255299098</v>
      </c>
      <c r="N458" t="s">
        <v>45</v>
      </c>
      <c r="O458" t="s">
        <v>38</v>
      </c>
      <c r="P458">
        <f>VLOOKUP(O458, Coordinates!$A$2:$C$6, 2, FALSE)</f>
        <v>25.761700000000001</v>
      </c>
      <c r="Q458">
        <f>VLOOKUP(O458, Coordinates!$A$2:$C$6, 3, FALSE)</f>
        <v>-80.191800000000001</v>
      </c>
      <c r="R458">
        <v>30</v>
      </c>
      <c r="S458">
        <v>219</v>
      </c>
      <c r="T458">
        <v>17</v>
      </c>
      <c r="U458">
        <v>77.455698234872202</v>
      </c>
      <c r="V458" t="s">
        <v>39</v>
      </c>
      <c r="W458">
        <v>4.7241315115068199</v>
      </c>
      <c r="X458" t="s">
        <v>40</v>
      </c>
      <c r="Y458" t="s">
        <v>60</v>
      </c>
      <c r="Z458">
        <v>950.51109901862696</v>
      </c>
    </row>
    <row r="459" spans="1:26" x14ac:dyDescent="0.3">
      <c r="A459" t="s">
        <v>24</v>
      </c>
      <c r="B459" t="s">
        <v>515</v>
      </c>
      <c r="C459">
        <v>39.045335170000001</v>
      </c>
      <c r="D459">
        <v>73</v>
      </c>
      <c r="E459">
        <v>183</v>
      </c>
      <c r="F459">
        <v>6430.7667022002597</v>
      </c>
      <c r="G459" t="s">
        <v>54</v>
      </c>
      <c r="H459">
        <v>89</v>
      </c>
      <c r="I459">
        <v>28</v>
      </c>
      <c r="J459">
        <v>34</v>
      </c>
      <c r="K459">
        <v>3</v>
      </c>
      <c r="L459" t="s">
        <v>27</v>
      </c>
      <c r="M459">
        <v>2.9921661031717699</v>
      </c>
      <c r="N459" t="s">
        <v>57</v>
      </c>
      <c r="O459" t="s">
        <v>29</v>
      </c>
      <c r="P459">
        <f>VLOOKUP(O459, Coordinates!$A$2:$C$6, 2, FALSE)</f>
        <v>29.760400000000001</v>
      </c>
      <c r="Q459">
        <f>VLOOKUP(O459, Coordinates!$A$2:$C$6, 3, FALSE)</f>
        <v>-95.369799999999998</v>
      </c>
      <c r="R459">
        <v>14</v>
      </c>
      <c r="S459">
        <v>668</v>
      </c>
      <c r="T459">
        <v>10</v>
      </c>
      <c r="U459">
        <v>86.816880918131005</v>
      </c>
      <c r="V459" t="s">
        <v>30</v>
      </c>
      <c r="W459">
        <v>1.09145262371054</v>
      </c>
      <c r="X459" t="s">
        <v>40</v>
      </c>
      <c r="Y459" t="s">
        <v>41</v>
      </c>
      <c r="Z459">
        <v>840.03105570000002</v>
      </c>
    </row>
    <row r="460" spans="1:26" x14ac:dyDescent="0.3">
      <c r="A460" t="s">
        <v>42</v>
      </c>
      <c r="B460" t="s">
        <v>516</v>
      </c>
      <c r="C460">
        <v>46.373018167825101</v>
      </c>
      <c r="D460">
        <v>87</v>
      </c>
      <c r="E460">
        <v>757</v>
      </c>
      <c r="F460">
        <v>1879.36547848082</v>
      </c>
      <c r="G460" t="s">
        <v>48</v>
      </c>
      <c r="H460">
        <v>78</v>
      </c>
      <c r="I460">
        <v>12</v>
      </c>
      <c r="J460">
        <v>26</v>
      </c>
      <c r="K460">
        <v>2</v>
      </c>
      <c r="L460" t="s">
        <v>44</v>
      </c>
      <c r="M460">
        <v>1.0268198865059801</v>
      </c>
      <c r="N460" t="s">
        <v>37</v>
      </c>
      <c r="O460" t="s">
        <v>58</v>
      </c>
      <c r="P460">
        <f>VLOOKUP(O460, Coordinates!$A$2:$C$6, 2, FALSE)</f>
        <v>34.052199999999999</v>
      </c>
      <c r="Q460">
        <f>VLOOKUP(O460, Coordinates!$A$2:$C$6, 3, FALSE)</f>
        <v>-118.2437</v>
      </c>
      <c r="R460">
        <v>7</v>
      </c>
      <c r="S460">
        <v>285</v>
      </c>
      <c r="T460">
        <v>25</v>
      </c>
      <c r="U460">
        <v>40.750190341344101</v>
      </c>
      <c r="V460" t="s">
        <v>30</v>
      </c>
      <c r="W460">
        <v>4.1551236795281401</v>
      </c>
      <c r="X460" t="s">
        <v>31</v>
      </c>
      <c r="Y460" t="s">
        <v>60</v>
      </c>
      <c r="Z460">
        <v>712.74609522208198</v>
      </c>
    </row>
    <row r="461" spans="1:26" x14ac:dyDescent="0.3">
      <c r="A461" t="s">
        <v>61</v>
      </c>
      <c r="B461" t="s">
        <v>517</v>
      </c>
      <c r="C461">
        <v>59.838724423018199</v>
      </c>
      <c r="D461">
        <v>79</v>
      </c>
      <c r="E461">
        <v>842</v>
      </c>
      <c r="F461">
        <v>1134.9865030000001</v>
      </c>
      <c r="G461" t="s">
        <v>48</v>
      </c>
      <c r="H461">
        <v>55</v>
      </c>
      <c r="I461">
        <v>16</v>
      </c>
      <c r="J461">
        <v>51</v>
      </c>
      <c r="K461">
        <v>3</v>
      </c>
      <c r="L461" t="s">
        <v>27</v>
      </c>
      <c r="M461">
        <v>3.1455310218111401</v>
      </c>
      <c r="N461" t="s">
        <v>28</v>
      </c>
      <c r="O461" t="s">
        <v>65</v>
      </c>
      <c r="P461">
        <f>VLOOKUP(O461, Coordinates!$A$2:$C$6, 2, FALSE)</f>
        <v>41.878100000000003</v>
      </c>
      <c r="Q461">
        <f>VLOOKUP(O461, Coordinates!$A$2:$C$6, 3, FALSE)</f>
        <v>-87.629800000000003</v>
      </c>
      <c r="R461">
        <v>12</v>
      </c>
      <c r="S461">
        <v>683</v>
      </c>
      <c r="T461">
        <v>4</v>
      </c>
      <c r="U461">
        <v>78.568234829999994</v>
      </c>
      <c r="V461" t="s">
        <v>30</v>
      </c>
      <c r="W461">
        <v>3.2852942722103999</v>
      </c>
      <c r="X461" t="s">
        <v>46</v>
      </c>
      <c r="Y461" t="s">
        <v>41</v>
      </c>
      <c r="Z461">
        <v>870.70929839999997</v>
      </c>
    </row>
    <row r="462" spans="1:26" x14ac:dyDescent="0.3">
      <c r="A462" t="s">
        <v>24</v>
      </c>
      <c r="B462" t="s">
        <v>518</v>
      </c>
      <c r="D462">
        <v>77</v>
      </c>
      <c r="E462">
        <v>835</v>
      </c>
      <c r="F462">
        <v>17256.653340000001</v>
      </c>
      <c r="G462" t="s">
        <v>48</v>
      </c>
      <c r="H462">
        <v>48</v>
      </c>
      <c r="I462">
        <v>21</v>
      </c>
      <c r="J462">
        <v>38</v>
      </c>
      <c r="K462">
        <v>5</v>
      </c>
      <c r="L462" t="s">
        <v>27</v>
      </c>
      <c r="M462">
        <v>9.0819015252972406</v>
      </c>
      <c r="N462" t="s">
        <v>28</v>
      </c>
      <c r="O462" t="s">
        <v>29</v>
      </c>
      <c r="P462">
        <f>VLOOKUP(O462, Coordinates!$A$2:$C$6, 2, FALSE)</f>
        <v>29.760400000000001</v>
      </c>
      <c r="Q462">
        <f>VLOOKUP(O462, Coordinates!$A$2:$C$6, 3, FALSE)</f>
        <v>-95.369799999999998</v>
      </c>
      <c r="R462">
        <v>1</v>
      </c>
      <c r="S462">
        <v>257</v>
      </c>
      <c r="T462">
        <v>25</v>
      </c>
      <c r="U462">
        <v>81.205600796544104</v>
      </c>
      <c r="V462" t="s">
        <v>55</v>
      </c>
      <c r="W462">
        <v>1.1014008389846199</v>
      </c>
      <c r="X462" t="s">
        <v>40</v>
      </c>
      <c r="Y462" t="s">
        <v>32</v>
      </c>
      <c r="Z462">
        <v>705.95318377481101</v>
      </c>
    </row>
    <row r="463" spans="1:26" x14ac:dyDescent="0.3">
      <c r="A463" t="s">
        <v>61</v>
      </c>
      <c r="B463" t="s">
        <v>519</v>
      </c>
      <c r="C463">
        <v>81.588608695360094</v>
      </c>
      <c r="D463">
        <v>23</v>
      </c>
      <c r="E463">
        <v>481</v>
      </c>
      <c r="F463">
        <v>9964.1150504402303</v>
      </c>
      <c r="G463" t="s">
        <v>54</v>
      </c>
      <c r="H463">
        <v>41</v>
      </c>
      <c r="I463">
        <v>22</v>
      </c>
      <c r="J463">
        <v>69</v>
      </c>
      <c r="K463">
        <v>9</v>
      </c>
      <c r="L463" t="s">
        <v>44</v>
      </c>
      <c r="M463">
        <v>12.4733237093431</v>
      </c>
      <c r="N463" t="s">
        <v>45</v>
      </c>
      <c r="O463" t="s">
        <v>38</v>
      </c>
      <c r="P463">
        <f>VLOOKUP(O463, Coordinates!$A$2:$C$6, 2, FALSE)</f>
        <v>25.761700000000001</v>
      </c>
      <c r="Q463">
        <f>VLOOKUP(O463, Coordinates!$A$2:$C$6, 3, FALSE)</f>
        <v>-80.191800000000001</v>
      </c>
      <c r="R463">
        <v>29</v>
      </c>
      <c r="S463">
        <v>327</v>
      </c>
      <c r="T463">
        <v>5</v>
      </c>
      <c r="U463">
        <v>67.412566262031802</v>
      </c>
      <c r="V463" t="s">
        <v>39</v>
      </c>
      <c r="W463">
        <v>4.9657068434623497</v>
      </c>
      <c r="X463" t="s">
        <v>31</v>
      </c>
      <c r="Y463" t="s">
        <v>32</v>
      </c>
      <c r="Z463">
        <v>149.45393328413101</v>
      </c>
    </row>
    <row r="464" spans="1:26" x14ac:dyDescent="0.3">
      <c r="A464" t="s">
        <v>49</v>
      </c>
      <c r="B464" t="s">
        <v>520</v>
      </c>
      <c r="C464">
        <v>85.155046010000007</v>
      </c>
      <c r="D464">
        <v>81</v>
      </c>
      <c r="E464">
        <v>847</v>
      </c>
      <c r="F464">
        <v>2619.9965494961798</v>
      </c>
      <c r="G464" t="s">
        <v>48</v>
      </c>
      <c r="H464">
        <v>22</v>
      </c>
      <c r="I464">
        <v>17</v>
      </c>
      <c r="J464">
        <v>76</v>
      </c>
      <c r="K464">
        <v>2</v>
      </c>
      <c r="L464" t="s">
        <v>27</v>
      </c>
      <c r="M464">
        <v>3.70801943171297</v>
      </c>
      <c r="N464" t="s">
        <v>37</v>
      </c>
      <c r="O464" t="s">
        <v>58</v>
      </c>
      <c r="P464">
        <f>VLOOKUP(O464, Coordinates!$A$2:$C$6, 2, FALSE)</f>
        <v>34.052199999999999</v>
      </c>
      <c r="Q464">
        <f>VLOOKUP(O464, Coordinates!$A$2:$C$6, 3, FALSE)</f>
        <v>-118.2437</v>
      </c>
      <c r="R464">
        <v>3</v>
      </c>
      <c r="S464">
        <v>407</v>
      </c>
      <c r="T464">
        <v>7</v>
      </c>
      <c r="U464">
        <v>96.834650510000003</v>
      </c>
      <c r="V464" t="s">
        <v>30</v>
      </c>
      <c r="W464">
        <v>3.8749627071947899</v>
      </c>
      <c r="X464" t="s">
        <v>52</v>
      </c>
      <c r="Y464" t="s">
        <v>32</v>
      </c>
      <c r="Z464">
        <v>415.78475085502703</v>
      </c>
    </row>
    <row r="465" spans="1:26" x14ac:dyDescent="0.3">
      <c r="A465" t="s">
        <v>61</v>
      </c>
      <c r="B465" t="s">
        <v>521</v>
      </c>
      <c r="C465">
        <v>29.1276130843423</v>
      </c>
      <c r="D465">
        <v>48</v>
      </c>
      <c r="E465">
        <v>980</v>
      </c>
      <c r="F465">
        <v>5522.9284604982004</v>
      </c>
      <c r="G465" t="s">
        <v>26</v>
      </c>
      <c r="H465">
        <v>51</v>
      </c>
      <c r="I465">
        <v>4</v>
      </c>
      <c r="J465">
        <v>94</v>
      </c>
      <c r="K465">
        <v>1</v>
      </c>
      <c r="L465" t="s">
        <v>27</v>
      </c>
      <c r="M465">
        <v>2.1322164538649999</v>
      </c>
      <c r="N465" t="s">
        <v>28</v>
      </c>
      <c r="O465" t="s">
        <v>58</v>
      </c>
      <c r="P465">
        <f>VLOOKUP(O465, Coordinates!$A$2:$C$6, 2, FALSE)</f>
        <v>34.052199999999999</v>
      </c>
      <c r="Q465">
        <f>VLOOKUP(O465, Coordinates!$A$2:$C$6, 3, FALSE)</f>
        <v>-118.2437</v>
      </c>
      <c r="R465">
        <v>27</v>
      </c>
      <c r="S465">
        <v>333</v>
      </c>
      <c r="T465">
        <v>19</v>
      </c>
      <c r="U465">
        <v>52.418400176823504</v>
      </c>
      <c r="V465" t="s">
        <v>55</v>
      </c>
      <c r="W465">
        <v>1.0948152290809301</v>
      </c>
      <c r="X465" t="s">
        <v>52</v>
      </c>
      <c r="Y465" t="s">
        <v>41</v>
      </c>
      <c r="Z465">
        <v>484.41027564073102</v>
      </c>
    </row>
    <row r="466" spans="1:26" x14ac:dyDescent="0.3">
      <c r="A466" t="s">
        <v>82</v>
      </c>
      <c r="B466" t="s">
        <v>522</v>
      </c>
      <c r="C466">
        <v>7.9559819921489696</v>
      </c>
      <c r="D466">
        <v>2</v>
      </c>
      <c r="E466">
        <v>418</v>
      </c>
      <c r="F466">
        <v>8635.7595380000002</v>
      </c>
      <c r="G466" t="s">
        <v>35</v>
      </c>
      <c r="H466">
        <v>78</v>
      </c>
      <c r="I466">
        <v>30</v>
      </c>
      <c r="J466">
        <v>66</v>
      </c>
      <c r="K466">
        <v>6</v>
      </c>
      <c r="L466" t="s">
        <v>36</v>
      </c>
      <c r="M466">
        <v>11.2131987781022</v>
      </c>
      <c r="N466" t="s">
        <v>45</v>
      </c>
      <c r="O466" t="s">
        <v>38</v>
      </c>
      <c r="P466">
        <f>VLOOKUP(O466, Coordinates!$A$2:$C$6, 2, FALSE)</f>
        <v>25.761700000000001</v>
      </c>
      <c r="Q466">
        <f>VLOOKUP(O466, Coordinates!$A$2:$C$6, 3, FALSE)</f>
        <v>-80.191800000000001</v>
      </c>
      <c r="R466">
        <v>29</v>
      </c>
      <c r="S466">
        <v>110</v>
      </c>
      <c r="T466">
        <v>19</v>
      </c>
      <c r="U466">
        <v>47.656419377180498</v>
      </c>
      <c r="V466" t="s">
        <v>39</v>
      </c>
      <c r="W466">
        <v>3.6824456790000002</v>
      </c>
      <c r="X466" t="s">
        <v>46</v>
      </c>
      <c r="Y466" t="s">
        <v>32</v>
      </c>
      <c r="Z466">
        <v>591.73953488223196</v>
      </c>
    </row>
    <row r="467" spans="1:26" x14ac:dyDescent="0.3">
      <c r="A467" t="s">
        <v>42</v>
      </c>
      <c r="B467" t="s">
        <v>523</v>
      </c>
      <c r="C467">
        <v>75.232999840653406</v>
      </c>
      <c r="D467">
        <v>84</v>
      </c>
      <c r="E467">
        <v>884</v>
      </c>
      <c r="F467">
        <v>1183.6144961938501</v>
      </c>
      <c r="H467">
        <v>3</v>
      </c>
      <c r="I467">
        <v>29</v>
      </c>
      <c r="J467">
        <v>81</v>
      </c>
      <c r="K467">
        <v>3</v>
      </c>
      <c r="L467" t="s">
        <v>27</v>
      </c>
      <c r="M467">
        <v>1.11427796040102</v>
      </c>
      <c r="N467" t="s">
        <v>51</v>
      </c>
      <c r="O467" t="s">
        <v>67</v>
      </c>
      <c r="P467">
        <f>VLOOKUP(O467, Coordinates!$A$2:$C$6, 2, FALSE)</f>
        <v>40.712800000000001</v>
      </c>
      <c r="Q467">
        <f>VLOOKUP(O467, Coordinates!$A$2:$C$6, 3, FALSE)</f>
        <v>-74.006</v>
      </c>
      <c r="R467">
        <v>6</v>
      </c>
      <c r="S467">
        <v>274</v>
      </c>
      <c r="T467">
        <v>8</v>
      </c>
      <c r="U467">
        <v>91.517425654722203</v>
      </c>
      <c r="V467" t="s">
        <v>30</v>
      </c>
      <c r="W467">
        <v>0.64892638682369497</v>
      </c>
      <c r="X467" t="s">
        <v>52</v>
      </c>
      <c r="Y467" t="s">
        <v>41</v>
      </c>
      <c r="Z467">
        <v>306.67639507581202</v>
      </c>
    </row>
    <row r="468" spans="1:26" x14ac:dyDescent="0.3">
      <c r="A468" t="s">
        <v>33</v>
      </c>
      <c r="B468" t="s">
        <v>524</v>
      </c>
      <c r="C468">
        <v>15.1026539942985</v>
      </c>
      <c r="D468">
        <v>20</v>
      </c>
      <c r="E468">
        <v>865</v>
      </c>
      <c r="F468">
        <v>6440.4008403261296</v>
      </c>
      <c r="G468" t="s">
        <v>48</v>
      </c>
      <c r="H468">
        <v>7</v>
      </c>
      <c r="I468">
        <v>22</v>
      </c>
      <c r="J468">
        <v>23</v>
      </c>
      <c r="K468">
        <v>7</v>
      </c>
      <c r="L468" t="s">
        <v>27</v>
      </c>
      <c r="M468">
        <v>11.278269428509301</v>
      </c>
      <c r="N468" t="s">
        <v>28</v>
      </c>
      <c r="O468" t="s">
        <v>67</v>
      </c>
      <c r="P468">
        <f>VLOOKUP(O468, Coordinates!$A$2:$C$6, 2, FALSE)</f>
        <v>40.712800000000001</v>
      </c>
      <c r="Q468">
        <f>VLOOKUP(O468, Coordinates!$A$2:$C$6, 3, FALSE)</f>
        <v>-74.006</v>
      </c>
      <c r="R468">
        <v>29</v>
      </c>
      <c r="S468">
        <v>872</v>
      </c>
      <c r="T468">
        <v>1</v>
      </c>
      <c r="U468">
        <v>91.232244542470895</v>
      </c>
      <c r="V468" t="s">
        <v>55</v>
      </c>
      <c r="W468">
        <v>3.0818228240375101</v>
      </c>
      <c r="X468" t="s">
        <v>46</v>
      </c>
      <c r="Y468" t="s">
        <v>41</v>
      </c>
      <c r="Z468">
        <v>893.05517787327597</v>
      </c>
    </row>
    <row r="469" spans="1:26" x14ac:dyDescent="0.3">
      <c r="A469" t="s">
        <v>61</v>
      </c>
      <c r="B469" t="s">
        <v>525</v>
      </c>
      <c r="C469">
        <v>34.9173609182319</v>
      </c>
      <c r="D469">
        <v>59</v>
      </c>
      <c r="E469">
        <v>79</v>
      </c>
      <c r="F469">
        <v>3493.22903982661</v>
      </c>
      <c r="G469" t="s">
        <v>26</v>
      </c>
      <c r="H469">
        <v>95</v>
      </c>
      <c r="I469">
        <v>24</v>
      </c>
      <c r="J469">
        <v>48</v>
      </c>
      <c r="K469">
        <v>6</v>
      </c>
      <c r="L469" t="s">
        <v>27</v>
      </c>
      <c r="M469">
        <v>2.83564130213633</v>
      </c>
      <c r="N469" t="s">
        <v>45</v>
      </c>
      <c r="O469" t="s">
        <v>38</v>
      </c>
      <c r="P469">
        <f>VLOOKUP(O469, Coordinates!$A$2:$C$6, 2, FALSE)</f>
        <v>25.761700000000001</v>
      </c>
      <c r="Q469">
        <f>VLOOKUP(O469, Coordinates!$A$2:$C$6, 3, FALSE)</f>
        <v>-80.191800000000001</v>
      </c>
      <c r="R469">
        <v>26</v>
      </c>
      <c r="S469">
        <v>742</v>
      </c>
      <c r="T469">
        <v>24</v>
      </c>
      <c r="U469">
        <v>99.317683169485804</v>
      </c>
      <c r="V469" t="s">
        <v>39</v>
      </c>
      <c r="W469">
        <v>4.4486035844351202</v>
      </c>
      <c r="X469" t="s">
        <v>40</v>
      </c>
      <c r="Y469" t="s">
        <v>41</v>
      </c>
      <c r="Z469">
        <v>305.83059635934097</v>
      </c>
    </row>
    <row r="470" spans="1:26" x14ac:dyDescent="0.3">
      <c r="A470" t="s">
        <v>24</v>
      </c>
      <c r="B470" t="s">
        <v>526</v>
      </c>
      <c r="C470">
        <v>26.892912574330602</v>
      </c>
      <c r="D470">
        <v>46</v>
      </c>
      <c r="E470">
        <v>132</v>
      </c>
      <c r="F470">
        <v>3194.8780138304701</v>
      </c>
      <c r="H470">
        <v>36</v>
      </c>
      <c r="I470">
        <v>24</v>
      </c>
      <c r="J470">
        <v>25</v>
      </c>
      <c r="K470">
        <v>7</v>
      </c>
      <c r="L470" t="s">
        <v>44</v>
      </c>
      <c r="M470">
        <v>4.1959908696716397</v>
      </c>
      <c r="N470" t="s">
        <v>51</v>
      </c>
      <c r="O470" t="s">
        <v>58</v>
      </c>
      <c r="P470">
        <f>VLOOKUP(O470, Coordinates!$A$2:$C$6, 2, FALSE)</f>
        <v>34.052199999999999</v>
      </c>
      <c r="Q470">
        <f>VLOOKUP(O470, Coordinates!$A$2:$C$6, 3, FALSE)</f>
        <v>-118.2437</v>
      </c>
      <c r="R470">
        <v>7</v>
      </c>
      <c r="S470">
        <v>997</v>
      </c>
      <c r="T470">
        <v>8</v>
      </c>
      <c r="U470">
        <v>79.912377339863795</v>
      </c>
      <c r="V470" t="s">
        <v>30</v>
      </c>
      <c r="W470">
        <v>3.2885120727860899</v>
      </c>
      <c r="X470" t="s">
        <v>46</v>
      </c>
      <c r="Y470" t="s">
        <v>32</v>
      </c>
      <c r="Z470">
        <v>691.83429798776001</v>
      </c>
    </row>
    <row r="471" spans="1:26" x14ac:dyDescent="0.3">
      <c r="A471" t="s">
        <v>82</v>
      </c>
      <c r="B471" t="s">
        <v>527</v>
      </c>
      <c r="C471">
        <v>69.758600830000006</v>
      </c>
      <c r="D471">
        <v>3</v>
      </c>
      <c r="E471">
        <v>715</v>
      </c>
      <c r="F471">
        <v>3551.1503433767102</v>
      </c>
      <c r="G471" t="s">
        <v>54</v>
      </c>
      <c r="H471">
        <v>17</v>
      </c>
      <c r="I471">
        <v>26</v>
      </c>
      <c r="J471">
        <v>27</v>
      </c>
      <c r="K471">
        <v>5</v>
      </c>
      <c r="L471" t="s">
        <v>27</v>
      </c>
      <c r="M471">
        <v>2.6809787524324098</v>
      </c>
      <c r="N471" t="s">
        <v>45</v>
      </c>
      <c r="O471" t="s">
        <v>38</v>
      </c>
      <c r="P471">
        <f>VLOOKUP(O471, Coordinates!$A$2:$C$6, 2, FALSE)</f>
        <v>25.761700000000001</v>
      </c>
      <c r="Q471">
        <f>VLOOKUP(O471, Coordinates!$A$2:$C$6, 3, FALSE)</f>
        <v>-80.191800000000001</v>
      </c>
      <c r="R471">
        <v>27</v>
      </c>
      <c r="S471">
        <v>101</v>
      </c>
      <c r="T471">
        <v>19</v>
      </c>
      <c r="U471">
        <v>40.983538692394198</v>
      </c>
      <c r="V471" t="s">
        <v>39</v>
      </c>
      <c r="W471">
        <v>4.8391845264907696</v>
      </c>
      <c r="X471" t="s">
        <v>40</v>
      </c>
      <c r="Y471" t="s">
        <v>41</v>
      </c>
      <c r="Z471">
        <v>888.94669081478298</v>
      </c>
    </row>
    <row r="472" spans="1:26" x14ac:dyDescent="0.3">
      <c r="A472" t="s">
        <v>33</v>
      </c>
      <c r="B472" t="s">
        <v>528</v>
      </c>
      <c r="C472">
        <v>20.877541089766002</v>
      </c>
      <c r="D472">
        <v>55</v>
      </c>
      <c r="E472">
        <v>670</v>
      </c>
      <c r="F472">
        <v>7180.8014830000002</v>
      </c>
      <c r="G472" t="s">
        <v>54</v>
      </c>
      <c r="H472">
        <v>19</v>
      </c>
      <c r="I472">
        <v>22</v>
      </c>
      <c r="J472">
        <v>84</v>
      </c>
      <c r="K472">
        <v>1</v>
      </c>
      <c r="L472" t="s">
        <v>44</v>
      </c>
      <c r="M472">
        <v>4.4627341987195202</v>
      </c>
      <c r="N472" t="s">
        <v>28</v>
      </c>
      <c r="O472" t="s">
        <v>29</v>
      </c>
      <c r="P472">
        <f>VLOOKUP(O472, Coordinates!$A$2:$C$6, 2, FALSE)</f>
        <v>29.760400000000001</v>
      </c>
      <c r="Q472">
        <f>VLOOKUP(O472, Coordinates!$A$2:$C$6, 3, FALSE)</f>
        <v>-95.369799999999998</v>
      </c>
      <c r="R472">
        <v>13</v>
      </c>
      <c r="S472">
        <v>860</v>
      </c>
      <c r="T472">
        <v>17</v>
      </c>
      <c r="U472">
        <v>31.635105685993299</v>
      </c>
      <c r="V472" t="s">
        <v>30</v>
      </c>
      <c r="W472">
        <v>4.3776176161023397</v>
      </c>
      <c r="X472" t="s">
        <v>52</v>
      </c>
      <c r="Y472" t="s">
        <v>60</v>
      </c>
      <c r="Z472">
        <v>759.53175229999999</v>
      </c>
    </row>
    <row r="473" spans="1:26" x14ac:dyDescent="0.3">
      <c r="A473" t="s">
        <v>42</v>
      </c>
      <c r="B473" t="s">
        <v>529</v>
      </c>
      <c r="C473">
        <v>67.251828920707496</v>
      </c>
      <c r="D473">
        <v>12</v>
      </c>
      <c r="E473">
        <v>950</v>
      </c>
      <c r="F473">
        <v>7067.9766920265702</v>
      </c>
      <c r="G473" t="s">
        <v>48</v>
      </c>
      <c r="H473">
        <v>0</v>
      </c>
      <c r="I473">
        <v>27</v>
      </c>
      <c r="J473">
        <v>29</v>
      </c>
      <c r="K473">
        <v>3</v>
      </c>
      <c r="L473" t="s">
        <v>44</v>
      </c>
      <c r="M473">
        <v>12.1744631384651</v>
      </c>
      <c r="N473" t="s">
        <v>51</v>
      </c>
      <c r="O473" t="s">
        <v>67</v>
      </c>
      <c r="P473">
        <f>VLOOKUP(O473, Coordinates!$A$2:$C$6, 2, FALSE)</f>
        <v>40.712800000000001</v>
      </c>
      <c r="Q473">
        <f>VLOOKUP(O473, Coordinates!$A$2:$C$6, 3, FALSE)</f>
        <v>-74.006</v>
      </c>
      <c r="R473">
        <v>29</v>
      </c>
      <c r="S473">
        <v>811</v>
      </c>
      <c r="T473">
        <v>9</v>
      </c>
      <c r="U473">
        <v>13.068672125649501</v>
      </c>
      <c r="V473" t="s">
        <v>55</v>
      </c>
      <c r="W473">
        <v>3.8490265837437301</v>
      </c>
      <c r="X473" t="s">
        <v>46</v>
      </c>
      <c r="Y473" t="s">
        <v>32</v>
      </c>
      <c r="Z473">
        <v>222.411368513805</v>
      </c>
    </row>
    <row r="474" spans="1:26" x14ac:dyDescent="0.3">
      <c r="A474" t="s">
        <v>33</v>
      </c>
      <c r="B474" t="s">
        <v>530</v>
      </c>
      <c r="C474">
        <v>99.215548630000001</v>
      </c>
      <c r="D474">
        <v>40</v>
      </c>
      <c r="E474">
        <v>794</v>
      </c>
      <c r="F474">
        <v>2993.4419400000002</v>
      </c>
      <c r="G474" t="s">
        <v>35</v>
      </c>
      <c r="H474">
        <v>1</v>
      </c>
      <c r="I474">
        <v>9</v>
      </c>
      <c r="J474">
        <v>55</v>
      </c>
      <c r="K474">
        <v>3</v>
      </c>
      <c r="L474" t="s">
        <v>27</v>
      </c>
      <c r="M474">
        <v>2.8556174717510601</v>
      </c>
      <c r="N474" t="s">
        <v>45</v>
      </c>
      <c r="O474" t="s">
        <v>38</v>
      </c>
      <c r="P474">
        <f>VLOOKUP(O474, Coordinates!$A$2:$C$6, 2, FALSE)</f>
        <v>25.761700000000001</v>
      </c>
      <c r="Q474">
        <f>VLOOKUP(O474, Coordinates!$A$2:$C$6, 3, FALSE)</f>
        <v>-80.191800000000001</v>
      </c>
      <c r="R474">
        <v>26</v>
      </c>
      <c r="S474">
        <v>281</v>
      </c>
      <c r="T474">
        <v>20</v>
      </c>
      <c r="U474">
        <v>75.405576178979601</v>
      </c>
      <c r="V474" t="s">
        <v>39</v>
      </c>
      <c r="W474">
        <v>4.5753767894356399</v>
      </c>
      <c r="X474" t="s">
        <v>31</v>
      </c>
      <c r="Y474" t="s">
        <v>60</v>
      </c>
      <c r="Z474">
        <v>956.25476654332101</v>
      </c>
    </row>
    <row r="475" spans="1:26" x14ac:dyDescent="0.3">
      <c r="A475" t="s">
        <v>82</v>
      </c>
      <c r="B475" t="s">
        <v>531</v>
      </c>
      <c r="C475">
        <v>11.903732802951501</v>
      </c>
      <c r="D475">
        <v>66</v>
      </c>
      <c r="E475">
        <v>349</v>
      </c>
      <c r="F475">
        <v>1313.1927988151499</v>
      </c>
      <c r="G475" t="s">
        <v>48</v>
      </c>
      <c r="H475">
        <v>86</v>
      </c>
      <c r="I475">
        <v>5</v>
      </c>
      <c r="J475">
        <v>54</v>
      </c>
      <c r="K475">
        <v>7</v>
      </c>
      <c r="L475" t="s">
        <v>27</v>
      </c>
      <c r="M475">
        <v>14.918318852109399</v>
      </c>
      <c r="N475" t="s">
        <v>37</v>
      </c>
      <c r="O475" t="s">
        <v>29</v>
      </c>
      <c r="P475">
        <f>VLOOKUP(O475, Coordinates!$A$2:$C$6, 2, FALSE)</f>
        <v>29.760400000000001</v>
      </c>
      <c r="Q475">
        <f>VLOOKUP(O475, Coordinates!$A$2:$C$6, 3, FALSE)</f>
        <v>-95.369799999999998</v>
      </c>
      <c r="R475">
        <v>29</v>
      </c>
      <c r="S475">
        <v>449</v>
      </c>
      <c r="T475">
        <v>23</v>
      </c>
      <c r="U475">
        <v>31.012855636190199</v>
      </c>
      <c r="V475" t="s">
        <v>30</v>
      </c>
      <c r="W475">
        <v>3.0164651396922402</v>
      </c>
      <c r="X475" t="s">
        <v>52</v>
      </c>
      <c r="Y475" t="s">
        <v>32</v>
      </c>
      <c r="Z475">
        <v>182.72492264869601</v>
      </c>
    </row>
    <row r="476" spans="1:26" x14ac:dyDescent="0.3">
      <c r="A476" t="s">
        <v>72</v>
      </c>
      <c r="B476" t="s">
        <v>532</v>
      </c>
      <c r="C476">
        <v>36.596835454234999</v>
      </c>
      <c r="D476">
        <v>100</v>
      </c>
      <c r="E476">
        <v>535</v>
      </c>
      <c r="F476">
        <v>17621.3762712141</v>
      </c>
      <c r="G476" t="s">
        <v>48</v>
      </c>
      <c r="H476">
        <v>93</v>
      </c>
      <c r="I476">
        <v>17</v>
      </c>
      <c r="J476">
        <v>13</v>
      </c>
      <c r="K476">
        <v>3</v>
      </c>
      <c r="L476" t="s">
        <v>27</v>
      </c>
      <c r="M476">
        <v>5.5793688653690801</v>
      </c>
      <c r="N476" t="s">
        <v>51</v>
      </c>
      <c r="O476" t="s">
        <v>38</v>
      </c>
      <c r="P476">
        <f>VLOOKUP(O476, Coordinates!$A$2:$C$6, 2, FALSE)</f>
        <v>25.761700000000001</v>
      </c>
      <c r="Q476">
        <f>VLOOKUP(O476, Coordinates!$A$2:$C$6, 3, FALSE)</f>
        <v>-80.191800000000001</v>
      </c>
      <c r="R476">
        <v>22</v>
      </c>
      <c r="S476">
        <v>738</v>
      </c>
      <c r="T476">
        <v>16</v>
      </c>
      <c r="U476">
        <v>75.450707007768301</v>
      </c>
      <c r="V476" t="s">
        <v>55</v>
      </c>
      <c r="W476">
        <v>2.83185613473686</v>
      </c>
      <c r="X476" t="s">
        <v>52</v>
      </c>
      <c r="Y476" t="s">
        <v>41</v>
      </c>
      <c r="Z476">
        <v>280.06051575223</v>
      </c>
    </row>
    <row r="477" spans="1:26" x14ac:dyDescent="0.3">
      <c r="A477" t="s">
        <v>72</v>
      </c>
      <c r="B477" t="s">
        <v>533</v>
      </c>
      <c r="D477">
        <v>78</v>
      </c>
      <c r="E477">
        <v>163</v>
      </c>
      <c r="F477">
        <v>4557.4245574073102</v>
      </c>
      <c r="G477" t="s">
        <v>54</v>
      </c>
      <c r="H477">
        <v>62</v>
      </c>
      <c r="I477">
        <v>17</v>
      </c>
      <c r="J477">
        <v>93</v>
      </c>
      <c r="K477">
        <v>5</v>
      </c>
      <c r="L477" t="s">
        <v>27</v>
      </c>
      <c r="M477">
        <v>13.907553757116601</v>
      </c>
      <c r="N477" t="s">
        <v>45</v>
      </c>
      <c r="O477" t="s">
        <v>38</v>
      </c>
      <c r="P477">
        <f>VLOOKUP(O477, Coordinates!$A$2:$C$6, 2, FALSE)</f>
        <v>25.761700000000001</v>
      </c>
      <c r="Q477">
        <f>VLOOKUP(O477, Coordinates!$A$2:$C$6, 3, FALSE)</f>
        <v>-80.191800000000001</v>
      </c>
      <c r="R477">
        <v>25</v>
      </c>
      <c r="S477">
        <v>481</v>
      </c>
      <c r="T477">
        <v>9</v>
      </c>
      <c r="U477">
        <v>81.644567280000004</v>
      </c>
      <c r="V477" t="s">
        <v>39</v>
      </c>
      <c r="W477">
        <v>4.4485994441167698</v>
      </c>
      <c r="X477" t="s">
        <v>52</v>
      </c>
      <c r="Y477" t="s">
        <v>41</v>
      </c>
      <c r="Z477">
        <v>225.31878462080499</v>
      </c>
    </row>
    <row r="478" spans="1:26" x14ac:dyDescent="0.3">
      <c r="A478" t="s">
        <v>33</v>
      </c>
      <c r="B478" t="s">
        <v>534</v>
      </c>
      <c r="C478">
        <v>87.306718849999996</v>
      </c>
      <c r="D478">
        <v>16</v>
      </c>
      <c r="E478">
        <v>542</v>
      </c>
      <c r="F478">
        <v>8280.7997465233693</v>
      </c>
      <c r="G478" t="s">
        <v>48</v>
      </c>
      <c r="H478">
        <v>2</v>
      </c>
      <c r="I478">
        <v>2</v>
      </c>
      <c r="J478">
        <v>29</v>
      </c>
      <c r="K478">
        <v>4</v>
      </c>
      <c r="L478" t="s">
        <v>27</v>
      </c>
      <c r="M478">
        <v>3.6604631176976499</v>
      </c>
      <c r="N478" t="s">
        <v>37</v>
      </c>
      <c r="O478" t="s">
        <v>58</v>
      </c>
      <c r="P478">
        <f>VLOOKUP(O478, Coordinates!$A$2:$C$6, 2, FALSE)</f>
        <v>34.052199999999999</v>
      </c>
      <c r="Q478">
        <f>VLOOKUP(O478, Coordinates!$A$2:$C$6, 3, FALSE)</f>
        <v>-118.2437</v>
      </c>
      <c r="R478">
        <v>10</v>
      </c>
      <c r="S478">
        <v>396</v>
      </c>
      <c r="T478">
        <v>19</v>
      </c>
      <c r="U478">
        <v>95.519224665507394</v>
      </c>
      <c r="V478" t="s">
        <v>30</v>
      </c>
      <c r="W478">
        <v>4.48206618389644</v>
      </c>
      <c r="X478" t="s">
        <v>52</v>
      </c>
      <c r="Y478" t="s">
        <v>41</v>
      </c>
      <c r="Z478">
        <v>700.22534917949895</v>
      </c>
    </row>
    <row r="479" spans="1:26" x14ac:dyDescent="0.3">
      <c r="A479" t="s">
        <v>49</v>
      </c>
      <c r="B479" t="s">
        <v>535</v>
      </c>
      <c r="C479">
        <v>25.4753375351765</v>
      </c>
      <c r="D479">
        <v>83</v>
      </c>
      <c r="E479">
        <v>430</v>
      </c>
      <c r="F479">
        <v>8203.2776960980991</v>
      </c>
      <c r="G479" t="s">
        <v>48</v>
      </c>
      <c r="H479">
        <v>45</v>
      </c>
      <c r="I479">
        <v>2</v>
      </c>
      <c r="J479">
        <v>20</v>
      </c>
      <c r="K479">
        <v>4</v>
      </c>
      <c r="L479" t="s">
        <v>27</v>
      </c>
      <c r="M479">
        <v>3.6305652792216199</v>
      </c>
      <c r="N479" t="s">
        <v>51</v>
      </c>
      <c r="O479" t="s">
        <v>29</v>
      </c>
      <c r="P479">
        <f>VLOOKUP(O479, Coordinates!$A$2:$C$6, 2, FALSE)</f>
        <v>29.760400000000001</v>
      </c>
      <c r="Q479">
        <f>VLOOKUP(O479, Coordinates!$A$2:$C$6, 3, FALSE)</f>
        <v>-95.369799999999998</v>
      </c>
      <c r="R479">
        <v>4</v>
      </c>
      <c r="S479">
        <v>296</v>
      </c>
      <c r="T479">
        <v>16</v>
      </c>
      <c r="U479">
        <v>10.396912058227899</v>
      </c>
      <c r="V479" t="s">
        <v>55</v>
      </c>
      <c r="W479">
        <v>1.1774864257803499</v>
      </c>
      <c r="X479" t="s">
        <v>52</v>
      </c>
      <c r="Y479" t="s">
        <v>32</v>
      </c>
      <c r="Z479">
        <v>826.66906729662196</v>
      </c>
    </row>
    <row r="480" spans="1:26" x14ac:dyDescent="0.3">
      <c r="A480" t="s">
        <v>24</v>
      </c>
      <c r="B480" t="s">
        <v>536</v>
      </c>
      <c r="C480">
        <v>30.939429861856301</v>
      </c>
      <c r="D480">
        <v>34</v>
      </c>
      <c r="E480">
        <v>685</v>
      </c>
      <c r="F480">
        <v>19074.1585098344</v>
      </c>
      <c r="G480" t="s">
        <v>35</v>
      </c>
      <c r="H480">
        <v>48</v>
      </c>
      <c r="I480">
        <v>21</v>
      </c>
      <c r="J480">
        <v>74</v>
      </c>
      <c r="K480">
        <v>7</v>
      </c>
      <c r="L480" t="s">
        <v>27</v>
      </c>
      <c r="M480">
        <v>8.9146995626030296</v>
      </c>
      <c r="N480" t="s">
        <v>45</v>
      </c>
      <c r="O480" t="s">
        <v>38</v>
      </c>
      <c r="P480">
        <f>VLOOKUP(O480, Coordinates!$A$2:$C$6, 2, FALSE)</f>
        <v>25.761700000000001</v>
      </c>
      <c r="Q480">
        <f>VLOOKUP(O480, Coordinates!$A$2:$C$6, 3, FALSE)</f>
        <v>-80.191800000000001</v>
      </c>
      <c r="R480">
        <v>30</v>
      </c>
      <c r="S480">
        <v>385</v>
      </c>
      <c r="T480">
        <v>21</v>
      </c>
      <c r="U480">
        <v>82.921917653039898</v>
      </c>
      <c r="V480" t="s">
        <v>39</v>
      </c>
      <c r="W480">
        <v>3.8216329625147401</v>
      </c>
      <c r="X480" t="s">
        <v>31</v>
      </c>
      <c r="Y480" t="s">
        <v>32</v>
      </c>
      <c r="Z480">
        <v>314.21427604919597</v>
      </c>
    </row>
    <row r="481" spans="1:26" x14ac:dyDescent="0.3">
      <c r="A481" t="s">
        <v>24</v>
      </c>
      <c r="B481" t="s">
        <v>537</v>
      </c>
      <c r="C481">
        <v>29.207716555404399</v>
      </c>
      <c r="D481">
        <v>44</v>
      </c>
      <c r="E481">
        <v>27</v>
      </c>
      <c r="F481">
        <v>709.74751229632602</v>
      </c>
      <c r="G481" t="s">
        <v>26</v>
      </c>
      <c r="H481">
        <v>0</v>
      </c>
      <c r="I481">
        <v>23</v>
      </c>
      <c r="J481">
        <v>27</v>
      </c>
      <c r="K481">
        <v>1</v>
      </c>
      <c r="L481" t="s">
        <v>44</v>
      </c>
      <c r="M481">
        <v>1.70840118866549</v>
      </c>
      <c r="N481" t="s">
        <v>28</v>
      </c>
      <c r="O481" t="s">
        <v>29</v>
      </c>
      <c r="P481">
        <f>VLOOKUP(O481, Coordinates!$A$2:$C$6, 2, FALSE)</f>
        <v>29.760400000000001</v>
      </c>
      <c r="Q481">
        <f>VLOOKUP(O481, Coordinates!$A$2:$C$6, 3, FALSE)</f>
        <v>-95.369799999999998</v>
      </c>
      <c r="R481">
        <v>24</v>
      </c>
      <c r="S481">
        <v>655</v>
      </c>
      <c r="T481">
        <v>26</v>
      </c>
      <c r="U481">
        <v>83.955734100421793</v>
      </c>
      <c r="V481" t="s">
        <v>30</v>
      </c>
      <c r="W481">
        <v>4.9071903606621596</v>
      </c>
      <c r="X481" t="s">
        <v>31</v>
      </c>
      <c r="Y481" t="s">
        <v>41</v>
      </c>
      <c r="Z481">
        <v>981.32364059999998</v>
      </c>
    </row>
    <row r="482" spans="1:26" x14ac:dyDescent="0.3">
      <c r="A482" t="s">
        <v>33</v>
      </c>
      <c r="B482" t="s">
        <v>538</v>
      </c>
      <c r="C482">
        <v>77.4997526695944</v>
      </c>
      <c r="D482">
        <v>6</v>
      </c>
      <c r="E482">
        <v>51</v>
      </c>
      <c r="F482">
        <v>6438.3356438823203</v>
      </c>
      <c r="G482" t="s">
        <v>26</v>
      </c>
      <c r="H482">
        <v>21</v>
      </c>
      <c r="I482">
        <v>7</v>
      </c>
      <c r="J482">
        <v>48</v>
      </c>
      <c r="K482">
        <v>7</v>
      </c>
      <c r="L482" t="s">
        <v>36</v>
      </c>
      <c r="M482">
        <v>12.21404057</v>
      </c>
      <c r="N482" t="s">
        <v>51</v>
      </c>
      <c r="O482" t="s">
        <v>65</v>
      </c>
      <c r="P482">
        <f>VLOOKUP(O482, Coordinates!$A$2:$C$6, 2, FALSE)</f>
        <v>41.878100000000003</v>
      </c>
      <c r="Q482">
        <f>VLOOKUP(O482, Coordinates!$A$2:$C$6, 3, FALSE)</f>
        <v>-87.629800000000003</v>
      </c>
      <c r="R482">
        <v>21</v>
      </c>
      <c r="S482">
        <v>621</v>
      </c>
      <c r="T482">
        <v>27</v>
      </c>
      <c r="U482">
        <v>58.280068481638097</v>
      </c>
      <c r="V482" t="s">
        <v>30</v>
      </c>
      <c r="W482">
        <v>1.1828035097643399</v>
      </c>
      <c r="X482" t="s">
        <v>31</v>
      </c>
      <c r="Y482" t="s">
        <v>32</v>
      </c>
      <c r="Z482">
        <v>225.31941314756699</v>
      </c>
    </row>
    <row r="483" spans="1:26" x14ac:dyDescent="0.3">
      <c r="A483" t="s">
        <v>61</v>
      </c>
      <c r="B483" t="s">
        <v>539</v>
      </c>
      <c r="C483">
        <v>43.789102562147797</v>
      </c>
      <c r="D483">
        <v>77</v>
      </c>
      <c r="E483">
        <v>529</v>
      </c>
      <c r="F483">
        <v>8444.4233358485999</v>
      </c>
      <c r="G483" t="s">
        <v>35</v>
      </c>
      <c r="H483">
        <v>92</v>
      </c>
      <c r="I483">
        <v>4</v>
      </c>
      <c r="J483">
        <v>53</v>
      </c>
      <c r="K483">
        <v>8</v>
      </c>
      <c r="L483" t="s">
        <v>44</v>
      </c>
      <c r="M483">
        <v>7.1546135093527496</v>
      </c>
      <c r="N483" t="s">
        <v>51</v>
      </c>
      <c r="O483" t="s">
        <v>38</v>
      </c>
      <c r="P483">
        <f>VLOOKUP(O483, Coordinates!$A$2:$C$6, 2, FALSE)</f>
        <v>25.761700000000001</v>
      </c>
      <c r="Q483">
        <f>VLOOKUP(O483, Coordinates!$A$2:$C$6, 3, FALSE)</f>
        <v>-80.191800000000001</v>
      </c>
      <c r="R483">
        <v>13</v>
      </c>
      <c r="S483">
        <v>324</v>
      </c>
      <c r="T483">
        <v>13</v>
      </c>
      <c r="U483">
        <v>82.675786013393704</v>
      </c>
      <c r="V483" t="s">
        <v>30</v>
      </c>
      <c r="W483">
        <v>4.7673966224129698</v>
      </c>
      <c r="X483" t="s">
        <v>46</v>
      </c>
      <c r="Y483" t="s">
        <v>60</v>
      </c>
      <c r="Z483">
        <v>384.28166322071098</v>
      </c>
    </row>
    <row r="484" spans="1:26" x14ac:dyDescent="0.3">
      <c r="A484" t="s">
        <v>61</v>
      </c>
      <c r="B484" t="s">
        <v>540</v>
      </c>
      <c r="C484">
        <v>77.128629640780005</v>
      </c>
      <c r="D484">
        <v>64</v>
      </c>
      <c r="E484">
        <v>733</v>
      </c>
      <c r="F484">
        <v>4825.0217271087704</v>
      </c>
      <c r="G484" t="s">
        <v>26</v>
      </c>
      <c r="H484">
        <v>13</v>
      </c>
      <c r="I484">
        <v>13</v>
      </c>
      <c r="J484">
        <v>27</v>
      </c>
      <c r="K484">
        <v>3</v>
      </c>
      <c r="L484" t="s">
        <v>27</v>
      </c>
      <c r="M484">
        <v>10.788750626939899</v>
      </c>
      <c r="N484" t="s">
        <v>37</v>
      </c>
      <c r="O484" t="s">
        <v>29</v>
      </c>
      <c r="P484">
        <f>VLOOKUP(O484, Coordinates!$A$2:$C$6, 2, FALSE)</f>
        <v>29.760400000000001</v>
      </c>
      <c r="Q484">
        <f>VLOOKUP(O484, Coordinates!$A$2:$C$6, 3, FALSE)</f>
        <v>-95.369799999999998</v>
      </c>
      <c r="R484">
        <v>17</v>
      </c>
      <c r="S484">
        <v>827</v>
      </c>
      <c r="T484">
        <v>19</v>
      </c>
      <c r="U484">
        <v>86.799095455414403</v>
      </c>
      <c r="V484" t="s">
        <v>55</v>
      </c>
      <c r="W484">
        <v>3.2487685254837202</v>
      </c>
      <c r="X484" t="s">
        <v>52</v>
      </c>
      <c r="Y484" t="s">
        <v>41</v>
      </c>
      <c r="Z484">
        <v>541.27830996943396</v>
      </c>
    </row>
    <row r="485" spans="1:26" x14ac:dyDescent="0.3">
      <c r="A485" t="s">
        <v>24</v>
      </c>
      <c r="B485" t="s">
        <v>541</v>
      </c>
      <c r="C485">
        <v>20.373324674858399</v>
      </c>
      <c r="D485">
        <v>100</v>
      </c>
      <c r="E485">
        <v>838</v>
      </c>
      <c r="F485">
        <v>15365.5614697782</v>
      </c>
      <c r="G485" t="s">
        <v>48</v>
      </c>
      <c r="H485">
        <v>91</v>
      </c>
      <c r="I485">
        <v>20</v>
      </c>
      <c r="J485">
        <v>56</v>
      </c>
      <c r="K485">
        <v>3</v>
      </c>
      <c r="L485" t="s">
        <v>36</v>
      </c>
      <c r="M485">
        <v>3.4448508489442702</v>
      </c>
      <c r="N485" t="s">
        <v>45</v>
      </c>
      <c r="O485" t="s">
        <v>38</v>
      </c>
      <c r="P485">
        <f>VLOOKUP(O485, Coordinates!$A$2:$C$6, 2, FALSE)</f>
        <v>25.761700000000001</v>
      </c>
      <c r="Q485">
        <f>VLOOKUP(O485, Coordinates!$A$2:$C$6, 3, FALSE)</f>
        <v>-80.191800000000001</v>
      </c>
      <c r="R485">
        <v>27</v>
      </c>
      <c r="S485">
        <v>822</v>
      </c>
      <c r="T485">
        <v>5</v>
      </c>
      <c r="U485">
        <v>89.694433407072793</v>
      </c>
      <c r="V485" t="s">
        <v>55</v>
      </c>
      <c r="W485">
        <v>4.7229459868958301</v>
      </c>
      <c r="X485" t="s">
        <v>46</v>
      </c>
      <c r="Y485" t="s">
        <v>60</v>
      </c>
      <c r="Z485">
        <v>827.96283049488795</v>
      </c>
    </row>
    <row r="486" spans="1:26" x14ac:dyDescent="0.3">
      <c r="A486" t="s">
        <v>24</v>
      </c>
      <c r="B486" t="s">
        <v>542</v>
      </c>
      <c r="C486">
        <v>21.6068060644727</v>
      </c>
      <c r="D486">
        <v>22</v>
      </c>
      <c r="E486">
        <v>710</v>
      </c>
      <c r="F486">
        <v>13806.749075198</v>
      </c>
      <c r="G486" t="s">
        <v>35</v>
      </c>
      <c r="H486">
        <v>84</v>
      </c>
      <c r="I486">
        <v>30</v>
      </c>
      <c r="J486">
        <v>40</v>
      </c>
      <c r="K486">
        <v>4</v>
      </c>
      <c r="L486" t="s">
        <v>36</v>
      </c>
      <c r="M486">
        <v>9.9930029110066592</v>
      </c>
      <c r="N486" t="s">
        <v>28</v>
      </c>
      <c r="O486" t="s">
        <v>65</v>
      </c>
      <c r="P486">
        <f>VLOOKUP(O486, Coordinates!$A$2:$C$6, 2, FALSE)</f>
        <v>41.878100000000003</v>
      </c>
      <c r="Q486">
        <f>VLOOKUP(O486, Coordinates!$A$2:$C$6, 3, FALSE)</f>
        <v>-87.629800000000003</v>
      </c>
      <c r="R486">
        <v>8</v>
      </c>
      <c r="S486">
        <v>385</v>
      </c>
      <c r="T486">
        <v>27</v>
      </c>
      <c r="U486">
        <v>83.070848624388205</v>
      </c>
      <c r="V486" t="s">
        <v>30</v>
      </c>
      <c r="W486">
        <v>1.67863599730416</v>
      </c>
      <c r="X486" t="s">
        <v>46</v>
      </c>
      <c r="Y486" t="s">
        <v>60</v>
      </c>
      <c r="Z486">
        <v>438.888277940465</v>
      </c>
    </row>
    <row r="487" spans="1:26" x14ac:dyDescent="0.3">
      <c r="A487" t="s">
        <v>72</v>
      </c>
      <c r="B487" t="s">
        <v>543</v>
      </c>
      <c r="C487">
        <v>21.7902931745821</v>
      </c>
      <c r="D487">
        <v>18</v>
      </c>
      <c r="E487">
        <v>148</v>
      </c>
      <c r="F487">
        <v>2902.46705085433</v>
      </c>
      <c r="G487" t="s">
        <v>35</v>
      </c>
      <c r="H487">
        <v>44</v>
      </c>
      <c r="I487">
        <v>30</v>
      </c>
      <c r="J487">
        <v>48</v>
      </c>
      <c r="K487">
        <v>6</v>
      </c>
      <c r="L487" t="s">
        <v>27</v>
      </c>
      <c r="M487">
        <v>9.3169891609237094</v>
      </c>
      <c r="N487" t="s">
        <v>37</v>
      </c>
      <c r="O487" t="s">
        <v>67</v>
      </c>
      <c r="P487">
        <f>VLOOKUP(O487, Coordinates!$A$2:$C$6, 2, FALSE)</f>
        <v>40.712800000000001</v>
      </c>
      <c r="Q487">
        <f>VLOOKUP(O487, Coordinates!$A$2:$C$6, 3, FALSE)</f>
        <v>-74.006</v>
      </c>
      <c r="R487">
        <v>23</v>
      </c>
      <c r="S487">
        <v>828</v>
      </c>
      <c r="T487">
        <v>2</v>
      </c>
      <c r="U487">
        <v>78.904797626002704</v>
      </c>
      <c r="V487" t="s">
        <v>30</v>
      </c>
      <c r="W487">
        <v>2.3807703595644498</v>
      </c>
      <c r="X487" t="s">
        <v>46</v>
      </c>
      <c r="Y487" t="s">
        <v>32</v>
      </c>
      <c r="Z487">
        <v>261.90671447060799</v>
      </c>
    </row>
    <row r="488" spans="1:26" x14ac:dyDescent="0.3">
      <c r="A488" t="s">
        <v>49</v>
      </c>
      <c r="B488" t="s">
        <v>544</v>
      </c>
      <c r="C488">
        <v>10.613919557434</v>
      </c>
      <c r="D488">
        <v>12</v>
      </c>
      <c r="E488">
        <v>589</v>
      </c>
      <c r="F488">
        <v>5042.3338245899104</v>
      </c>
      <c r="G488" t="s">
        <v>54</v>
      </c>
      <c r="H488">
        <v>95</v>
      </c>
      <c r="I488">
        <v>11</v>
      </c>
      <c r="J488">
        <v>47</v>
      </c>
      <c r="K488">
        <v>7</v>
      </c>
      <c r="L488" t="s">
        <v>27</v>
      </c>
      <c r="M488">
        <v>11.579257526851199</v>
      </c>
      <c r="N488" t="s">
        <v>51</v>
      </c>
      <c r="O488" t="s">
        <v>29</v>
      </c>
      <c r="P488">
        <f>VLOOKUP(O488, Coordinates!$A$2:$C$6, 2, FALSE)</f>
        <v>29.760400000000001</v>
      </c>
      <c r="Q488">
        <f>VLOOKUP(O488, Coordinates!$A$2:$C$6, 3, FALSE)</f>
        <v>-95.369799999999998</v>
      </c>
      <c r="R488">
        <v>7</v>
      </c>
      <c r="S488">
        <v>430</v>
      </c>
      <c r="T488">
        <v>4</v>
      </c>
      <c r="U488">
        <v>68.7515682361839</v>
      </c>
      <c r="V488" t="s">
        <v>39</v>
      </c>
      <c r="W488">
        <v>4.1654644572522503</v>
      </c>
      <c r="X488" t="s">
        <v>52</v>
      </c>
      <c r="Y488" t="s">
        <v>60</v>
      </c>
      <c r="Z488">
        <v>518.44263169999999</v>
      </c>
    </row>
    <row r="489" spans="1:26" x14ac:dyDescent="0.3">
      <c r="A489" t="s">
        <v>82</v>
      </c>
      <c r="B489" t="s">
        <v>545</v>
      </c>
      <c r="C489">
        <v>90.390501880000002</v>
      </c>
      <c r="D489">
        <v>52</v>
      </c>
      <c r="E489">
        <v>672</v>
      </c>
      <c r="F489">
        <v>4961.0869388644196</v>
      </c>
      <c r="G489" t="s">
        <v>26</v>
      </c>
      <c r="H489">
        <v>5</v>
      </c>
      <c r="I489">
        <v>26</v>
      </c>
      <c r="J489">
        <v>88</v>
      </c>
      <c r="K489">
        <v>1</v>
      </c>
      <c r="L489" t="s">
        <v>44</v>
      </c>
      <c r="M489">
        <v>5.1636180971135799</v>
      </c>
      <c r="N489" t="s">
        <v>37</v>
      </c>
      <c r="O489" t="s">
        <v>29</v>
      </c>
      <c r="P489">
        <f>VLOOKUP(O489, Coordinates!$A$2:$C$6, 2, FALSE)</f>
        <v>29.760400000000001</v>
      </c>
      <c r="Q489">
        <f>VLOOKUP(O489, Coordinates!$A$2:$C$6, 3, FALSE)</f>
        <v>-95.369799999999998</v>
      </c>
      <c r="R489">
        <v>24</v>
      </c>
      <c r="S489">
        <v>660</v>
      </c>
      <c r="T489">
        <v>12</v>
      </c>
      <c r="U489">
        <v>43.044323759813601</v>
      </c>
      <c r="V489" t="s">
        <v>30</v>
      </c>
      <c r="W489">
        <v>1.6429270663767499</v>
      </c>
      <c r="X489" t="s">
        <v>52</v>
      </c>
      <c r="Y489" t="s">
        <v>41</v>
      </c>
      <c r="Z489">
        <v>528.84576034465704</v>
      </c>
    </row>
    <row r="490" spans="1:26" x14ac:dyDescent="0.3">
      <c r="A490" t="s">
        <v>61</v>
      </c>
      <c r="B490" t="s">
        <v>546</v>
      </c>
      <c r="C490">
        <v>66.823012019999993</v>
      </c>
      <c r="D490">
        <v>94</v>
      </c>
      <c r="E490">
        <v>593</v>
      </c>
      <c r="F490">
        <v>1820.2360518073599</v>
      </c>
      <c r="G490" t="s">
        <v>54</v>
      </c>
      <c r="H490">
        <v>64</v>
      </c>
      <c r="I490">
        <v>3</v>
      </c>
      <c r="J490">
        <v>56</v>
      </c>
      <c r="K490">
        <v>4</v>
      </c>
      <c r="L490" t="s">
        <v>36</v>
      </c>
      <c r="M490">
        <v>14.0643180496011</v>
      </c>
      <c r="N490" t="s">
        <v>37</v>
      </c>
      <c r="O490" t="s">
        <v>67</v>
      </c>
      <c r="P490">
        <f>VLOOKUP(O490, Coordinates!$A$2:$C$6, 2, FALSE)</f>
        <v>40.712800000000001</v>
      </c>
      <c r="Q490">
        <f>VLOOKUP(O490, Coordinates!$A$2:$C$6, 3, FALSE)</f>
        <v>-74.006</v>
      </c>
      <c r="R490">
        <v>1</v>
      </c>
      <c r="S490">
        <v>262</v>
      </c>
      <c r="T490">
        <v>18</v>
      </c>
      <c r="U490">
        <v>79.748945982797693</v>
      </c>
      <c r="V490" t="s">
        <v>30</v>
      </c>
      <c r="W490">
        <v>1.55289156062273</v>
      </c>
      <c r="X490" t="s">
        <v>46</v>
      </c>
      <c r="Y490" t="s">
        <v>60</v>
      </c>
      <c r="Z490">
        <v>114.584681013694</v>
      </c>
    </row>
    <row r="491" spans="1:26" x14ac:dyDescent="0.3">
      <c r="A491" t="s">
        <v>24</v>
      </c>
      <c r="B491" t="s">
        <v>547</v>
      </c>
      <c r="C491">
        <v>23.789165635897199</v>
      </c>
      <c r="D491">
        <v>51</v>
      </c>
      <c r="E491">
        <v>423</v>
      </c>
      <c r="F491">
        <v>9056.53535758609</v>
      </c>
      <c r="G491" t="s">
        <v>48</v>
      </c>
      <c r="H491">
        <v>20</v>
      </c>
      <c r="I491">
        <v>27</v>
      </c>
      <c r="J491">
        <v>79</v>
      </c>
      <c r="K491">
        <v>7</v>
      </c>
      <c r="L491" t="s">
        <v>36</v>
      </c>
      <c r="M491">
        <v>14.458214971540199</v>
      </c>
      <c r="N491" t="s">
        <v>37</v>
      </c>
      <c r="O491" t="s">
        <v>29</v>
      </c>
      <c r="P491">
        <f>VLOOKUP(O491, Coordinates!$A$2:$C$6, 2, FALSE)</f>
        <v>29.760400000000001</v>
      </c>
      <c r="Q491">
        <f>VLOOKUP(O491, Coordinates!$A$2:$C$6, 3, FALSE)</f>
        <v>-95.369799999999998</v>
      </c>
      <c r="R491">
        <v>15</v>
      </c>
      <c r="S491">
        <v>292</v>
      </c>
      <c r="T491">
        <v>3</v>
      </c>
      <c r="U491">
        <v>82.962924684558203</v>
      </c>
      <c r="V491" t="s">
        <v>30</v>
      </c>
      <c r="W491">
        <v>4.6013162950000002</v>
      </c>
      <c r="X491" t="s">
        <v>52</v>
      </c>
      <c r="Y491" t="s">
        <v>32</v>
      </c>
      <c r="Z491">
        <v>118.799554451836</v>
      </c>
    </row>
    <row r="492" spans="1:26" x14ac:dyDescent="0.3">
      <c r="A492" t="s">
        <v>72</v>
      </c>
      <c r="B492" t="s">
        <v>548</v>
      </c>
      <c r="C492">
        <v>21.885520271744902</v>
      </c>
      <c r="D492">
        <v>71</v>
      </c>
      <c r="E492">
        <v>685</v>
      </c>
      <c r="F492">
        <v>13492.4232475307</v>
      </c>
      <c r="G492" t="s">
        <v>35</v>
      </c>
      <c r="H492">
        <v>3</v>
      </c>
      <c r="I492">
        <v>2</v>
      </c>
      <c r="J492">
        <v>17</v>
      </c>
      <c r="K492">
        <v>2</v>
      </c>
      <c r="L492" t="s">
        <v>27</v>
      </c>
      <c r="M492">
        <v>13.1537305570989</v>
      </c>
      <c r="N492" t="s">
        <v>51</v>
      </c>
      <c r="O492" t="s">
        <v>29</v>
      </c>
      <c r="P492">
        <f>VLOOKUP(O492, Coordinates!$A$2:$C$6, 2, FALSE)</f>
        <v>29.760400000000001</v>
      </c>
      <c r="Q492">
        <f>VLOOKUP(O492, Coordinates!$A$2:$C$6, 3, FALSE)</f>
        <v>-95.369799999999998</v>
      </c>
      <c r="R492">
        <v>15</v>
      </c>
      <c r="S492">
        <v>244</v>
      </c>
      <c r="T492">
        <v>21</v>
      </c>
      <c r="U492">
        <v>76.391300117737998</v>
      </c>
      <c r="V492" t="s">
        <v>30</v>
      </c>
      <c r="W492">
        <v>0.395171727005867</v>
      </c>
      <c r="X492" t="s">
        <v>46</v>
      </c>
      <c r="Y492" t="s">
        <v>32</v>
      </c>
      <c r="Z492">
        <v>349.87492019295399</v>
      </c>
    </row>
    <row r="493" spans="1:26" x14ac:dyDescent="0.3">
      <c r="A493" t="s">
        <v>42</v>
      </c>
      <c r="B493" t="s">
        <v>549</v>
      </c>
      <c r="C493">
        <v>21.062701683819199</v>
      </c>
      <c r="D493">
        <v>96</v>
      </c>
      <c r="E493">
        <v>977</v>
      </c>
      <c r="F493">
        <v>2772.5826718784901</v>
      </c>
      <c r="G493" t="s">
        <v>48</v>
      </c>
      <c r="H493">
        <v>2</v>
      </c>
      <c r="I493">
        <v>16</v>
      </c>
      <c r="J493">
        <v>95</v>
      </c>
      <c r="K493">
        <v>1</v>
      </c>
      <c r="L493" t="s">
        <v>27</v>
      </c>
      <c r="M493">
        <v>9.0084727262475806</v>
      </c>
      <c r="N493" t="s">
        <v>57</v>
      </c>
      <c r="O493" t="s">
        <v>29</v>
      </c>
      <c r="P493">
        <f>VLOOKUP(O493, Coordinates!$A$2:$C$6, 2, FALSE)</f>
        <v>29.760400000000001</v>
      </c>
      <c r="Q493">
        <f>VLOOKUP(O493, Coordinates!$A$2:$C$6, 3, FALSE)</f>
        <v>-95.369799999999998</v>
      </c>
      <c r="R493">
        <v>28</v>
      </c>
      <c r="S493">
        <v>770</v>
      </c>
      <c r="T493">
        <v>25</v>
      </c>
      <c r="U493">
        <v>96.849067975681507</v>
      </c>
      <c r="V493" t="s">
        <v>39</v>
      </c>
      <c r="W493">
        <v>2.7576060735749701</v>
      </c>
      <c r="X493" t="s">
        <v>52</v>
      </c>
      <c r="Y493" t="s">
        <v>41</v>
      </c>
      <c r="Z493">
        <v>767.09873872366995</v>
      </c>
    </row>
    <row r="494" spans="1:26" x14ac:dyDescent="0.3">
      <c r="A494" t="s">
        <v>72</v>
      </c>
      <c r="B494" t="s">
        <v>550</v>
      </c>
      <c r="C494">
        <v>22.132076353842301</v>
      </c>
      <c r="D494">
        <v>48</v>
      </c>
      <c r="E494">
        <v>803</v>
      </c>
      <c r="F494">
        <v>15994.851580921801</v>
      </c>
      <c r="G494" t="s">
        <v>26</v>
      </c>
      <c r="H494">
        <v>29</v>
      </c>
      <c r="I494">
        <v>3</v>
      </c>
      <c r="J494">
        <v>74</v>
      </c>
      <c r="K494">
        <v>1</v>
      </c>
      <c r="L494" t="s">
        <v>36</v>
      </c>
      <c r="M494">
        <v>6.8840357892588999</v>
      </c>
      <c r="N494" t="s">
        <v>37</v>
      </c>
      <c r="O494" t="s">
        <v>38</v>
      </c>
      <c r="P494">
        <f>VLOOKUP(O494, Coordinates!$A$2:$C$6, 2, FALSE)</f>
        <v>25.761700000000001</v>
      </c>
      <c r="Q494">
        <f>VLOOKUP(O494, Coordinates!$A$2:$C$6, 3, FALSE)</f>
        <v>-80.191800000000001</v>
      </c>
      <c r="R494">
        <v>19</v>
      </c>
      <c r="S494">
        <v>937</v>
      </c>
      <c r="T494">
        <v>19</v>
      </c>
      <c r="U494">
        <v>94.441484584936703</v>
      </c>
      <c r="V494" t="s">
        <v>55</v>
      </c>
      <c r="W494">
        <v>2.5211963492405101</v>
      </c>
      <c r="X494" t="s">
        <v>52</v>
      </c>
      <c r="Y494" t="s">
        <v>41</v>
      </c>
      <c r="Z494">
        <v>429.39126867856498</v>
      </c>
    </row>
    <row r="495" spans="1:26" x14ac:dyDescent="0.3">
      <c r="A495" t="s">
        <v>61</v>
      </c>
      <c r="B495" t="s">
        <v>551</v>
      </c>
      <c r="C495">
        <v>41.0527758205982</v>
      </c>
      <c r="D495">
        <v>19</v>
      </c>
      <c r="E495">
        <v>89</v>
      </c>
      <c r="F495">
        <v>3050.0050745602098</v>
      </c>
      <c r="G495" t="s">
        <v>54</v>
      </c>
      <c r="H495">
        <v>30</v>
      </c>
      <c r="I495">
        <v>24</v>
      </c>
      <c r="J495">
        <v>22</v>
      </c>
      <c r="K495">
        <v>10</v>
      </c>
      <c r="L495" t="s">
        <v>36</v>
      </c>
      <c r="M495">
        <v>1.8118938599793599</v>
      </c>
      <c r="N495" t="s">
        <v>57</v>
      </c>
      <c r="O495" t="s">
        <v>58</v>
      </c>
      <c r="P495">
        <f>VLOOKUP(O495, Coordinates!$A$2:$C$6, 2, FALSE)</f>
        <v>34.052199999999999</v>
      </c>
      <c r="Q495">
        <f>VLOOKUP(O495, Coordinates!$A$2:$C$6, 3, FALSE)</f>
        <v>-118.2437</v>
      </c>
      <c r="R495">
        <v>4</v>
      </c>
      <c r="S495">
        <v>791</v>
      </c>
      <c r="T495">
        <v>26</v>
      </c>
      <c r="U495">
        <v>89.035189409776606</v>
      </c>
      <c r="V495" t="s">
        <v>55</v>
      </c>
      <c r="W495">
        <v>0.28667380111255097</v>
      </c>
      <c r="X495" t="s">
        <v>46</v>
      </c>
      <c r="Y495" t="s">
        <v>41</v>
      </c>
      <c r="Z495">
        <v>290.08394737730401</v>
      </c>
    </row>
    <row r="496" spans="1:26" x14ac:dyDescent="0.3">
      <c r="A496" t="s">
        <v>61</v>
      </c>
      <c r="B496" t="s">
        <v>552</v>
      </c>
      <c r="C496">
        <v>26.5393863777335</v>
      </c>
      <c r="D496">
        <v>6</v>
      </c>
      <c r="E496">
        <v>420</v>
      </c>
      <c r="F496">
        <v>6254.72440577213</v>
      </c>
      <c r="G496" t="s">
        <v>26</v>
      </c>
      <c r="H496">
        <v>33</v>
      </c>
      <c r="I496">
        <v>15</v>
      </c>
      <c r="J496">
        <v>64</v>
      </c>
      <c r="K496">
        <v>6</v>
      </c>
      <c r="L496" t="s">
        <v>27</v>
      </c>
      <c r="M496">
        <v>14.261189220453801</v>
      </c>
      <c r="N496" t="s">
        <v>28</v>
      </c>
      <c r="O496" t="s">
        <v>38</v>
      </c>
      <c r="P496">
        <f>VLOOKUP(O496, Coordinates!$A$2:$C$6, 2, FALSE)</f>
        <v>25.761700000000001</v>
      </c>
      <c r="Q496">
        <f>VLOOKUP(O496, Coordinates!$A$2:$C$6, 3, FALSE)</f>
        <v>-80.191800000000001</v>
      </c>
      <c r="R496">
        <v>27</v>
      </c>
      <c r="S496">
        <v>637</v>
      </c>
      <c r="T496">
        <v>22</v>
      </c>
      <c r="U496">
        <v>19.3524791744894</v>
      </c>
      <c r="V496" t="s">
        <v>55</v>
      </c>
      <c r="W496">
        <v>0.43879610259655299</v>
      </c>
      <c r="X496" t="s">
        <v>31</v>
      </c>
      <c r="Y496" t="s">
        <v>41</v>
      </c>
      <c r="Z496">
        <v>201.67717308098801</v>
      </c>
    </row>
    <row r="497" spans="1:26" x14ac:dyDescent="0.3">
      <c r="A497" t="s">
        <v>72</v>
      </c>
      <c r="B497" t="s">
        <v>553</v>
      </c>
      <c r="C497">
        <v>32.737811907617697</v>
      </c>
      <c r="D497">
        <v>84</v>
      </c>
      <c r="E497">
        <v>698</v>
      </c>
      <c r="F497">
        <v>20565.893440365398</v>
      </c>
      <c r="G497" t="s">
        <v>48</v>
      </c>
      <c r="H497">
        <v>82</v>
      </c>
      <c r="I497">
        <v>17</v>
      </c>
      <c r="J497">
        <v>97</v>
      </c>
      <c r="K497">
        <v>5</v>
      </c>
      <c r="L497" t="s">
        <v>27</v>
      </c>
      <c r="M497">
        <v>14.3249388117771</v>
      </c>
      <c r="N497" t="s">
        <v>28</v>
      </c>
      <c r="O497" t="s">
        <v>67</v>
      </c>
      <c r="P497">
        <f>VLOOKUP(O497, Coordinates!$A$2:$C$6, 2, FALSE)</f>
        <v>40.712800000000001</v>
      </c>
      <c r="Q497">
        <f>VLOOKUP(O497, Coordinates!$A$2:$C$6, 3, FALSE)</f>
        <v>-74.006</v>
      </c>
      <c r="R497">
        <v>6</v>
      </c>
      <c r="S497">
        <v>711</v>
      </c>
      <c r="T497">
        <v>4</v>
      </c>
      <c r="U497">
        <v>76.324668173379493</v>
      </c>
      <c r="V497" t="s">
        <v>30</v>
      </c>
      <c r="W497">
        <v>1.9098371648900201</v>
      </c>
      <c r="X497" t="s">
        <v>52</v>
      </c>
      <c r="Y497" t="s">
        <v>41</v>
      </c>
      <c r="Z497">
        <v>352.47000518330202</v>
      </c>
    </row>
    <row r="498" spans="1:26" x14ac:dyDescent="0.3">
      <c r="A498" t="s">
        <v>82</v>
      </c>
      <c r="B498" t="s">
        <v>554</v>
      </c>
      <c r="C498">
        <v>17.240627640024201</v>
      </c>
      <c r="D498">
        <v>27</v>
      </c>
      <c r="E498">
        <v>486</v>
      </c>
      <c r="F498">
        <v>5040.2055033351098</v>
      </c>
      <c r="G498" t="s">
        <v>54</v>
      </c>
      <c r="H498">
        <v>19</v>
      </c>
      <c r="I498">
        <v>16</v>
      </c>
      <c r="J498">
        <v>94</v>
      </c>
      <c r="K498">
        <v>1</v>
      </c>
      <c r="L498" t="s">
        <v>27</v>
      </c>
      <c r="M498">
        <v>1.26163836971557</v>
      </c>
      <c r="N498" t="s">
        <v>28</v>
      </c>
      <c r="O498" t="s">
        <v>38</v>
      </c>
      <c r="P498">
        <f>VLOOKUP(O498, Coordinates!$A$2:$C$6, 2, FALSE)</f>
        <v>25.761700000000001</v>
      </c>
      <c r="Q498">
        <f>VLOOKUP(O498, Coordinates!$A$2:$C$6, 3, FALSE)</f>
        <v>-80.191800000000001</v>
      </c>
      <c r="R498">
        <v>10</v>
      </c>
      <c r="S498">
        <v>722</v>
      </c>
      <c r="T498">
        <v>4</v>
      </c>
      <c r="U498">
        <v>38.891717148933203</v>
      </c>
      <c r="V498" t="s">
        <v>55</v>
      </c>
      <c r="W498">
        <v>0.67080609672390401</v>
      </c>
      <c r="X498" t="s">
        <v>46</v>
      </c>
      <c r="Y498" t="s">
        <v>60</v>
      </c>
      <c r="Z498">
        <v>533.29529844842602</v>
      </c>
    </row>
    <row r="499" spans="1:26" x14ac:dyDescent="0.3">
      <c r="A499" t="s">
        <v>33</v>
      </c>
      <c r="B499" t="s">
        <v>555</v>
      </c>
      <c r="C499">
        <v>44.212307280272398</v>
      </c>
      <c r="D499">
        <v>53</v>
      </c>
      <c r="E499">
        <v>460</v>
      </c>
      <c r="F499">
        <v>5834.5238939999999</v>
      </c>
      <c r="G499" t="s">
        <v>26</v>
      </c>
      <c r="H499">
        <v>86</v>
      </c>
      <c r="I499">
        <v>20</v>
      </c>
      <c r="J499">
        <v>52</v>
      </c>
      <c r="K499">
        <v>10</v>
      </c>
      <c r="L499" t="s">
        <v>44</v>
      </c>
      <c r="M499">
        <v>5.9964256529700801</v>
      </c>
      <c r="N499" t="s">
        <v>45</v>
      </c>
      <c r="O499" t="s">
        <v>38</v>
      </c>
      <c r="P499">
        <f>VLOOKUP(O499, Coordinates!$A$2:$C$6, 2, FALSE)</f>
        <v>25.761700000000001</v>
      </c>
      <c r="Q499">
        <f>VLOOKUP(O499, Coordinates!$A$2:$C$6, 3, FALSE)</f>
        <v>-80.191800000000001</v>
      </c>
      <c r="R499">
        <v>25</v>
      </c>
      <c r="S499">
        <v>369</v>
      </c>
      <c r="T499">
        <v>16</v>
      </c>
      <c r="U499">
        <v>37.253993610000002</v>
      </c>
      <c r="V499" t="s">
        <v>55</v>
      </c>
      <c r="W499">
        <v>4.3437370746762998</v>
      </c>
      <c r="X499" t="s">
        <v>46</v>
      </c>
      <c r="Y499" t="s">
        <v>60</v>
      </c>
      <c r="Z499">
        <v>184.041523959991</v>
      </c>
    </row>
    <row r="500" spans="1:26" x14ac:dyDescent="0.3">
      <c r="A500" t="s">
        <v>61</v>
      </c>
      <c r="B500" t="s">
        <v>556</v>
      </c>
      <c r="C500">
        <v>81.223661269999994</v>
      </c>
      <c r="D500">
        <v>48</v>
      </c>
      <c r="E500">
        <v>831</v>
      </c>
      <c r="F500">
        <v>2831.81970233624</v>
      </c>
      <c r="G500" t="s">
        <v>48</v>
      </c>
      <c r="H500">
        <v>53</v>
      </c>
      <c r="I500">
        <v>7</v>
      </c>
      <c r="J500">
        <v>13</v>
      </c>
      <c r="K500">
        <v>3</v>
      </c>
      <c r="L500" t="s">
        <v>44</v>
      </c>
      <c r="M500">
        <v>13.3205091556156</v>
      </c>
      <c r="N500" t="s">
        <v>51</v>
      </c>
      <c r="O500" t="s">
        <v>65</v>
      </c>
      <c r="P500">
        <f>VLOOKUP(O500, Coordinates!$A$2:$C$6, 2, FALSE)</f>
        <v>41.878100000000003</v>
      </c>
      <c r="Q500">
        <f>VLOOKUP(O500, Coordinates!$A$2:$C$6, 3, FALSE)</f>
        <v>-87.629800000000003</v>
      </c>
      <c r="R500">
        <v>26</v>
      </c>
      <c r="S500">
        <v>150</v>
      </c>
      <c r="T500">
        <v>11</v>
      </c>
      <c r="U500">
        <v>25.467504093867799</v>
      </c>
      <c r="V500" t="s">
        <v>55</v>
      </c>
      <c r="W500">
        <v>3.0444444270358901</v>
      </c>
      <c r="X500" t="s">
        <v>52</v>
      </c>
      <c r="Y500" t="s">
        <v>32</v>
      </c>
      <c r="Z500">
        <v>113.440541312501</v>
      </c>
    </row>
    <row r="501" spans="1:26" x14ac:dyDescent="0.3">
      <c r="A501" t="s">
        <v>72</v>
      </c>
      <c r="B501" t="s">
        <v>557</v>
      </c>
      <c r="C501">
        <v>22.366943649472301</v>
      </c>
      <c r="D501">
        <v>7</v>
      </c>
      <c r="E501">
        <v>301</v>
      </c>
      <c r="F501">
        <v>6059.2050346420601</v>
      </c>
      <c r="G501" t="s">
        <v>26</v>
      </c>
      <c r="H501">
        <v>24</v>
      </c>
      <c r="I501">
        <v>16</v>
      </c>
      <c r="J501">
        <v>80</v>
      </c>
      <c r="K501">
        <v>7</v>
      </c>
      <c r="L501" t="s">
        <v>27</v>
      </c>
      <c r="M501">
        <v>2.13192846255465</v>
      </c>
      <c r="N501" t="s">
        <v>57</v>
      </c>
      <c r="O501" t="s">
        <v>67</v>
      </c>
      <c r="P501">
        <f>VLOOKUP(O501, Coordinates!$A$2:$C$6, 2, FALSE)</f>
        <v>40.712800000000001</v>
      </c>
      <c r="Q501">
        <f>VLOOKUP(O501, Coordinates!$A$2:$C$6, 3, FALSE)</f>
        <v>-74.006</v>
      </c>
      <c r="R501">
        <v>25</v>
      </c>
      <c r="S501">
        <v>626</v>
      </c>
      <c r="T501">
        <v>29</v>
      </c>
      <c r="U501">
        <v>79.037817070001495</v>
      </c>
      <c r="V501" t="s">
        <v>30</v>
      </c>
      <c r="W501">
        <v>3.4569834225148801</v>
      </c>
      <c r="X501" t="s">
        <v>52</v>
      </c>
      <c r="Y501" t="s">
        <v>60</v>
      </c>
      <c r="Z501">
        <v>214.576337730419</v>
      </c>
    </row>
    <row r="502" spans="1:26" x14ac:dyDescent="0.3">
      <c r="A502" t="s">
        <v>24</v>
      </c>
      <c r="B502" t="s">
        <v>558</v>
      </c>
      <c r="C502">
        <v>29.300656332061301</v>
      </c>
      <c r="D502">
        <v>59</v>
      </c>
      <c r="E502">
        <v>116</v>
      </c>
      <c r="F502">
        <v>3058.9885210672001</v>
      </c>
      <c r="G502" t="s">
        <v>35</v>
      </c>
      <c r="H502">
        <v>14</v>
      </c>
      <c r="I502">
        <v>5</v>
      </c>
      <c r="J502">
        <v>69</v>
      </c>
      <c r="K502">
        <v>8</v>
      </c>
      <c r="L502" t="s">
        <v>44</v>
      </c>
      <c r="M502">
        <v>3.7519292739429</v>
      </c>
      <c r="N502" t="s">
        <v>45</v>
      </c>
      <c r="O502" t="s">
        <v>38</v>
      </c>
      <c r="P502">
        <f>VLOOKUP(O502, Coordinates!$A$2:$C$6, 2, FALSE)</f>
        <v>25.761700000000001</v>
      </c>
      <c r="Q502">
        <f>VLOOKUP(O502, Coordinates!$A$2:$C$6, 3, FALSE)</f>
        <v>-80.191800000000001</v>
      </c>
      <c r="R502">
        <v>27</v>
      </c>
      <c r="S502">
        <v>227</v>
      </c>
      <c r="T502">
        <v>26</v>
      </c>
      <c r="U502">
        <v>83.560632728717493</v>
      </c>
      <c r="V502" t="s">
        <v>39</v>
      </c>
      <c r="W502">
        <v>3.6671243450284998</v>
      </c>
      <c r="X502" t="s">
        <v>46</v>
      </c>
      <c r="Y502" t="s">
        <v>41</v>
      </c>
      <c r="Z502">
        <v>962.89331549999997</v>
      </c>
    </row>
    <row r="503" spans="1:26" x14ac:dyDescent="0.3">
      <c r="A503" t="s">
        <v>72</v>
      </c>
      <c r="B503" t="s">
        <v>559</v>
      </c>
      <c r="C503">
        <v>21.2625839177126</v>
      </c>
      <c r="D503">
        <v>69</v>
      </c>
      <c r="E503">
        <v>966</v>
      </c>
      <c r="F503">
        <v>18485.6904580593</v>
      </c>
      <c r="G503" t="s">
        <v>54</v>
      </c>
      <c r="H503">
        <v>37</v>
      </c>
      <c r="I503">
        <v>2</v>
      </c>
      <c r="J503">
        <v>21</v>
      </c>
      <c r="K503">
        <v>9</v>
      </c>
      <c r="L503" t="s">
        <v>36</v>
      </c>
      <c r="M503">
        <v>14.701482435474199</v>
      </c>
      <c r="N503" t="s">
        <v>57</v>
      </c>
      <c r="O503" t="s">
        <v>67</v>
      </c>
      <c r="P503">
        <f>VLOOKUP(O503, Coordinates!$A$2:$C$6, 2, FALSE)</f>
        <v>40.712800000000001</v>
      </c>
      <c r="Q503">
        <f>VLOOKUP(O503, Coordinates!$A$2:$C$6, 3, FALSE)</f>
        <v>-74.006</v>
      </c>
      <c r="R503">
        <v>6</v>
      </c>
      <c r="S503">
        <v>751</v>
      </c>
      <c r="T503">
        <v>26</v>
      </c>
      <c r="U503">
        <v>93.668116593504706</v>
      </c>
      <c r="V503" t="s">
        <v>39</v>
      </c>
      <c r="W503">
        <v>1.8983000794665601</v>
      </c>
      <c r="X503" t="s">
        <v>46</v>
      </c>
      <c r="Y503" t="s">
        <v>41</v>
      </c>
      <c r="Z503">
        <v>519.678763643504</v>
      </c>
    </row>
    <row r="504" spans="1:26" x14ac:dyDescent="0.3">
      <c r="A504" t="s">
        <v>49</v>
      </c>
      <c r="B504" t="s">
        <v>560</v>
      </c>
      <c r="C504">
        <v>7.5816265286301903</v>
      </c>
      <c r="D504">
        <v>11</v>
      </c>
      <c r="E504">
        <v>234</v>
      </c>
      <c r="F504">
        <v>4708.8424866928499</v>
      </c>
      <c r="G504" t="s">
        <v>54</v>
      </c>
      <c r="H504">
        <v>22</v>
      </c>
      <c r="I504">
        <v>1</v>
      </c>
      <c r="J504">
        <v>68</v>
      </c>
      <c r="K504">
        <v>6</v>
      </c>
      <c r="L504" t="s">
        <v>36</v>
      </c>
      <c r="M504">
        <v>12.8620433696848</v>
      </c>
      <c r="N504" t="s">
        <v>51</v>
      </c>
      <c r="O504" t="s">
        <v>38</v>
      </c>
      <c r="P504">
        <f>VLOOKUP(O504, Coordinates!$A$2:$C$6, 2, FALSE)</f>
        <v>25.761700000000001</v>
      </c>
      <c r="Q504">
        <f>VLOOKUP(O504, Coordinates!$A$2:$C$6, 3, FALSE)</f>
        <v>-80.191800000000001</v>
      </c>
      <c r="R504">
        <v>25</v>
      </c>
      <c r="S504">
        <v>853</v>
      </c>
      <c r="T504">
        <v>13</v>
      </c>
      <c r="U504">
        <v>62.512513011113199</v>
      </c>
      <c r="V504" t="s">
        <v>30</v>
      </c>
      <c r="W504">
        <v>0.64879313302317698</v>
      </c>
      <c r="X504" t="s">
        <v>46</v>
      </c>
      <c r="Y504" t="s">
        <v>32</v>
      </c>
      <c r="Z504">
        <v>500.65052056096403</v>
      </c>
    </row>
    <row r="505" spans="1:26" x14ac:dyDescent="0.3">
      <c r="A505" t="s">
        <v>33</v>
      </c>
      <c r="B505" t="s">
        <v>561</v>
      </c>
      <c r="C505">
        <v>96.7931240171458</v>
      </c>
      <c r="D505">
        <v>15</v>
      </c>
      <c r="E505">
        <v>874</v>
      </c>
      <c r="F505">
        <v>1320.50935245557</v>
      </c>
      <c r="G505" t="s">
        <v>54</v>
      </c>
      <c r="H505">
        <v>0</v>
      </c>
      <c r="I505">
        <v>22</v>
      </c>
      <c r="J505">
        <v>86</v>
      </c>
      <c r="K505">
        <v>3</v>
      </c>
      <c r="L505" t="s">
        <v>27</v>
      </c>
      <c r="M505">
        <v>13.7688889171726</v>
      </c>
      <c r="N505" t="s">
        <v>37</v>
      </c>
      <c r="O505" t="s">
        <v>67</v>
      </c>
      <c r="P505">
        <f>VLOOKUP(O505, Coordinates!$A$2:$C$6, 2, FALSE)</f>
        <v>40.712800000000001</v>
      </c>
      <c r="Q505">
        <f>VLOOKUP(O505, Coordinates!$A$2:$C$6, 3, FALSE)</f>
        <v>-74.006</v>
      </c>
      <c r="R505">
        <v>14</v>
      </c>
      <c r="S505">
        <v>145</v>
      </c>
      <c r="T505">
        <v>21</v>
      </c>
      <c r="U505">
        <v>22.455517208037602</v>
      </c>
      <c r="V505" t="s">
        <v>55</v>
      </c>
      <c r="W505">
        <v>1.2374270740353801</v>
      </c>
      <c r="X505" t="s">
        <v>40</v>
      </c>
      <c r="Y505" t="s">
        <v>41</v>
      </c>
      <c r="Z505">
        <v>117.777362511034</v>
      </c>
    </row>
    <row r="506" spans="1:26" x14ac:dyDescent="0.3">
      <c r="A506" t="s">
        <v>42</v>
      </c>
      <c r="B506" t="s">
        <v>562</v>
      </c>
      <c r="C506">
        <v>17.108126145172498</v>
      </c>
      <c r="D506">
        <v>64</v>
      </c>
      <c r="E506">
        <v>954</v>
      </c>
      <c r="F506">
        <v>5481.7867232865301</v>
      </c>
      <c r="G506" t="s">
        <v>35</v>
      </c>
      <c r="H506">
        <v>65</v>
      </c>
      <c r="I506">
        <v>29</v>
      </c>
      <c r="J506">
        <v>63</v>
      </c>
      <c r="K506">
        <v>1</v>
      </c>
      <c r="L506" t="s">
        <v>36</v>
      </c>
      <c r="M506">
        <v>2.9901618611744398</v>
      </c>
      <c r="N506" t="s">
        <v>45</v>
      </c>
      <c r="O506" t="s">
        <v>38</v>
      </c>
      <c r="P506">
        <f>VLOOKUP(O506, Coordinates!$A$2:$C$6, 2, FALSE)</f>
        <v>25.761700000000001</v>
      </c>
      <c r="Q506">
        <f>VLOOKUP(O506, Coordinates!$A$2:$C$6, 3, FALSE)</f>
        <v>-80.191800000000001</v>
      </c>
      <c r="R506">
        <v>29</v>
      </c>
      <c r="S506">
        <v>333</v>
      </c>
      <c r="T506">
        <v>11</v>
      </c>
      <c r="U506">
        <v>59.131423885056101</v>
      </c>
      <c r="V506" t="s">
        <v>55</v>
      </c>
      <c r="W506">
        <v>4.9034026125969703</v>
      </c>
      <c r="X506" t="s">
        <v>52</v>
      </c>
      <c r="Y506" t="s">
        <v>32</v>
      </c>
      <c r="Z506">
        <v>739.85003259999996</v>
      </c>
    </row>
    <row r="507" spans="1:26" x14ac:dyDescent="0.3">
      <c r="A507" t="s">
        <v>82</v>
      </c>
      <c r="B507" t="s">
        <v>563</v>
      </c>
      <c r="C507">
        <v>72.230391001408705</v>
      </c>
      <c r="D507">
        <v>3</v>
      </c>
      <c r="E507">
        <v>684</v>
      </c>
      <c r="F507">
        <v>5987.5274944989997</v>
      </c>
      <c r="G507" t="s">
        <v>54</v>
      </c>
      <c r="H507">
        <v>56</v>
      </c>
      <c r="I507">
        <v>13</v>
      </c>
      <c r="J507">
        <v>53</v>
      </c>
      <c r="K507">
        <v>3</v>
      </c>
      <c r="L507" t="s">
        <v>36</v>
      </c>
      <c r="M507">
        <v>3.9584234255358202</v>
      </c>
      <c r="N507" t="s">
        <v>51</v>
      </c>
      <c r="O507" t="s">
        <v>29</v>
      </c>
      <c r="P507">
        <f>VLOOKUP(O507, Coordinates!$A$2:$C$6, 2, FALSE)</f>
        <v>29.760400000000001</v>
      </c>
      <c r="Q507">
        <f>VLOOKUP(O507, Coordinates!$A$2:$C$6, 3, FALSE)</f>
        <v>-95.369799999999998</v>
      </c>
      <c r="R507">
        <v>13</v>
      </c>
      <c r="S507">
        <v>547</v>
      </c>
      <c r="T507">
        <v>7</v>
      </c>
      <c r="U507">
        <v>99.419063300000005</v>
      </c>
      <c r="V507" t="s">
        <v>30</v>
      </c>
      <c r="W507">
        <v>4.6205724170115001</v>
      </c>
      <c r="X507" t="s">
        <v>40</v>
      </c>
      <c r="Y507" t="s">
        <v>60</v>
      </c>
      <c r="Z507">
        <v>281.71800042397899</v>
      </c>
    </row>
    <row r="508" spans="1:26" x14ac:dyDescent="0.3">
      <c r="A508" t="s">
        <v>42</v>
      </c>
      <c r="B508" t="s">
        <v>564</v>
      </c>
      <c r="C508">
        <v>97.413750674748101</v>
      </c>
      <c r="D508">
        <v>69</v>
      </c>
      <c r="E508">
        <v>382</v>
      </c>
      <c r="F508">
        <v>6029.56783859199</v>
      </c>
      <c r="G508" t="s">
        <v>35</v>
      </c>
      <c r="H508">
        <v>56</v>
      </c>
      <c r="I508">
        <v>16</v>
      </c>
      <c r="J508">
        <v>25</v>
      </c>
      <c r="K508">
        <v>10</v>
      </c>
      <c r="L508" t="s">
        <v>36</v>
      </c>
      <c r="M508">
        <v>9.4758321809244794</v>
      </c>
      <c r="N508" t="s">
        <v>45</v>
      </c>
      <c r="O508" t="s">
        <v>38</v>
      </c>
      <c r="P508">
        <f>VLOOKUP(O508, Coordinates!$A$2:$C$6, 2, FALSE)</f>
        <v>25.761700000000001</v>
      </c>
      <c r="Q508">
        <f>VLOOKUP(O508, Coordinates!$A$2:$C$6, 3, FALSE)</f>
        <v>-80.191800000000001</v>
      </c>
      <c r="R508">
        <v>25</v>
      </c>
      <c r="S508">
        <v>683</v>
      </c>
      <c r="T508">
        <v>27</v>
      </c>
      <c r="U508">
        <v>60.865451838934703</v>
      </c>
      <c r="V508" t="s">
        <v>55</v>
      </c>
      <c r="W508">
        <v>4.9825861059598804</v>
      </c>
      <c r="X508" t="s">
        <v>46</v>
      </c>
      <c r="Y508" t="s">
        <v>60</v>
      </c>
      <c r="Z508">
        <v>181.77895836244599</v>
      </c>
    </row>
    <row r="509" spans="1:26" x14ac:dyDescent="0.3">
      <c r="A509" t="s">
        <v>33</v>
      </c>
      <c r="B509" t="s">
        <v>565</v>
      </c>
      <c r="C509">
        <v>83.473709908324295</v>
      </c>
      <c r="D509">
        <v>23</v>
      </c>
      <c r="E509">
        <v>160</v>
      </c>
      <c r="F509">
        <v>7363.2805239059498</v>
      </c>
      <c r="G509" t="s">
        <v>54</v>
      </c>
      <c r="H509">
        <v>78</v>
      </c>
      <c r="I509">
        <v>5</v>
      </c>
      <c r="J509">
        <v>15</v>
      </c>
      <c r="K509">
        <v>2</v>
      </c>
      <c r="L509" t="s">
        <v>36</v>
      </c>
      <c r="M509">
        <v>8.0243350940377791</v>
      </c>
      <c r="N509" t="s">
        <v>28</v>
      </c>
      <c r="O509" t="s">
        <v>29</v>
      </c>
      <c r="P509">
        <f>VLOOKUP(O509, Coordinates!$A$2:$C$6, 2, FALSE)</f>
        <v>29.760400000000001</v>
      </c>
      <c r="Q509">
        <f>VLOOKUP(O509, Coordinates!$A$2:$C$6, 3, FALSE)</f>
        <v>-95.369799999999998</v>
      </c>
      <c r="R509">
        <v>22</v>
      </c>
      <c r="S509">
        <v>542</v>
      </c>
      <c r="T509">
        <v>14</v>
      </c>
      <c r="U509">
        <v>10.1682410616606</v>
      </c>
      <c r="V509" t="s">
        <v>30</v>
      </c>
      <c r="W509">
        <v>2.06672115466327</v>
      </c>
      <c r="X509" t="s">
        <v>40</v>
      </c>
      <c r="Y509" t="s">
        <v>60</v>
      </c>
      <c r="Z509">
        <v>857.829614010196</v>
      </c>
    </row>
    <row r="510" spans="1:26" x14ac:dyDescent="0.3">
      <c r="A510" t="s">
        <v>33</v>
      </c>
      <c r="B510" t="s">
        <v>566</v>
      </c>
      <c r="C510">
        <v>71.434960636989302</v>
      </c>
      <c r="D510">
        <v>53</v>
      </c>
      <c r="E510">
        <v>425</v>
      </c>
      <c r="F510">
        <v>2597.3365149191</v>
      </c>
      <c r="G510" t="s">
        <v>26</v>
      </c>
      <c r="H510">
        <v>51</v>
      </c>
      <c r="I510">
        <v>3</v>
      </c>
      <c r="J510">
        <v>23</v>
      </c>
      <c r="K510">
        <v>5</v>
      </c>
      <c r="L510" t="s">
        <v>36</v>
      </c>
      <c r="M510">
        <v>5.1790474676586804</v>
      </c>
      <c r="N510" t="s">
        <v>45</v>
      </c>
      <c r="O510" t="s">
        <v>38</v>
      </c>
      <c r="P510">
        <f>VLOOKUP(O510, Coordinates!$A$2:$C$6, 2, FALSE)</f>
        <v>25.761700000000001</v>
      </c>
      <c r="Q510">
        <f>VLOOKUP(O510, Coordinates!$A$2:$C$6, 3, FALSE)</f>
        <v>-80.191800000000001</v>
      </c>
      <c r="R510">
        <v>27</v>
      </c>
      <c r="S510">
        <v>602</v>
      </c>
      <c r="T510">
        <v>4</v>
      </c>
      <c r="U510">
        <v>93.977191323137703</v>
      </c>
      <c r="V510" t="s">
        <v>39</v>
      </c>
      <c r="W510">
        <v>4.3065086955538296</v>
      </c>
      <c r="X510" t="s">
        <v>31</v>
      </c>
      <c r="Y510" t="s">
        <v>32</v>
      </c>
      <c r="Z510">
        <v>537.04716014217604</v>
      </c>
    </row>
    <row r="511" spans="1:26" x14ac:dyDescent="0.3">
      <c r="A511" t="s">
        <v>33</v>
      </c>
      <c r="B511" t="s">
        <v>567</v>
      </c>
      <c r="C511">
        <v>84.748786402572804</v>
      </c>
      <c r="D511">
        <v>37</v>
      </c>
      <c r="E511">
        <v>109</v>
      </c>
      <c r="F511">
        <v>3270.0082080755601</v>
      </c>
      <c r="G511" t="s">
        <v>26</v>
      </c>
      <c r="H511">
        <v>34</v>
      </c>
      <c r="I511">
        <v>27</v>
      </c>
      <c r="J511">
        <v>67</v>
      </c>
      <c r="K511">
        <v>8</v>
      </c>
      <c r="L511" t="s">
        <v>44</v>
      </c>
      <c r="M511">
        <v>13.373848196321401</v>
      </c>
      <c r="N511" t="s">
        <v>37</v>
      </c>
      <c r="O511" t="s">
        <v>38</v>
      </c>
      <c r="P511">
        <f>VLOOKUP(O511, Coordinates!$A$2:$C$6, 2, FALSE)</f>
        <v>25.761700000000001</v>
      </c>
      <c r="Q511">
        <f>VLOOKUP(O511, Coordinates!$A$2:$C$6, 3, FALSE)</f>
        <v>-80.191800000000001</v>
      </c>
      <c r="R511">
        <v>3</v>
      </c>
      <c r="S511">
        <v>706</v>
      </c>
      <c r="T511">
        <v>8</v>
      </c>
      <c r="U511">
        <v>31.140496551537002</v>
      </c>
      <c r="V511" t="s">
        <v>30</v>
      </c>
      <c r="W511">
        <v>3.5260167600094698</v>
      </c>
      <c r="X511" t="s">
        <v>46</v>
      </c>
      <c r="Y511" t="s">
        <v>41</v>
      </c>
      <c r="Z511">
        <v>878.85805244551705</v>
      </c>
    </row>
    <row r="512" spans="1:26" x14ac:dyDescent="0.3">
      <c r="A512" t="s">
        <v>42</v>
      </c>
      <c r="B512" t="s">
        <v>568</v>
      </c>
      <c r="C512">
        <v>98.270875859759599</v>
      </c>
      <c r="D512">
        <v>9</v>
      </c>
      <c r="E512">
        <v>709</v>
      </c>
      <c r="F512">
        <v>8296.5741870737093</v>
      </c>
      <c r="G512" t="s">
        <v>26</v>
      </c>
      <c r="H512">
        <v>73</v>
      </c>
      <c r="I512">
        <v>27</v>
      </c>
      <c r="J512">
        <v>40</v>
      </c>
      <c r="K512">
        <v>5</v>
      </c>
      <c r="L512" t="s">
        <v>44</v>
      </c>
      <c r="M512">
        <v>13.619440617498</v>
      </c>
      <c r="N512" t="s">
        <v>37</v>
      </c>
      <c r="O512" t="s">
        <v>38</v>
      </c>
      <c r="P512">
        <f>VLOOKUP(O512, Coordinates!$A$2:$C$6, 2, FALSE)</f>
        <v>25.761700000000001</v>
      </c>
      <c r="Q512">
        <f>VLOOKUP(O512, Coordinates!$A$2:$C$6, 3, FALSE)</f>
        <v>-80.191800000000001</v>
      </c>
      <c r="R512">
        <v>21</v>
      </c>
      <c r="S512">
        <v>384</v>
      </c>
      <c r="T512">
        <v>12</v>
      </c>
      <c r="U512">
        <v>71.967614776206005</v>
      </c>
      <c r="V512" t="s">
        <v>30</v>
      </c>
      <c r="W512">
        <v>4.8279629723697104</v>
      </c>
      <c r="X512" t="s">
        <v>31</v>
      </c>
      <c r="Y512" t="s">
        <v>32</v>
      </c>
      <c r="Z512">
        <v>839.696406492493</v>
      </c>
    </row>
    <row r="513" spans="1:26" x14ac:dyDescent="0.3">
      <c r="A513" t="s">
        <v>24</v>
      </c>
      <c r="B513" t="s">
        <v>569</v>
      </c>
      <c r="C513">
        <v>25.388141011878499</v>
      </c>
      <c r="D513">
        <v>15</v>
      </c>
      <c r="E513">
        <v>334</v>
      </c>
      <c r="F513">
        <v>7631.6751881706896</v>
      </c>
      <c r="G513" t="s">
        <v>26</v>
      </c>
      <c r="H513">
        <v>13</v>
      </c>
      <c r="I513">
        <v>15</v>
      </c>
      <c r="J513">
        <v>50</v>
      </c>
      <c r="K513">
        <v>1</v>
      </c>
      <c r="L513" t="s">
        <v>27</v>
      </c>
      <c r="M513">
        <v>5.08357614205255</v>
      </c>
      <c r="N513" t="s">
        <v>57</v>
      </c>
      <c r="O513" t="s">
        <v>67</v>
      </c>
      <c r="P513">
        <f>VLOOKUP(O513, Coordinates!$A$2:$C$6, 2, FALSE)</f>
        <v>40.712800000000001</v>
      </c>
      <c r="Q513">
        <f>VLOOKUP(O513, Coordinates!$A$2:$C$6, 3, FALSE)</f>
        <v>-74.006</v>
      </c>
      <c r="R513">
        <v>15</v>
      </c>
      <c r="S513">
        <v>231</v>
      </c>
      <c r="T513">
        <v>13</v>
      </c>
      <c r="U513">
        <v>78.574743264243395</v>
      </c>
      <c r="V513" t="s">
        <v>39</v>
      </c>
      <c r="W513">
        <v>0.95450648339837096</v>
      </c>
      <c r="X513" t="s">
        <v>40</v>
      </c>
      <c r="Y513" t="s">
        <v>60</v>
      </c>
      <c r="Z513">
        <v>968.15527739139304</v>
      </c>
    </row>
    <row r="514" spans="1:26" x14ac:dyDescent="0.3">
      <c r="A514" t="s">
        <v>33</v>
      </c>
      <c r="B514" t="s">
        <v>570</v>
      </c>
      <c r="C514">
        <v>58.122556648786002</v>
      </c>
      <c r="D514">
        <v>3</v>
      </c>
      <c r="E514">
        <v>443</v>
      </c>
      <c r="F514">
        <v>2223.3947263058799</v>
      </c>
      <c r="G514" t="s">
        <v>35</v>
      </c>
      <c r="H514">
        <v>90</v>
      </c>
      <c r="I514">
        <v>16</v>
      </c>
      <c r="J514">
        <v>44</v>
      </c>
      <c r="K514">
        <v>3</v>
      </c>
      <c r="L514" t="s">
        <v>36</v>
      </c>
      <c r="M514">
        <v>3.1805439682871501</v>
      </c>
      <c r="N514" t="s">
        <v>45</v>
      </c>
      <c r="O514" t="s">
        <v>38</v>
      </c>
      <c r="P514">
        <f>VLOOKUP(O514, Coordinates!$A$2:$C$6, 2, FALSE)</f>
        <v>25.761700000000001</v>
      </c>
      <c r="Q514">
        <f>VLOOKUP(O514, Coordinates!$A$2:$C$6, 3, FALSE)</f>
        <v>-80.191800000000001</v>
      </c>
      <c r="R514">
        <v>27</v>
      </c>
      <c r="S514">
        <v>575</v>
      </c>
      <c r="T514">
        <v>25</v>
      </c>
      <c r="U514">
        <v>39.289038115679702</v>
      </c>
      <c r="V514" t="s">
        <v>39</v>
      </c>
      <c r="W514">
        <v>4.6647186411091504</v>
      </c>
      <c r="X514" t="s">
        <v>31</v>
      </c>
      <c r="Y514" t="s">
        <v>32</v>
      </c>
      <c r="Z514">
        <v>661.32954830000006</v>
      </c>
    </row>
    <row r="515" spans="1:26" x14ac:dyDescent="0.3">
      <c r="A515" t="s">
        <v>72</v>
      </c>
      <c r="B515" t="s">
        <v>571</v>
      </c>
      <c r="C515">
        <v>38.486985789101197</v>
      </c>
      <c r="D515">
        <v>93</v>
      </c>
      <c r="E515">
        <v>136</v>
      </c>
      <c r="F515">
        <v>4710.8070605859903</v>
      </c>
      <c r="G515" t="s">
        <v>48</v>
      </c>
      <c r="H515">
        <v>13</v>
      </c>
      <c r="I515">
        <v>11</v>
      </c>
      <c r="J515">
        <v>19</v>
      </c>
      <c r="K515">
        <v>5</v>
      </c>
      <c r="L515" t="s">
        <v>44</v>
      </c>
      <c r="M515">
        <v>3.0872938907843799</v>
      </c>
      <c r="N515" t="s">
        <v>28</v>
      </c>
      <c r="O515" t="s">
        <v>38</v>
      </c>
      <c r="P515">
        <f>VLOOKUP(O515, Coordinates!$A$2:$C$6, 2, FALSE)</f>
        <v>25.761700000000001</v>
      </c>
      <c r="Q515">
        <f>VLOOKUP(O515, Coordinates!$A$2:$C$6, 3, FALSE)</f>
        <v>-80.191800000000001</v>
      </c>
      <c r="R515">
        <v>5</v>
      </c>
      <c r="S515">
        <v>892</v>
      </c>
      <c r="T515">
        <v>9</v>
      </c>
      <c r="U515">
        <v>82.995569818566395</v>
      </c>
      <c r="V515" t="s">
        <v>55</v>
      </c>
      <c r="W515">
        <v>1.6116163049360099</v>
      </c>
      <c r="X515" t="s">
        <v>40</v>
      </c>
      <c r="Y515" t="s">
        <v>41</v>
      </c>
      <c r="Z515">
        <v>161.45023106443301</v>
      </c>
    </row>
    <row r="516" spans="1:26" x14ac:dyDescent="0.3">
      <c r="A516" t="s">
        <v>42</v>
      </c>
      <c r="B516" t="s">
        <v>572</v>
      </c>
      <c r="C516">
        <v>55.6042092423477</v>
      </c>
      <c r="D516">
        <v>70</v>
      </c>
      <c r="E516">
        <v>871</v>
      </c>
      <c r="F516">
        <v>2927.5862746562798</v>
      </c>
      <c r="G516" t="s">
        <v>48</v>
      </c>
      <c r="H516">
        <v>98</v>
      </c>
      <c r="I516">
        <v>25</v>
      </c>
      <c r="J516">
        <v>90</v>
      </c>
      <c r="K516">
        <v>7</v>
      </c>
      <c r="L516" t="s">
        <v>44</v>
      </c>
      <c r="M516">
        <v>7.7819527354871401</v>
      </c>
      <c r="N516" t="s">
        <v>37</v>
      </c>
      <c r="O516" t="s">
        <v>29</v>
      </c>
      <c r="P516">
        <f>VLOOKUP(O516, Coordinates!$A$2:$C$6, 2, FALSE)</f>
        <v>29.760400000000001</v>
      </c>
      <c r="Q516">
        <f>VLOOKUP(O516, Coordinates!$A$2:$C$6, 3, FALSE)</f>
        <v>-95.369799999999998</v>
      </c>
      <c r="R516">
        <v>13</v>
      </c>
      <c r="S516">
        <v>643</v>
      </c>
      <c r="T516">
        <v>9</v>
      </c>
      <c r="U516">
        <v>93.588387625639399</v>
      </c>
      <c r="V516" t="s">
        <v>55</v>
      </c>
      <c r="W516">
        <v>0.74846306241357996</v>
      </c>
      <c r="X516" t="s">
        <v>52</v>
      </c>
      <c r="Y516" t="s">
        <v>32</v>
      </c>
      <c r="Z516">
        <v>601.91938487162395</v>
      </c>
    </row>
    <row r="517" spans="1:26" x14ac:dyDescent="0.3">
      <c r="A517" t="s">
        <v>33</v>
      </c>
      <c r="B517" t="s">
        <v>573</v>
      </c>
      <c r="C517">
        <v>65.333465061423198</v>
      </c>
      <c r="D517">
        <v>17</v>
      </c>
      <c r="E517">
        <v>386</v>
      </c>
      <c r="F517">
        <v>1540.65851519484</v>
      </c>
      <c r="G517" t="s">
        <v>26</v>
      </c>
      <c r="H517">
        <v>32</v>
      </c>
      <c r="I517">
        <v>19</v>
      </c>
      <c r="J517">
        <v>39</v>
      </c>
      <c r="K517">
        <v>5</v>
      </c>
      <c r="L517" t="s">
        <v>44</v>
      </c>
      <c r="M517">
        <v>2.86085893561894</v>
      </c>
      <c r="N517" t="s">
        <v>57</v>
      </c>
      <c r="O517" t="s">
        <v>38</v>
      </c>
      <c r="P517">
        <f>VLOOKUP(O517, Coordinates!$A$2:$C$6, 2, FALSE)</f>
        <v>25.761700000000001</v>
      </c>
      <c r="Q517">
        <f>VLOOKUP(O517, Coordinates!$A$2:$C$6, 3, FALSE)</f>
        <v>-80.191800000000001</v>
      </c>
      <c r="R517">
        <v>26</v>
      </c>
      <c r="S517">
        <v>455</v>
      </c>
      <c r="T517">
        <v>2</v>
      </c>
      <c r="U517">
        <v>92.0733306327853</v>
      </c>
      <c r="V517" t="s">
        <v>30</v>
      </c>
      <c r="W517">
        <v>2.7423452619175301</v>
      </c>
      <c r="X517" t="s">
        <v>52</v>
      </c>
      <c r="Y517" t="s">
        <v>60</v>
      </c>
      <c r="Z517">
        <v>558.57037439286398</v>
      </c>
    </row>
    <row r="518" spans="1:26" x14ac:dyDescent="0.3">
      <c r="A518" t="s">
        <v>72</v>
      </c>
      <c r="B518" t="s">
        <v>574</v>
      </c>
      <c r="C518">
        <v>20.620136477354901</v>
      </c>
      <c r="D518">
        <v>26</v>
      </c>
      <c r="E518">
        <v>142</v>
      </c>
      <c r="F518">
        <v>2635.2534418059599</v>
      </c>
      <c r="G518" t="s">
        <v>48</v>
      </c>
      <c r="H518">
        <v>51</v>
      </c>
      <c r="I518">
        <v>18</v>
      </c>
      <c r="J518">
        <v>53</v>
      </c>
      <c r="K518">
        <v>10</v>
      </c>
      <c r="L518" t="s">
        <v>36</v>
      </c>
      <c r="M518">
        <v>7.62676310933315</v>
      </c>
      <c r="N518" t="s">
        <v>28</v>
      </c>
      <c r="O518" t="s">
        <v>65</v>
      </c>
      <c r="P518">
        <f>VLOOKUP(O518, Coordinates!$A$2:$C$6, 2, FALSE)</f>
        <v>41.878100000000003</v>
      </c>
      <c r="Q518">
        <f>VLOOKUP(O518, Coordinates!$A$2:$C$6, 3, FALSE)</f>
        <v>-87.629800000000003</v>
      </c>
      <c r="R518">
        <v>26</v>
      </c>
      <c r="S518">
        <v>136</v>
      </c>
      <c r="T518">
        <v>3</v>
      </c>
      <c r="U518">
        <v>94.786341164065703</v>
      </c>
      <c r="V518" t="s">
        <v>55</v>
      </c>
      <c r="W518">
        <v>4.4938952762511599</v>
      </c>
      <c r="X518" t="s">
        <v>40</v>
      </c>
      <c r="Y518" t="s">
        <v>41</v>
      </c>
      <c r="Z518">
        <v>151.80741834012699</v>
      </c>
    </row>
    <row r="519" spans="1:26" x14ac:dyDescent="0.3">
      <c r="A519" t="s">
        <v>24</v>
      </c>
      <c r="B519" t="s">
        <v>575</v>
      </c>
      <c r="C519">
        <v>37.539235461781303</v>
      </c>
      <c r="D519">
        <v>21</v>
      </c>
      <c r="E519">
        <v>947</v>
      </c>
      <c r="F519">
        <v>31994.690384076199</v>
      </c>
      <c r="G519" t="s">
        <v>48</v>
      </c>
      <c r="H519">
        <v>0</v>
      </c>
      <c r="I519">
        <v>21</v>
      </c>
      <c r="J519">
        <v>64</v>
      </c>
      <c r="K519">
        <v>5</v>
      </c>
      <c r="L519" t="s">
        <v>44</v>
      </c>
      <c r="M519">
        <v>7.4670770200380003</v>
      </c>
      <c r="N519" t="s">
        <v>28</v>
      </c>
      <c r="O519" t="s">
        <v>58</v>
      </c>
      <c r="P519">
        <f>VLOOKUP(O519, Coordinates!$A$2:$C$6, 2, FALSE)</f>
        <v>34.052199999999999</v>
      </c>
      <c r="Q519">
        <f>VLOOKUP(O519, Coordinates!$A$2:$C$6, 3, FALSE)</f>
        <v>-118.2437</v>
      </c>
      <c r="R519">
        <v>15</v>
      </c>
      <c r="S519">
        <v>737</v>
      </c>
      <c r="T519">
        <v>21</v>
      </c>
      <c r="U519">
        <v>87.040952523397706</v>
      </c>
      <c r="V519" t="s">
        <v>39</v>
      </c>
      <c r="W519">
        <v>3.4411341648627101</v>
      </c>
      <c r="X519" t="s">
        <v>46</v>
      </c>
      <c r="Y519" t="s">
        <v>60</v>
      </c>
      <c r="Z519">
        <v>375.67185432471501</v>
      </c>
    </row>
    <row r="520" spans="1:26" x14ac:dyDescent="0.3">
      <c r="A520" t="s">
        <v>49</v>
      </c>
      <c r="B520" t="s">
        <v>576</v>
      </c>
      <c r="C520">
        <v>16.423486518609099</v>
      </c>
      <c r="D520">
        <v>72</v>
      </c>
      <c r="E520">
        <v>847</v>
      </c>
      <c r="F520">
        <v>7389.3976609082101</v>
      </c>
      <c r="G520" t="s">
        <v>54</v>
      </c>
      <c r="H520">
        <v>33</v>
      </c>
      <c r="I520">
        <v>9</v>
      </c>
      <c r="J520">
        <v>80</v>
      </c>
      <c r="K520">
        <v>7</v>
      </c>
      <c r="L520" t="s">
        <v>27</v>
      </c>
      <c r="M520">
        <v>13.377542984879099</v>
      </c>
      <c r="N520" t="s">
        <v>28</v>
      </c>
      <c r="O520" t="s">
        <v>29</v>
      </c>
      <c r="P520">
        <f>VLOOKUP(O520, Coordinates!$A$2:$C$6, 2, FALSE)</f>
        <v>29.760400000000001</v>
      </c>
      <c r="Q520">
        <f>VLOOKUP(O520, Coordinates!$A$2:$C$6, 3, FALSE)</f>
        <v>-95.369799999999998</v>
      </c>
      <c r="R520">
        <v>17</v>
      </c>
      <c r="S520">
        <v>237</v>
      </c>
      <c r="T520">
        <v>12</v>
      </c>
      <c r="U520">
        <v>19.210782895479799</v>
      </c>
      <c r="V520" t="s">
        <v>39</v>
      </c>
      <c r="W520">
        <v>0.67899428175062404</v>
      </c>
      <c r="X520" t="s">
        <v>52</v>
      </c>
      <c r="Y520" t="s">
        <v>41</v>
      </c>
      <c r="Z520">
        <v>470.96020016801901</v>
      </c>
    </row>
    <row r="521" spans="1:26" x14ac:dyDescent="0.3">
      <c r="A521" t="s">
        <v>24</v>
      </c>
      <c r="B521" t="s">
        <v>577</v>
      </c>
      <c r="C521">
        <v>35.1921851534591</v>
      </c>
      <c r="D521">
        <v>21</v>
      </c>
      <c r="E521">
        <v>274</v>
      </c>
      <c r="F521">
        <v>8678.3928588430299</v>
      </c>
      <c r="G521" t="s">
        <v>35</v>
      </c>
      <c r="H521">
        <v>18</v>
      </c>
      <c r="I521">
        <v>8</v>
      </c>
      <c r="J521">
        <v>27</v>
      </c>
      <c r="K521">
        <v>8</v>
      </c>
      <c r="L521" t="s">
        <v>27</v>
      </c>
      <c r="M521">
        <v>5.1469461572005102</v>
      </c>
      <c r="N521" t="s">
        <v>51</v>
      </c>
      <c r="O521" t="s">
        <v>58</v>
      </c>
      <c r="P521">
        <f>VLOOKUP(O521, Coordinates!$A$2:$C$6, 2, FALSE)</f>
        <v>34.052199999999999</v>
      </c>
      <c r="Q521">
        <f>VLOOKUP(O521, Coordinates!$A$2:$C$6, 3, FALSE)</f>
        <v>-118.2437</v>
      </c>
      <c r="R521">
        <v>6</v>
      </c>
      <c r="S521">
        <v>521</v>
      </c>
      <c r="T521">
        <v>17</v>
      </c>
      <c r="U521">
        <v>87.291665473233607</v>
      </c>
      <c r="V521" t="s">
        <v>55</v>
      </c>
      <c r="W521">
        <v>0.58045012197743695</v>
      </c>
      <c r="X521" t="s">
        <v>40</v>
      </c>
      <c r="Y521" t="s">
        <v>41</v>
      </c>
      <c r="Z521">
        <v>244.87779759815001</v>
      </c>
    </row>
    <row r="522" spans="1:26" x14ac:dyDescent="0.3">
      <c r="A522" t="s">
        <v>33</v>
      </c>
      <c r="B522" t="s">
        <v>578</v>
      </c>
      <c r="C522">
        <v>30.014999456554001</v>
      </c>
      <c r="D522">
        <v>11</v>
      </c>
      <c r="E522">
        <v>554</v>
      </c>
      <c r="F522">
        <v>2294.5102389127901</v>
      </c>
      <c r="G522" t="s">
        <v>26</v>
      </c>
      <c r="H522">
        <v>23</v>
      </c>
      <c r="I522">
        <v>22</v>
      </c>
      <c r="J522">
        <v>92</v>
      </c>
      <c r="K522">
        <v>8</v>
      </c>
      <c r="L522" t="s">
        <v>36</v>
      </c>
      <c r="M522">
        <v>8.8491344209736802</v>
      </c>
      <c r="N522" t="s">
        <v>37</v>
      </c>
      <c r="O522" t="s">
        <v>58</v>
      </c>
      <c r="P522">
        <f>VLOOKUP(O522, Coordinates!$A$2:$C$6, 2, FALSE)</f>
        <v>34.052199999999999</v>
      </c>
      <c r="Q522">
        <f>VLOOKUP(O522, Coordinates!$A$2:$C$6, 3, FALSE)</f>
        <v>-118.2437</v>
      </c>
      <c r="R522">
        <v>23</v>
      </c>
      <c r="S522">
        <v>544</v>
      </c>
      <c r="T522">
        <v>4</v>
      </c>
      <c r="U522">
        <v>57.002655316654398</v>
      </c>
      <c r="V522" t="s">
        <v>39</v>
      </c>
      <c r="W522">
        <v>4.5572490663771301</v>
      </c>
      <c r="X522" t="s">
        <v>46</v>
      </c>
      <c r="Y522" t="s">
        <v>60</v>
      </c>
      <c r="Z522">
        <v>107.885478872752</v>
      </c>
    </row>
    <row r="523" spans="1:26" x14ac:dyDescent="0.3">
      <c r="A523" t="s">
        <v>42</v>
      </c>
      <c r="B523" t="s">
        <v>579</v>
      </c>
      <c r="C523">
        <v>9.3817386118947095</v>
      </c>
      <c r="D523">
        <v>38</v>
      </c>
      <c r="E523">
        <v>400</v>
      </c>
      <c r="F523">
        <v>1083.17429564962</v>
      </c>
      <c r="G523" t="s">
        <v>48</v>
      </c>
      <c r="H523">
        <v>3</v>
      </c>
      <c r="I523">
        <v>19</v>
      </c>
      <c r="J523">
        <v>88</v>
      </c>
      <c r="K523">
        <v>7</v>
      </c>
      <c r="L523" t="s">
        <v>27</v>
      </c>
      <c r="M523">
        <v>11.4089980999773</v>
      </c>
      <c r="N523" t="s">
        <v>51</v>
      </c>
      <c r="O523" t="s">
        <v>65</v>
      </c>
      <c r="P523">
        <f>VLOOKUP(O523, Coordinates!$A$2:$C$6, 2, FALSE)</f>
        <v>41.878100000000003</v>
      </c>
      <c r="Q523">
        <f>VLOOKUP(O523, Coordinates!$A$2:$C$6, 3, FALSE)</f>
        <v>-87.629800000000003</v>
      </c>
      <c r="R523">
        <v>18</v>
      </c>
      <c r="S523">
        <v>711</v>
      </c>
      <c r="T523">
        <v>27</v>
      </c>
      <c r="U523">
        <v>37.704696452110802</v>
      </c>
      <c r="V523" t="s">
        <v>30</v>
      </c>
      <c r="W523">
        <v>2.4380477494620001</v>
      </c>
      <c r="X523" t="s">
        <v>52</v>
      </c>
      <c r="Y523" t="s">
        <v>60</v>
      </c>
      <c r="Z523">
        <v>781.28041373508302</v>
      </c>
    </row>
    <row r="524" spans="1:26" x14ac:dyDescent="0.3">
      <c r="A524" t="s">
        <v>61</v>
      </c>
      <c r="B524" t="s">
        <v>580</v>
      </c>
      <c r="C524">
        <v>58.881224092341597</v>
      </c>
      <c r="D524">
        <v>72</v>
      </c>
      <c r="E524">
        <v>561</v>
      </c>
      <c r="F524">
        <v>8273.4134412179101</v>
      </c>
      <c r="G524" t="s">
        <v>48</v>
      </c>
      <c r="H524">
        <v>35</v>
      </c>
      <c r="I524">
        <v>22</v>
      </c>
      <c r="J524">
        <v>95</v>
      </c>
      <c r="K524">
        <v>3</v>
      </c>
      <c r="L524" t="s">
        <v>44</v>
      </c>
      <c r="M524">
        <v>9.3428071310000007</v>
      </c>
      <c r="N524" t="s">
        <v>51</v>
      </c>
      <c r="O524" t="s">
        <v>38</v>
      </c>
      <c r="P524">
        <f>VLOOKUP(O524, Coordinates!$A$2:$C$6, 2, FALSE)</f>
        <v>25.761700000000001</v>
      </c>
      <c r="Q524">
        <f>VLOOKUP(O524, Coordinates!$A$2:$C$6, 3, FALSE)</f>
        <v>-80.191800000000001</v>
      </c>
      <c r="R524">
        <v>3</v>
      </c>
      <c r="S524">
        <v>341</v>
      </c>
      <c r="T524">
        <v>30</v>
      </c>
      <c r="U524">
        <v>13.7861328033961</v>
      </c>
      <c r="V524" t="s">
        <v>30</v>
      </c>
      <c r="W524">
        <v>4.6183649599464802</v>
      </c>
      <c r="X524" t="s">
        <v>40</v>
      </c>
      <c r="Y524" t="s">
        <v>60</v>
      </c>
      <c r="Z524">
        <v>866.47097040000006</v>
      </c>
    </row>
    <row r="525" spans="1:26" x14ac:dyDescent="0.3">
      <c r="A525" t="s">
        <v>33</v>
      </c>
      <c r="B525" t="s">
        <v>581</v>
      </c>
      <c r="C525">
        <v>31.963702467234398</v>
      </c>
      <c r="D525">
        <v>88</v>
      </c>
      <c r="E525">
        <v>917</v>
      </c>
      <c r="F525">
        <v>2585.7496554782201</v>
      </c>
      <c r="G525" t="s">
        <v>26</v>
      </c>
      <c r="H525">
        <v>76</v>
      </c>
      <c r="I525">
        <v>5</v>
      </c>
      <c r="J525">
        <v>48</v>
      </c>
      <c r="K525">
        <v>2</v>
      </c>
      <c r="L525" t="s">
        <v>36</v>
      </c>
      <c r="M525">
        <v>14.3569498297219</v>
      </c>
      <c r="N525" t="s">
        <v>37</v>
      </c>
      <c r="O525" t="s">
        <v>58</v>
      </c>
      <c r="P525">
        <f>VLOOKUP(O525, Coordinates!$A$2:$C$6, 2, FALSE)</f>
        <v>34.052199999999999</v>
      </c>
      <c r="Q525">
        <f>VLOOKUP(O525, Coordinates!$A$2:$C$6, 3, FALSE)</f>
        <v>-118.2437</v>
      </c>
      <c r="R525">
        <v>26</v>
      </c>
      <c r="S525">
        <v>344</v>
      </c>
      <c r="T525">
        <v>14</v>
      </c>
      <c r="U525">
        <v>50.965064677999003</v>
      </c>
      <c r="V525" t="s">
        <v>55</v>
      </c>
      <c r="W525">
        <v>3.6810885777150801</v>
      </c>
      <c r="X525" t="s">
        <v>46</v>
      </c>
      <c r="Y525" t="s">
        <v>32</v>
      </c>
      <c r="Z525">
        <v>306.191486457878</v>
      </c>
    </row>
    <row r="526" spans="1:26" x14ac:dyDescent="0.3">
      <c r="A526" t="s">
        <v>61</v>
      </c>
      <c r="B526" t="s">
        <v>582</v>
      </c>
      <c r="C526">
        <v>83.330806768268005</v>
      </c>
      <c r="D526">
        <v>35</v>
      </c>
      <c r="E526">
        <v>468</v>
      </c>
      <c r="F526">
        <v>6455.9497799868896</v>
      </c>
      <c r="G526" t="s">
        <v>54</v>
      </c>
      <c r="H526">
        <v>57</v>
      </c>
      <c r="I526">
        <v>17</v>
      </c>
      <c r="J526">
        <v>51</v>
      </c>
      <c r="K526">
        <v>1</v>
      </c>
      <c r="L526" t="s">
        <v>27</v>
      </c>
      <c r="M526">
        <v>9.4318847269967794</v>
      </c>
      <c r="N526" t="s">
        <v>45</v>
      </c>
      <c r="O526" t="s">
        <v>38</v>
      </c>
      <c r="P526">
        <f>VLOOKUP(O526, Coordinates!$A$2:$C$6, 2, FALSE)</f>
        <v>25.761700000000001</v>
      </c>
      <c r="Q526">
        <f>VLOOKUP(O526, Coordinates!$A$2:$C$6, 3, FALSE)</f>
        <v>-80.191800000000001</v>
      </c>
      <c r="R526">
        <v>25</v>
      </c>
      <c r="S526">
        <v>638</v>
      </c>
      <c r="T526">
        <v>21</v>
      </c>
      <c r="U526">
        <v>77.157036321788198</v>
      </c>
      <c r="V526" t="s">
        <v>39</v>
      </c>
      <c r="W526">
        <v>4.3749690588635</v>
      </c>
      <c r="X526" t="s">
        <v>46</v>
      </c>
      <c r="Y526" t="s">
        <v>60</v>
      </c>
      <c r="Z526">
        <v>103.420304265623</v>
      </c>
    </row>
    <row r="527" spans="1:26" x14ac:dyDescent="0.3">
      <c r="A527" t="s">
        <v>72</v>
      </c>
      <c r="B527" t="s">
        <v>583</v>
      </c>
      <c r="C527">
        <v>38.418322439999997</v>
      </c>
      <c r="D527">
        <v>14</v>
      </c>
      <c r="E527">
        <v>679</v>
      </c>
      <c r="F527">
        <v>23477.436843024199</v>
      </c>
      <c r="G527" t="s">
        <v>26</v>
      </c>
      <c r="H527">
        <v>31</v>
      </c>
      <c r="I527">
        <v>5</v>
      </c>
      <c r="J527">
        <v>63</v>
      </c>
      <c r="K527">
        <v>6</v>
      </c>
      <c r="L527" t="s">
        <v>36</v>
      </c>
      <c r="M527">
        <v>13.6260704985815</v>
      </c>
      <c r="N527" t="s">
        <v>57</v>
      </c>
      <c r="O527" t="s">
        <v>38</v>
      </c>
      <c r="P527">
        <f>VLOOKUP(O527, Coordinates!$A$2:$C$6, 2, FALSE)</f>
        <v>25.761700000000001</v>
      </c>
      <c r="Q527">
        <f>VLOOKUP(O527, Coordinates!$A$2:$C$6, 3, FALSE)</f>
        <v>-80.191800000000001</v>
      </c>
      <c r="R527">
        <v>8</v>
      </c>
      <c r="S527">
        <v>308</v>
      </c>
      <c r="T527">
        <v>9</v>
      </c>
      <c r="U527">
        <v>94.482587349135301</v>
      </c>
      <c r="V527" t="s">
        <v>30</v>
      </c>
      <c r="W527">
        <v>4.3561387133048601</v>
      </c>
      <c r="X527" t="s">
        <v>40</v>
      </c>
      <c r="Y527" t="s">
        <v>41</v>
      </c>
      <c r="Z527">
        <v>900.94325269261799</v>
      </c>
    </row>
    <row r="528" spans="1:26" x14ac:dyDescent="0.3">
      <c r="A528" t="s">
        <v>49</v>
      </c>
      <c r="B528" t="s">
        <v>584</v>
      </c>
      <c r="C528">
        <v>26.5033919624411</v>
      </c>
      <c r="D528">
        <v>14</v>
      </c>
      <c r="E528">
        <v>454</v>
      </c>
      <c r="F528">
        <v>6269.3734448353198</v>
      </c>
      <c r="G528" t="s">
        <v>54</v>
      </c>
      <c r="H528">
        <v>8</v>
      </c>
      <c r="I528">
        <v>14</v>
      </c>
      <c r="J528">
        <v>39</v>
      </c>
      <c r="K528">
        <v>9</v>
      </c>
      <c r="L528" t="s">
        <v>44</v>
      </c>
      <c r="M528">
        <v>4.4307894495523996</v>
      </c>
      <c r="N528" t="s">
        <v>37</v>
      </c>
      <c r="O528" t="s">
        <v>29</v>
      </c>
      <c r="P528">
        <f>VLOOKUP(O528, Coordinates!$A$2:$C$6, 2, FALSE)</f>
        <v>29.760400000000001</v>
      </c>
      <c r="Q528">
        <f>VLOOKUP(O528, Coordinates!$A$2:$C$6, 3, FALSE)</f>
        <v>-95.369799999999998</v>
      </c>
      <c r="R528">
        <v>20</v>
      </c>
      <c r="S528">
        <v>556</v>
      </c>
      <c r="T528">
        <v>8</v>
      </c>
      <c r="U528">
        <v>62.675564111478003</v>
      </c>
      <c r="V528" t="s">
        <v>30</v>
      </c>
      <c r="W528">
        <v>2.0710609613090201</v>
      </c>
      <c r="X528" t="s">
        <v>31</v>
      </c>
      <c r="Y528" t="s">
        <v>32</v>
      </c>
      <c r="Z528">
        <v>220.56398347725201</v>
      </c>
    </row>
    <row r="529" spans="1:26" x14ac:dyDescent="0.3">
      <c r="A529" t="s">
        <v>82</v>
      </c>
      <c r="B529" t="s">
        <v>585</v>
      </c>
      <c r="C529">
        <v>74.373383973563804</v>
      </c>
      <c r="D529">
        <v>10</v>
      </c>
      <c r="E529">
        <v>335</v>
      </c>
      <c r="F529">
        <v>3840.8826428409102</v>
      </c>
      <c r="G529" t="s">
        <v>48</v>
      </c>
      <c r="H529">
        <v>79</v>
      </c>
      <c r="I529">
        <v>7</v>
      </c>
      <c r="J529">
        <v>29</v>
      </c>
      <c r="K529">
        <v>3</v>
      </c>
      <c r="L529" t="s">
        <v>27</v>
      </c>
      <c r="M529">
        <v>8.8505388190000005</v>
      </c>
      <c r="N529" t="s">
        <v>57</v>
      </c>
      <c r="O529" t="s">
        <v>38</v>
      </c>
      <c r="P529">
        <f>VLOOKUP(O529, Coordinates!$A$2:$C$6, 2, FALSE)</f>
        <v>25.761700000000001</v>
      </c>
      <c r="Q529">
        <f>VLOOKUP(O529, Coordinates!$A$2:$C$6, 3, FALSE)</f>
        <v>-80.191800000000001</v>
      </c>
      <c r="R529">
        <v>11</v>
      </c>
      <c r="S529">
        <v>198</v>
      </c>
      <c r="T529">
        <v>1</v>
      </c>
      <c r="U529">
        <v>75.096291145820103</v>
      </c>
      <c r="V529" t="s">
        <v>39</v>
      </c>
      <c r="W529">
        <v>3.7911391377579502</v>
      </c>
      <c r="X529" t="s">
        <v>31</v>
      </c>
      <c r="Y529" t="s">
        <v>32</v>
      </c>
      <c r="Z529">
        <v>462.906468131873</v>
      </c>
    </row>
    <row r="530" spans="1:26" x14ac:dyDescent="0.3">
      <c r="A530" t="s">
        <v>24</v>
      </c>
      <c r="B530" t="s">
        <v>586</v>
      </c>
      <c r="C530">
        <v>35.737431584450903</v>
      </c>
      <c r="D530">
        <v>12</v>
      </c>
      <c r="E530">
        <v>257</v>
      </c>
      <c r="F530">
        <v>8266.0679254834995</v>
      </c>
      <c r="G530" t="s">
        <v>35</v>
      </c>
      <c r="H530">
        <v>66</v>
      </c>
      <c r="I530">
        <v>9</v>
      </c>
      <c r="J530">
        <v>51</v>
      </c>
      <c r="K530">
        <v>5</v>
      </c>
      <c r="L530" t="s">
        <v>44</v>
      </c>
      <c r="M530">
        <v>8.6062829719331599</v>
      </c>
      <c r="N530" t="s">
        <v>45</v>
      </c>
      <c r="O530" t="s">
        <v>38</v>
      </c>
      <c r="P530">
        <f>VLOOKUP(O530, Coordinates!$A$2:$C$6, 2, FALSE)</f>
        <v>25.761700000000001</v>
      </c>
      <c r="Q530">
        <f>VLOOKUP(O530, Coordinates!$A$2:$C$6, 3, FALSE)</f>
        <v>-80.191800000000001</v>
      </c>
      <c r="R530">
        <v>27</v>
      </c>
      <c r="S530">
        <v>601</v>
      </c>
      <c r="T530">
        <v>30</v>
      </c>
      <c r="U530">
        <v>85.121963810386802</v>
      </c>
      <c r="V530" t="s">
        <v>39</v>
      </c>
      <c r="W530">
        <v>4.1333086156532799</v>
      </c>
      <c r="X530" t="s">
        <v>31</v>
      </c>
      <c r="Y530" t="s">
        <v>32</v>
      </c>
      <c r="Z530">
        <v>429.36962279411802</v>
      </c>
    </row>
    <row r="531" spans="1:26" x14ac:dyDescent="0.3">
      <c r="A531" t="s">
        <v>49</v>
      </c>
      <c r="B531" t="s">
        <v>587</v>
      </c>
      <c r="C531">
        <v>11.1266707686709</v>
      </c>
      <c r="D531">
        <v>38</v>
      </c>
      <c r="E531">
        <v>685</v>
      </c>
      <c r="F531">
        <v>3006.55007701978</v>
      </c>
      <c r="G531" t="s">
        <v>54</v>
      </c>
      <c r="H531">
        <v>19</v>
      </c>
      <c r="I531">
        <v>28</v>
      </c>
      <c r="J531">
        <v>98</v>
      </c>
      <c r="K531">
        <v>9</v>
      </c>
      <c r="L531" t="s">
        <v>27</v>
      </c>
      <c r="M531">
        <v>14.852329541961099</v>
      </c>
      <c r="N531" t="s">
        <v>37</v>
      </c>
      <c r="O531" t="s">
        <v>65</v>
      </c>
      <c r="P531">
        <f>VLOOKUP(O531, Coordinates!$A$2:$C$6, 2, FALSE)</f>
        <v>41.878100000000003</v>
      </c>
      <c r="Q531">
        <f>VLOOKUP(O531, Coordinates!$A$2:$C$6, 3, FALSE)</f>
        <v>-87.629800000000003</v>
      </c>
      <c r="R531">
        <v>24</v>
      </c>
      <c r="S531">
        <v>236</v>
      </c>
      <c r="T531">
        <v>13</v>
      </c>
      <c r="U531">
        <v>54.661436129524503</v>
      </c>
      <c r="V531" t="s">
        <v>30</v>
      </c>
      <c r="W531">
        <v>1.16536146549557</v>
      </c>
      <c r="X531" t="s">
        <v>31</v>
      </c>
      <c r="Y531" t="s">
        <v>32</v>
      </c>
      <c r="Z531">
        <v>247.83526052581701</v>
      </c>
    </row>
    <row r="532" spans="1:26" x14ac:dyDescent="0.3">
      <c r="A532" t="s">
        <v>33</v>
      </c>
      <c r="B532" t="s">
        <v>588</v>
      </c>
      <c r="C532">
        <v>88.337748430408993</v>
      </c>
      <c r="D532">
        <v>34</v>
      </c>
      <c r="E532">
        <v>967</v>
      </c>
      <c r="F532">
        <v>2692.5270983116802</v>
      </c>
      <c r="G532" t="s">
        <v>54</v>
      </c>
      <c r="H532">
        <v>73</v>
      </c>
      <c r="I532">
        <v>17</v>
      </c>
      <c r="J532">
        <v>96</v>
      </c>
      <c r="K532">
        <v>9</v>
      </c>
      <c r="L532" t="s">
        <v>36</v>
      </c>
      <c r="M532">
        <v>3.86308838758772</v>
      </c>
      <c r="N532" t="s">
        <v>28</v>
      </c>
      <c r="O532" t="s">
        <v>29</v>
      </c>
      <c r="P532">
        <f>VLOOKUP(O532, Coordinates!$A$2:$C$6, 2, FALSE)</f>
        <v>29.760400000000001</v>
      </c>
      <c r="Q532">
        <f>VLOOKUP(O532, Coordinates!$A$2:$C$6, 3, FALSE)</f>
        <v>-95.369799999999998</v>
      </c>
      <c r="R532">
        <v>11</v>
      </c>
      <c r="S532">
        <v>286</v>
      </c>
      <c r="T532">
        <v>28</v>
      </c>
      <c r="U532">
        <v>75.666417085902594</v>
      </c>
      <c r="V532" t="s">
        <v>55</v>
      </c>
      <c r="W532">
        <v>1.2051462937817901</v>
      </c>
      <c r="X532" t="s">
        <v>46</v>
      </c>
      <c r="Y532" t="s">
        <v>32</v>
      </c>
      <c r="Z532">
        <v>638.92950562319197</v>
      </c>
    </row>
    <row r="533" spans="1:26" x14ac:dyDescent="0.3">
      <c r="A533" t="s">
        <v>61</v>
      </c>
      <c r="B533" t="s">
        <v>589</v>
      </c>
      <c r="C533">
        <v>88.339867468487</v>
      </c>
      <c r="D533">
        <v>41</v>
      </c>
      <c r="E533">
        <v>289</v>
      </c>
      <c r="F533">
        <v>4852.1741719567899</v>
      </c>
      <c r="G533" t="s">
        <v>26</v>
      </c>
      <c r="H533">
        <v>61</v>
      </c>
      <c r="I533">
        <v>3</v>
      </c>
      <c r="J533">
        <v>14</v>
      </c>
      <c r="K533">
        <v>7</v>
      </c>
      <c r="L533" t="s">
        <v>27</v>
      </c>
      <c r="M533">
        <v>2.97390757712368</v>
      </c>
      <c r="N533" t="s">
        <v>37</v>
      </c>
      <c r="O533" t="s">
        <v>29</v>
      </c>
      <c r="P533">
        <f>VLOOKUP(O533, Coordinates!$A$2:$C$6, 2, FALSE)</f>
        <v>29.760400000000001</v>
      </c>
      <c r="Q533">
        <f>VLOOKUP(O533, Coordinates!$A$2:$C$6, 3, FALSE)</f>
        <v>-95.369799999999998</v>
      </c>
      <c r="R533">
        <v>8</v>
      </c>
      <c r="S533">
        <v>135</v>
      </c>
      <c r="T533">
        <v>3</v>
      </c>
      <c r="U533">
        <v>75.489240460000005</v>
      </c>
      <c r="V533" t="s">
        <v>55</v>
      </c>
      <c r="W533">
        <v>1.9866107223090601</v>
      </c>
      <c r="X533" t="s">
        <v>31</v>
      </c>
      <c r="Y533" t="s">
        <v>32</v>
      </c>
      <c r="Z533">
        <v>926.68788110000003</v>
      </c>
    </row>
    <row r="534" spans="1:26" x14ac:dyDescent="0.3">
      <c r="A534" t="s">
        <v>24</v>
      </c>
      <c r="B534" t="s">
        <v>590</v>
      </c>
      <c r="C534">
        <v>36.523580527650701</v>
      </c>
      <c r="D534">
        <v>10</v>
      </c>
      <c r="E534">
        <v>278</v>
      </c>
      <c r="F534">
        <v>9138.1998480182192</v>
      </c>
      <c r="G534" t="s">
        <v>48</v>
      </c>
      <c r="H534">
        <v>57</v>
      </c>
      <c r="I534">
        <v>8</v>
      </c>
      <c r="J534">
        <v>59</v>
      </c>
      <c r="K534">
        <v>4</v>
      </c>
      <c r="L534" t="s">
        <v>27</v>
      </c>
      <c r="M534">
        <v>9.5634090868258799</v>
      </c>
      <c r="N534" t="s">
        <v>45</v>
      </c>
      <c r="O534" t="s">
        <v>38</v>
      </c>
      <c r="P534">
        <f>VLOOKUP(O534, Coordinates!$A$2:$C$6, 2, FALSE)</f>
        <v>25.761700000000001</v>
      </c>
      <c r="Q534">
        <f>VLOOKUP(O534, Coordinates!$A$2:$C$6, 3, FALSE)</f>
        <v>-80.191800000000001</v>
      </c>
      <c r="R534">
        <v>26</v>
      </c>
      <c r="S534">
        <v>729</v>
      </c>
      <c r="T534">
        <v>30</v>
      </c>
      <c r="U534">
        <v>75.051214890686097</v>
      </c>
      <c r="V534" t="s">
        <v>55</v>
      </c>
      <c r="W534">
        <v>4.1136620505760302</v>
      </c>
      <c r="X534" t="s">
        <v>40</v>
      </c>
      <c r="Y534" t="s">
        <v>60</v>
      </c>
      <c r="Z534">
        <v>562.35100037773896</v>
      </c>
    </row>
    <row r="535" spans="1:26" x14ac:dyDescent="0.3">
      <c r="A535" t="s">
        <v>61</v>
      </c>
      <c r="B535" t="s">
        <v>591</v>
      </c>
      <c r="C535">
        <v>37.338555118208603</v>
      </c>
      <c r="D535">
        <v>17</v>
      </c>
      <c r="E535">
        <v>24</v>
      </c>
      <c r="F535">
        <v>3374.2546745172099</v>
      </c>
      <c r="G535" t="s">
        <v>35</v>
      </c>
      <c r="H535">
        <v>21</v>
      </c>
      <c r="I535">
        <v>22</v>
      </c>
      <c r="J535">
        <v>50</v>
      </c>
      <c r="K535">
        <v>2</v>
      </c>
      <c r="L535" t="s">
        <v>27</v>
      </c>
      <c r="M535">
        <v>4.1316900066488804</v>
      </c>
      <c r="N535" t="s">
        <v>51</v>
      </c>
      <c r="O535" t="s">
        <v>65</v>
      </c>
      <c r="P535">
        <f>VLOOKUP(O535, Coordinates!$A$2:$C$6, 2, FALSE)</f>
        <v>41.878100000000003</v>
      </c>
      <c r="Q535">
        <f>VLOOKUP(O535, Coordinates!$A$2:$C$6, 3, FALSE)</f>
        <v>-87.629800000000003</v>
      </c>
      <c r="R535">
        <v>22</v>
      </c>
      <c r="S535">
        <v>769</v>
      </c>
      <c r="T535">
        <v>14</v>
      </c>
      <c r="U535">
        <v>58.930060740248997</v>
      </c>
      <c r="V535" t="s">
        <v>30</v>
      </c>
      <c r="W535">
        <v>0.88883142444321905</v>
      </c>
      <c r="X535" t="s">
        <v>46</v>
      </c>
      <c r="Y535" t="s">
        <v>41</v>
      </c>
      <c r="Z535">
        <v>975.62114808811702</v>
      </c>
    </row>
    <row r="536" spans="1:26" x14ac:dyDescent="0.3">
      <c r="A536" t="s">
        <v>42</v>
      </c>
      <c r="B536" t="s">
        <v>592</v>
      </c>
      <c r="C536">
        <v>98.9576940432665</v>
      </c>
      <c r="D536">
        <v>17</v>
      </c>
      <c r="E536">
        <v>243</v>
      </c>
      <c r="F536">
        <v>1108.6294177055599</v>
      </c>
      <c r="G536" t="s">
        <v>26</v>
      </c>
      <c r="H536">
        <v>66</v>
      </c>
      <c r="I536">
        <v>13</v>
      </c>
      <c r="J536">
        <v>48</v>
      </c>
      <c r="K536">
        <v>2</v>
      </c>
      <c r="L536" t="s">
        <v>36</v>
      </c>
      <c r="M536">
        <v>9.9481748391040501</v>
      </c>
      <c r="N536" t="s">
        <v>37</v>
      </c>
      <c r="O536" t="s">
        <v>38</v>
      </c>
      <c r="P536">
        <f>VLOOKUP(O536, Coordinates!$A$2:$C$6, 2, FALSE)</f>
        <v>25.761700000000001</v>
      </c>
      <c r="Q536">
        <f>VLOOKUP(O536, Coordinates!$A$2:$C$6, 3, FALSE)</f>
        <v>-80.191800000000001</v>
      </c>
      <c r="R536">
        <v>30</v>
      </c>
      <c r="S536">
        <v>578</v>
      </c>
      <c r="T536">
        <v>19</v>
      </c>
      <c r="U536">
        <v>93.146980559587206</v>
      </c>
      <c r="V536" t="s">
        <v>39</v>
      </c>
      <c r="W536">
        <v>2.5030434186004902</v>
      </c>
      <c r="X536" t="s">
        <v>31</v>
      </c>
      <c r="Y536" t="s">
        <v>60</v>
      </c>
      <c r="Z536">
        <v>271.69458343185198</v>
      </c>
    </row>
    <row r="537" spans="1:26" x14ac:dyDescent="0.3">
      <c r="A537" t="s">
        <v>61</v>
      </c>
      <c r="B537" t="s">
        <v>593</v>
      </c>
      <c r="C537">
        <v>64.486736301348103</v>
      </c>
      <c r="D537">
        <v>67</v>
      </c>
      <c r="E537">
        <v>274</v>
      </c>
      <c r="F537">
        <v>5670.4362783828101</v>
      </c>
      <c r="G537" t="s">
        <v>26</v>
      </c>
      <c r="H537">
        <v>74</v>
      </c>
      <c r="I537">
        <v>16</v>
      </c>
      <c r="J537">
        <v>66</v>
      </c>
      <c r="K537">
        <v>4</v>
      </c>
      <c r="L537" t="s">
        <v>27</v>
      </c>
      <c r="M537">
        <v>14.614847239273701</v>
      </c>
      <c r="N537" t="s">
        <v>28</v>
      </c>
      <c r="O537" t="s">
        <v>58</v>
      </c>
      <c r="P537">
        <f>VLOOKUP(O537, Coordinates!$A$2:$C$6, 2, FALSE)</f>
        <v>34.052199999999999</v>
      </c>
      <c r="Q537">
        <f>VLOOKUP(O537, Coordinates!$A$2:$C$6, 3, FALSE)</f>
        <v>-118.2437</v>
      </c>
      <c r="R537">
        <v>1</v>
      </c>
      <c r="S537">
        <v>886</v>
      </c>
      <c r="T537">
        <v>27</v>
      </c>
      <c r="U537">
        <v>66.879784444891001</v>
      </c>
      <c r="V537" t="s">
        <v>30</v>
      </c>
      <c r="W537">
        <v>4.7696123869999996</v>
      </c>
      <c r="X537" t="s">
        <v>40</v>
      </c>
      <c r="Y537" t="s">
        <v>41</v>
      </c>
      <c r="Z537">
        <v>863.65211851102504</v>
      </c>
    </row>
    <row r="538" spans="1:26" x14ac:dyDescent="0.3">
      <c r="A538" t="s">
        <v>42</v>
      </c>
      <c r="B538" t="s">
        <v>594</v>
      </c>
      <c r="C538">
        <v>55.475069453965602</v>
      </c>
      <c r="D538">
        <v>62</v>
      </c>
      <c r="E538">
        <v>422</v>
      </c>
      <c r="F538">
        <v>6451.8354042307401</v>
      </c>
      <c r="G538" t="s">
        <v>35</v>
      </c>
      <c r="H538">
        <v>88</v>
      </c>
      <c r="I538">
        <v>21</v>
      </c>
      <c r="J538">
        <v>100</v>
      </c>
      <c r="K538">
        <v>1</v>
      </c>
      <c r="L538" t="s">
        <v>44</v>
      </c>
      <c r="M538">
        <v>14.251083935564401</v>
      </c>
      <c r="N538" t="s">
        <v>37</v>
      </c>
      <c r="O538" t="s">
        <v>58</v>
      </c>
      <c r="P538">
        <f>VLOOKUP(O538, Coordinates!$A$2:$C$6, 2, FALSE)</f>
        <v>34.052199999999999</v>
      </c>
      <c r="Q538">
        <f>VLOOKUP(O538, Coordinates!$A$2:$C$6, 3, FALSE)</f>
        <v>-118.2437</v>
      </c>
      <c r="R538">
        <v>2</v>
      </c>
      <c r="S538">
        <v>780</v>
      </c>
      <c r="T538">
        <v>6</v>
      </c>
      <c r="U538">
        <v>67.831716311793002</v>
      </c>
      <c r="V538" t="s">
        <v>39</v>
      </c>
      <c r="W538">
        <v>2.8884317100861199</v>
      </c>
      <c r="X538" t="s">
        <v>52</v>
      </c>
      <c r="Y538" t="s">
        <v>32</v>
      </c>
      <c r="Z538">
        <v>331.21727094417599</v>
      </c>
    </row>
    <row r="539" spans="1:26" x14ac:dyDescent="0.3">
      <c r="A539" t="s">
        <v>72</v>
      </c>
      <c r="B539" t="s">
        <v>595</v>
      </c>
      <c r="C539">
        <v>22.1544775958264</v>
      </c>
      <c r="D539">
        <v>95</v>
      </c>
      <c r="E539">
        <v>949</v>
      </c>
      <c r="F539">
        <v>18922.139314595301</v>
      </c>
      <c r="G539" t="s">
        <v>48</v>
      </c>
      <c r="H539">
        <v>47</v>
      </c>
      <c r="I539">
        <v>29</v>
      </c>
      <c r="J539">
        <v>66</v>
      </c>
      <c r="K539">
        <v>4</v>
      </c>
      <c r="L539" t="s">
        <v>36</v>
      </c>
      <c r="M539">
        <v>4.2354423450159704</v>
      </c>
      <c r="N539" t="s">
        <v>51</v>
      </c>
      <c r="O539" t="s">
        <v>67</v>
      </c>
      <c r="P539">
        <f>VLOOKUP(O539, Coordinates!$A$2:$C$6, 2, FALSE)</f>
        <v>40.712800000000001</v>
      </c>
      <c r="Q539">
        <f>VLOOKUP(O539, Coordinates!$A$2:$C$6, 3, FALSE)</f>
        <v>-74.006</v>
      </c>
      <c r="R539">
        <v>20</v>
      </c>
      <c r="S539">
        <v>154</v>
      </c>
      <c r="T539">
        <v>4</v>
      </c>
      <c r="U539">
        <v>75.619592869361099</v>
      </c>
      <c r="V539" t="s">
        <v>30</v>
      </c>
      <c r="W539">
        <v>2.04248374594011</v>
      </c>
      <c r="X539" t="s">
        <v>46</v>
      </c>
      <c r="Y539" t="s">
        <v>60</v>
      </c>
      <c r="Z539">
        <v>325.48735677006198</v>
      </c>
    </row>
    <row r="540" spans="1:26" x14ac:dyDescent="0.3">
      <c r="A540" t="s">
        <v>24</v>
      </c>
      <c r="B540" t="s">
        <v>596</v>
      </c>
      <c r="C540">
        <v>36.710923315933698</v>
      </c>
      <c r="D540">
        <v>1</v>
      </c>
      <c r="E540">
        <v>314</v>
      </c>
      <c r="F540">
        <v>10374.5069290828</v>
      </c>
      <c r="G540" t="s">
        <v>35</v>
      </c>
      <c r="H540">
        <v>7</v>
      </c>
      <c r="I540">
        <v>10</v>
      </c>
      <c r="J540">
        <v>46</v>
      </c>
      <c r="K540">
        <v>6</v>
      </c>
      <c r="L540" t="s">
        <v>36</v>
      </c>
      <c r="M540">
        <v>3.3925488749700801</v>
      </c>
      <c r="N540" t="s">
        <v>37</v>
      </c>
      <c r="O540" t="s">
        <v>65</v>
      </c>
      <c r="P540">
        <f>VLOOKUP(O540, Coordinates!$A$2:$C$6, 2, FALSE)</f>
        <v>41.878100000000003</v>
      </c>
      <c r="Q540">
        <f>VLOOKUP(O540, Coordinates!$A$2:$C$6, 3, FALSE)</f>
        <v>-87.629800000000003</v>
      </c>
      <c r="R540">
        <v>4</v>
      </c>
      <c r="S540">
        <v>570</v>
      </c>
      <c r="T540">
        <v>20</v>
      </c>
      <c r="U540">
        <v>88.627962669826005</v>
      </c>
      <c r="V540" t="s">
        <v>39</v>
      </c>
      <c r="W540">
        <v>1.2135015993464999</v>
      </c>
      <c r="X540" t="s">
        <v>40</v>
      </c>
      <c r="Y540" t="s">
        <v>60</v>
      </c>
      <c r="Z540">
        <v>205.922310377586</v>
      </c>
    </row>
    <row r="541" spans="1:26" x14ac:dyDescent="0.3">
      <c r="A541" t="s">
        <v>24</v>
      </c>
      <c r="B541" t="s">
        <v>597</v>
      </c>
      <c r="C541">
        <v>29.5424200911865</v>
      </c>
      <c r="D541">
        <v>12</v>
      </c>
      <c r="E541">
        <v>35</v>
      </c>
      <c r="F541">
        <v>930.58623290000003</v>
      </c>
      <c r="G541" t="s">
        <v>26</v>
      </c>
      <c r="H541">
        <v>72</v>
      </c>
      <c r="I541">
        <v>18</v>
      </c>
      <c r="J541">
        <v>16</v>
      </c>
      <c r="K541">
        <v>6</v>
      </c>
      <c r="L541" t="s">
        <v>44</v>
      </c>
      <c r="M541">
        <v>8.8503500202756396</v>
      </c>
      <c r="N541" t="s">
        <v>28</v>
      </c>
      <c r="O541" t="s">
        <v>29</v>
      </c>
      <c r="P541">
        <f>VLOOKUP(O541, Coordinates!$A$2:$C$6, 2, FALSE)</f>
        <v>29.760400000000001</v>
      </c>
      <c r="Q541">
        <f>VLOOKUP(O541, Coordinates!$A$2:$C$6, 3, FALSE)</f>
        <v>-95.369799999999998</v>
      </c>
      <c r="R541">
        <v>2</v>
      </c>
      <c r="S541">
        <v>183</v>
      </c>
      <c r="T541">
        <v>1</v>
      </c>
      <c r="U541">
        <v>79.230224570000004</v>
      </c>
      <c r="V541" t="s">
        <v>30</v>
      </c>
      <c r="W541">
        <v>0.97950652353220302</v>
      </c>
      <c r="X541" t="s">
        <v>31</v>
      </c>
      <c r="Y541" t="s">
        <v>60</v>
      </c>
      <c r="Z541">
        <v>877.26970601640403</v>
      </c>
    </row>
    <row r="542" spans="1:26" x14ac:dyDescent="0.3">
      <c r="A542" t="s">
        <v>82</v>
      </c>
      <c r="B542" t="s">
        <v>598</v>
      </c>
      <c r="C542">
        <v>30.438784171391699</v>
      </c>
      <c r="D542">
        <v>4</v>
      </c>
      <c r="E542">
        <v>830</v>
      </c>
      <c r="F542">
        <v>6160.6146330793299</v>
      </c>
      <c r="G542" t="s">
        <v>26</v>
      </c>
      <c r="H542">
        <v>14</v>
      </c>
      <c r="I542">
        <v>3</v>
      </c>
      <c r="J542">
        <v>14</v>
      </c>
      <c r="K542">
        <v>7</v>
      </c>
      <c r="L542" t="s">
        <v>36</v>
      </c>
      <c r="M542">
        <v>9.2148820351241003</v>
      </c>
      <c r="N542" t="s">
        <v>45</v>
      </c>
      <c r="O542" t="s">
        <v>38</v>
      </c>
      <c r="P542">
        <f>VLOOKUP(O542, Coordinates!$A$2:$C$6, 2, FALSE)</f>
        <v>25.761700000000001</v>
      </c>
      <c r="Q542">
        <f>VLOOKUP(O542, Coordinates!$A$2:$C$6, 3, FALSE)</f>
        <v>-80.191800000000001</v>
      </c>
      <c r="R542">
        <v>26</v>
      </c>
      <c r="S542">
        <v>105</v>
      </c>
      <c r="T542">
        <v>28</v>
      </c>
      <c r="U542">
        <v>96.348856264388303</v>
      </c>
      <c r="V542" t="s">
        <v>39</v>
      </c>
      <c r="W542">
        <v>4.9464714483555996</v>
      </c>
      <c r="X542" t="s">
        <v>40</v>
      </c>
      <c r="Y542" t="s">
        <v>41</v>
      </c>
      <c r="Z542">
        <v>752.55285814645902</v>
      </c>
    </row>
    <row r="543" spans="1:26" x14ac:dyDescent="0.3">
      <c r="A543" t="s">
        <v>33</v>
      </c>
      <c r="B543" t="s">
        <v>599</v>
      </c>
      <c r="C543">
        <v>79.970280425929403</v>
      </c>
      <c r="D543">
        <v>42</v>
      </c>
      <c r="E543">
        <v>108</v>
      </c>
      <c r="F543">
        <v>9351.1056687582404</v>
      </c>
      <c r="G543" t="s">
        <v>54</v>
      </c>
      <c r="H543">
        <v>31</v>
      </c>
      <c r="I543">
        <v>12</v>
      </c>
      <c r="J543">
        <v>88</v>
      </c>
      <c r="K543">
        <v>5</v>
      </c>
      <c r="L543" t="s">
        <v>27</v>
      </c>
      <c r="M543">
        <v>10.271500999329101</v>
      </c>
      <c r="N543" t="s">
        <v>28</v>
      </c>
      <c r="O543" t="s">
        <v>65</v>
      </c>
      <c r="P543">
        <f>VLOOKUP(O543, Coordinates!$A$2:$C$6, 2, FALSE)</f>
        <v>41.878100000000003</v>
      </c>
      <c r="Q543">
        <f>VLOOKUP(O543, Coordinates!$A$2:$C$6, 3, FALSE)</f>
        <v>-87.629800000000003</v>
      </c>
      <c r="R543">
        <v>2</v>
      </c>
      <c r="S543">
        <v>990</v>
      </c>
      <c r="T543">
        <v>10</v>
      </c>
      <c r="U543">
        <v>42.549435299999999</v>
      </c>
      <c r="V543" t="s">
        <v>55</v>
      </c>
      <c r="W543">
        <v>4.2416265871082901</v>
      </c>
      <c r="X543" t="s">
        <v>46</v>
      </c>
      <c r="Y543" t="s">
        <v>32</v>
      </c>
      <c r="Z543">
        <v>407.491150240075</v>
      </c>
    </row>
    <row r="544" spans="1:26" x14ac:dyDescent="0.3">
      <c r="A544" t="s">
        <v>42</v>
      </c>
      <c r="B544" t="s">
        <v>600</v>
      </c>
      <c r="C544">
        <v>59.468187835345702</v>
      </c>
      <c r="D544">
        <v>13</v>
      </c>
      <c r="E544">
        <v>686</v>
      </c>
      <c r="F544">
        <v>8455.4033104148093</v>
      </c>
      <c r="G544" t="s">
        <v>35</v>
      </c>
      <c r="H544">
        <v>52</v>
      </c>
      <c r="I544">
        <v>16</v>
      </c>
      <c r="J544">
        <v>60</v>
      </c>
      <c r="K544">
        <v>9</v>
      </c>
      <c r="L544" t="s">
        <v>36</v>
      </c>
      <c r="M544">
        <v>11.3808729638153</v>
      </c>
      <c r="N544" t="s">
        <v>45</v>
      </c>
      <c r="O544" t="s">
        <v>38</v>
      </c>
      <c r="P544">
        <f>VLOOKUP(O544, Coordinates!$A$2:$C$6, 2, FALSE)</f>
        <v>25.761700000000001</v>
      </c>
      <c r="Q544">
        <f>VLOOKUP(O544, Coordinates!$A$2:$C$6, 3, FALSE)</f>
        <v>-80.191800000000001</v>
      </c>
      <c r="R544">
        <v>25</v>
      </c>
      <c r="S544">
        <v>462</v>
      </c>
      <c r="T544">
        <v>13</v>
      </c>
      <c r="U544">
        <v>36.543353177988102</v>
      </c>
      <c r="V544" t="s">
        <v>39</v>
      </c>
      <c r="W544">
        <v>4.0531797449999996</v>
      </c>
      <c r="X544" t="s">
        <v>52</v>
      </c>
      <c r="Y544" t="s">
        <v>32</v>
      </c>
      <c r="Z544">
        <v>414.47512860924502</v>
      </c>
    </row>
    <row r="545" spans="1:26" x14ac:dyDescent="0.3">
      <c r="A545" t="s">
        <v>82</v>
      </c>
      <c r="B545" t="s">
        <v>601</v>
      </c>
      <c r="C545">
        <v>67.588381659999996</v>
      </c>
      <c r="D545">
        <v>98</v>
      </c>
      <c r="E545">
        <v>190</v>
      </c>
      <c r="F545">
        <v>3906.8086002742698</v>
      </c>
      <c r="G545" t="s">
        <v>35</v>
      </c>
      <c r="H545">
        <v>66</v>
      </c>
      <c r="I545">
        <v>18</v>
      </c>
      <c r="J545">
        <v>17</v>
      </c>
      <c r="K545">
        <v>2</v>
      </c>
      <c r="L545" t="s">
        <v>44</v>
      </c>
      <c r="M545">
        <v>9.4134023490000001</v>
      </c>
      <c r="N545" t="s">
        <v>28</v>
      </c>
      <c r="O545" t="s">
        <v>58</v>
      </c>
      <c r="P545">
        <f>VLOOKUP(O545, Coordinates!$A$2:$C$6, 2, FALSE)</f>
        <v>34.052199999999999</v>
      </c>
      <c r="Q545">
        <f>VLOOKUP(O545, Coordinates!$A$2:$C$6, 3, FALSE)</f>
        <v>-118.2437</v>
      </c>
      <c r="R545">
        <v>29</v>
      </c>
      <c r="S545">
        <v>955</v>
      </c>
      <c r="T545">
        <v>12</v>
      </c>
      <c r="U545">
        <v>64.108716904428107</v>
      </c>
      <c r="V545" t="s">
        <v>30</v>
      </c>
      <c r="W545">
        <v>2.7532952318664101</v>
      </c>
      <c r="X545" t="s">
        <v>31</v>
      </c>
      <c r="Y545" t="s">
        <v>32</v>
      </c>
      <c r="Z545">
        <v>860.31515060000004</v>
      </c>
    </row>
    <row r="546" spans="1:26" x14ac:dyDescent="0.3">
      <c r="A546" t="s">
        <v>61</v>
      </c>
      <c r="B546" t="s">
        <v>602</v>
      </c>
      <c r="C546">
        <v>28.9691887347436</v>
      </c>
      <c r="D546">
        <v>85</v>
      </c>
      <c r="E546">
        <v>132</v>
      </c>
      <c r="F546">
        <v>3135.28927291423</v>
      </c>
      <c r="G546" t="s">
        <v>35</v>
      </c>
      <c r="H546">
        <v>3</v>
      </c>
      <c r="I546">
        <v>17</v>
      </c>
      <c r="J546">
        <v>65</v>
      </c>
      <c r="K546">
        <v>2</v>
      </c>
      <c r="L546" t="s">
        <v>36</v>
      </c>
      <c r="M546">
        <v>2.5645420520752702</v>
      </c>
      <c r="N546" t="s">
        <v>57</v>
      </c>
      <c r="O546" t="s">
        <v>38</v>
      </c>
      <c r="P546">
        <f>VLOOKUP(O546, Coordinates!$A$2:$C$6, 2, FALSE)</f>
        <v>25.761700000000001</v>
      </c>
      <c r="Q546">
        <f>VLOOKUP(O546, Coordinates!$A$2:$C$6, 3, FALSE)</f>
        <v>-80.191800000000001</v>
      </c>
      <c r="R546">
        <v>22</v>
      </c>
      <c r="S546">
        <v>867</v>
      </c>
      <c r="T546">
        <v>11</v>
      </c>
      <c r="U546">
        <v>29.9007482108773</v>
      </c>
      <c r="V546" t="s">
        <v>30</v>
      </c>
      <c r="W546">
        <v>3.5336338062451902</v>
      </c>
      <c r="X546" t="s">
        <v>40</v>
      </c>
      <c r="Y546" t="s">
        <v>41</v>
      </c>
      <c r="Z546">
        <v>934.8235641</v>
      </c>
    </row>
    <row r="547" spans="1:26" x14ac:dyDescent="0.3">
      <c r="A547" t="s">
        <v>61</v>
      </c>
      <c r="B547" t="s">
        <v>603</v>
      </c>
      <c r="C547">
        <v>25.9214036308449</v>
      </c>
      <c r="D547">
        <v>86</v>
      </c>
      <c r="E547">
        <v>214</v>
      </c>
      <c r="F547">
        <v>3363.7025112946599</v>
      </c>
      <c r="G547" t="s">
        <v>26</v>
      </c>
      <c r="H547">
        <v>29</v>
      </c>
      <c r="I547">
        <v>7</v>
      </c>
      <c r="J547">
        <v>82</v>
      </c>
      <c r="K547">
        <v>4</v>
      </c>
      <c r="L547" t="s">
        <v>44</v>
      </c>
      <c r="M547">
        <v>12.0622115879722</v>
      </c>
      <c r="N547" t="s">
        <v>37</v>
      </c>
      <c r="O547" t="s">
        <v>58</v>
      </c>
      <c r="P547">
        <f>VLOOKUP(O547, Coordinates!$A$2:$C$6, 2, FALSE)</f>
        <v>34.052199999999999</v>
      </c>
      <c r="Q547">
        <f>VLOOKUP(O547, Coordinates!$A$2:$C$6, 3, FALSE)</f>
        <v>-118.2437</v>
      </c>
      <c r="R547">
        <v>21</v>
      </c>
      <c r="S547">
        <v>809</v>
      </c>
      <c r="T547">
        <v>4</v>
      </c>
      <c r="U547">
        <v>60.035064087128397</v>
      </c>
      <c r="V547" t="s">
        <v>30</v>
      </c>
      <c r="W547">
        <v>0.29147787527787899</v>
      </c>
      <c r="X547" t="s">
        <v>52</v>
      </c>
      <c r="Y547" t="s">
        <v>60</v>
      </c>
      <c r="Z547">
        <v>642.18331979678305</v>
      </c>
    </row>
    <row r="548" spans="1:26" x14ac:dyDescent="0.3">
      <c r="A548" t="s">
        <v>82</v>
      </c>
      <c r="B548" t="s">
        <v>604</v>
      </c>
      <c r="C548">
        <v>51.395589753379099</v>
      </c>
      <c r="D548">
        <v>4</v>
      </c>
      <c r="E548">
        <v>418</v>
      </c>
      <c r="F548">
        <v>5539.78935743691</v>
      </c>
      <c r="G548" t="s">
        <v>48</v>
      </c>
      <c r="H548">
        <v>12</v>
      </c>
      <c r="I548">
        <v>30</v>
      </c>
      <c r="J548">
        <v>20</v>
      </c>
      <c r="K548">
        <v>4</v>
      </c>
      <c r="L548" t="s">
        <v>36</v>
      </c>
      <c r="M548">
        <v>2.1132405833447598</v>
      </c>
      <c r="N548" t="s">
        <v>37</v>
      </c>
      <c r="O548" t="s">
        <v>38</v>
      </c>
      <c r="P548">
        <f>VLOOKUP(O548, Coordinates!$A$2:$C$6, 2, FALSE)</f>
        <v>25.761700000000001</v>
      </c>
      <c r="Q548">
        <f>VLOOKUP(O548, Coordinates!$A$2:$C$6, 3, FALSE)</f>
        <v>-80.191800000000001</v>
      </c>
      <c r="R548">
        <v>20</v>
      </c>
      <c r="S548">
        <v>763</v>
      </c>
      <c r="T548">
        <v>17</v>
      </c>
      <c r="U548">
        <v>24.008680977187598</v>
      </c>
      <c r="V548" t="s">
        <v>30</v>
      </c>
      <c r="W548">
        <v>1.7544852371809101</v>
      </c>
      <c r="X548" t="s">
        <v>46</v>
      </c>
      <c r="Y548" t="s">
        <v>41</v>
      </c>
      <c r="Z548">
        <v>466.15541910182401</v>
      </c>
    </row>
    <row r="549" spans="1:26" x14ac:dyDescent="0.3">
      <c r="A549" t="s">
        <v>24</v>
      </c>
      <c r="B549" t="s">
        <v>605</v>
      </c>
      <c r="C549">
        <v>27.031581556105898</v>
      </c>
      <c r="D549">
        <v>82</v>
      </c>
      <c r="E549">
        <v>285</v>
      </c>
      <c r="F549">
        <v>6933.6006690000004</v>
      </c>
      <c r="G549" t="s">
        <v>26</v>
      </c>
      <c r="H549">
        <v>20</v>
      </c>
      <c r="I549">
        <v>19</v>
      </c>
      <c r="J549">
        <v>31</v>
      </c>
      <c r="K549">
        <v>4</v>
      </c>
      <c r="L549" t="s">
        <v>44</v>
      </c>
      <c r="M549">
        <v>1.27989760704068</v>
      </c>
      <c r="N549" t="s">
        <v>51</v>
      </c>
      <c r="O549" t="s">
        <v>29</v>
      </c>
      <c r="P549">
        <f>VLOOKUP(O549, Coordinates!$A$2:$C$6, 2, FALSE)</f>
        <v>29.760400000000001</v>
      </c>
      <c r="Q549">
        <f>VLOOKUP(O549, Coordinates!$A$2:$C$6, 3, FALSE)</f>
        <v>-95.369799999999998</v>
      </c>
      <c r="R549">
        <v>6</v>
      </c>
      <c r="S549">
        <v>929</v>
      </c>
      <c r="T549">
        <v>15</v>
      </c>
      <c r="U549">
        <v>84.569614720000004</v>
      </c>
      <c r="V549" t="s">
        <v>30</v>
      </c>
      <c r="W549">
        <v>3.6487644488105402</v>
      </c>
      <c r="X549" t="s">
        <v>31</v>
      </c>
      <c r="Y549" t="s">
        <v>32</v>
      </c>
      <c r="Z549">
        <v>147.82925860767301</v>
      </c>
    </row>
    <row r="550" spans="1:26" x14ac:dyDescent="0.3">
      <c r="A550" t="s">
        <v>61</v>
      </c>
      <c r="B550" t="s">
        <v>606</v>
      </c>
      <c r="C550">
        <v>54.8977769644152</v>
      </c>
      <c r="D550">
        <v>69</v>
      </c>
      <c r="E550">
        <v>963</v>
      </c>
      <c r="F550">
        <v>5528.9728646466501</v>
      </c>
      <c r="G550" t="s">
        <v>54</v>
      </c>
      <c r="H550">
        <v>40</v>
      </c>
      <c r="I550">
        <v>23</v>
      </c>
      <c r="J550">
        <v>86</v>
      </c>
      <c r="K550">
        <v>1</v>
      </c>
      <c r="L550" t="s">
        <v>36</v>
      </c>
      <c r="M550">
        <v>11.7752147525662</v>
      </c>
      <c r="N550" t="s">
        <v>57</v>
      </c>
      <c r="O550" t="s">
        <v>38</v>
      </c>
      <c r="P550">
        <f>VLOOKUP(O550, Coordinates!$A$2:$C$6, 2, FALSE)</f>
        <v>25.761700000000001</v>
      </c>
      <c r="Q550">
        <f>VLOOKUP(O550, Coordinates!$A$2:$C$6, 3, FALSE)</f>
        <v>-80.191800000000001</v>
      </c>
      <c r="R550">
        <v>4</v>
      </c>
      <c r="S550">
        <v>269</v>
      </c>
      <c r="T550">
        <v>21</v>
      </c>
      <c r="U550">
        <v>64.214126528065904</v>
      </c>
      <c r="V550" t="s">
        <v>39</v>
      </c>
      <c r="W550">
        <v>3.4230951325963499</v>
      </c>
      <c r="X550" t="s">
        <v>52</v>
      </c>
      <c r="Y550" t="s">
        <v>41</v>
      </c>
      <c r="Z550">
        <v>213.90851331419199</v>
      </c>
    </row>
    <row r="551" spans="1:26" x14ac:dyDescent="0.3">
      <c r="A551" t="s">
        <v>72</v>
      </c>
      <c r="B551" t="s">
        <v>607</v>
      </c>
      <c r="C551">
        <v>23.077160774692299</v>
      </c>
      <c r="D551">
        <v>19</v>
      </c>
      <c r="E551">
        <v>257</v>
      </c>
      <c r="F551">
        <v>5337.7472871863301</v>
      </c>
      <c r="G551" t="s">
        <v>26</v>
      </c>
      <c r="H551">
        <v>18</v>
      </c>
      <c r="I551">
        <v>28</v>
      </c>
      <c r="J551">
        <v>20</v>
      </c>
      <c r="K551">
        <v>4</v>
      </c>
      <c r="L551" t="s">
        <v>27</v>
      </c>
      <c r="M551">
        <v>8.6770039420000007</v>
      </c>
      <c r="N551" t="s">
        <v>51</v>
      </c>
      <c r="O551" t="s">
        <v>29</v>
      </c>
      <c r="P551">
        <f>VLOOKUP(O551, Coordinates!$A$2:$C$6, 2, FALSE)</f>
        <v>29.760400000000001</v>
      </c>
      <c r="Q551">
        <f>VLOOKUP(O551, Coordinates!$A$2:$C$6, 3, FALSE)</f>
        <v>-95.369799999999998</v>
      </c>
      <c r="R551">
        <v>25</v>
      </c>
      <c r="S551">
        <v>859</v>
      </c>
      <c r="T551">
        <v>29</v>
      </c>
      <c r="U551">
        <v>86.027445125079396</v>
      </c>
      <c r="V551" t="s">
        <v>39</v>
      </c>
      <c r="W551">
        <v>0.26673862208045601</v>
      </c>
      <c r="X551" t="s">
        <v>46</v>
      </c>
      <c r="Y551" t="s">
        <v>41</v>
      </c>
      <c r="Z551">
        <v>227.60904033749</v>
      </c>
    </row>
    <row r="552" spans="1:26" x14ac:dyDescent="0.3">
      <c r="A552" t="s">
        <v>72</v>
      </c>
      <c r="B552" t="s">
        <v>608</v>
      </c>
      <c r="C552">
        <v>20.013393366014299</v>
      </c>
      <c r="D552">
        <v>2</v>
      </c>
      <c r="E552">
        <v>23</v>
      </c>
      <c r="F552">
        <v>414.27724267649597</v>
      </c>
      <c r="G552" t="s">
        <v>26</v>
      </c>
      <c r="H552">
        <v>47</v>
      </c>
      <c r="I552">
        <v>23</v>
      </c>
      <c r="J552">
        <v>69</v>
      </c>
      <c r="K552">
        <v>5</v>
      </c>
      <c r="L552" t="s">
        <v>44</v>
      </c>
      <c r="M552">
        <v>10.7802798602113</v>
      </c>
      <c r="N552" t="s">
        <v>37</v>
      </c>
      <c r="O552" t="s">
        <v>65</v>
      </c>
      <c r="P552">
        <f>VLOOKUP(O552, Coordinates!$A$2:$C$6, 2, FALSE)</f>
        <v>41.878100000000003</v>
      </c>
      <c r="Q552">
        <f>VLOOKUP(O552, Coordinates!$A$2:$C$6, 3, FALSE)</f>
        <v>-87.629800000000003</v>
      </c>
      <c r="R552">
        <v>27</v>
      </c>
      <c r="S552">
        <v>348</v>
      </c>
      <c r="T552">
        <v>3</v>
      </c>
      <c r="U552">
        <v>88.347002259999996</v>
      </c>
      <c r="V552" t="s">
        <v>30</v>
      </c>
      <c r="W552">
        <v>1.18909249186702</v>
      </c>
      <c r="X552" t="s">
        <v>31</v>
      </c>
      <c r="Y552" t="s">
        <v>41</v>
      </c>
      <c r="Z552">
        <v>349.12301008122301</v>
      </c>
    </row>
    <row r="553" spans="1:26" x14ac:dyDescent="0.3">
      <c r="A553" t="s">
        <v>82</v>
      </c>
      <c r="B553" t="s">
        <v>609</v>
      </c>
      <c r="C553">
        <v>11.14525488</v>
      </c>
      <c r="D553">
        <v>12</v>
      </c>
      <c r="E553">
        <v>716</v>
      </c>
      <c r="F553">
        <v>8253.7311580385795</v>
      </c>
      <c r="G553" t="s">
        <v>26</v>
      </c>
      <c r="H553">
        <v>85</v>
      </c>
      <c r="I553">
        <v>8</v>
      </c>
      <c r="J553">
        <v>24</v>
      </c>
      <c r="K553">
        <v>9</v>
      </c>
      <c r="L553" t="s">
        <v>44</v>
      </c>
      <c r="M553">
        <v>6.3584625389063802</v>
      </c>
      <c r="N553" t="s">
        <v>51</v>
      </c>
      <c r="O553" t="s">
        <v>58</v>
      </c>
      <c r="P553">
        <f>VLOOKUP(O553, Coordinates!$A$2:$C$6, 2, FALSE)</f>
        <v>34.052199999999999</v>
      </c>
      <c r="Q553">
        <f>VLOOKUP(O553, Coordinates!$A$2:$C$6, 3, FALSE)</f>
        <v>-118.2437</v>
      </c>
      <c r="R553">
        <v>26</v>
      </c>
      <c r="S553">
        <v>761</v>
      </c>
      <c r="T553">
        <v>29</v>
      </c>
      <c r="U553">
        <v>32.0912450560404</v>
      </c>
      <c r="V553" t="s">
        <v>30</v>
      </c>
      <c r="W553">
        <v>3.399786072225</v>
      </c>
      <c r="X553" t="s">
        <v>40</v>
      </c>
      <c r="Y553" t="s">
        <v>32</v>
      </c>
      <c r="Z553">
        <v>331.32864058727102</v>
      </c>
    </row>
    <row r="554" spans="1:26" x14ac:dyDescent="0.3">
      <c r="A554" t="s">
        <v>42</v>
      </c>
      <c r="B554" t="s">
        <v>610</v>
      </c>
      <c r="C554">
        <v>95.803325953471401</v>
      </c>
      <c r="D554">
        <v>81</v>
      </c>
      <c r="E554">
        <v>736</v>
      </c>
      <c r="F554">
        <v>3605.4807860774699</v>
      </c>
      <c r="G554" t="s">
        <v>54</v>
      </c>
      <c r="H554">
        <v>62</v>
      </c>
      <c r="I554">
        <v>17</v>
      </c>
      <c r="J554">
        <v>47</v>
      </c>
      <c r="K554">
        <v>3</v>
      </c>
      <c r="L554" t="s">
        <v>36</v>
      </c>
      <c r="M554">
        <v>1.1552949093428899</v>
      </c>
      <c r="N554" t="s">
        <v>45</v>
      </c>
      <c r="O554" t="s">
        <v>38</v>
      </c>
      <c r="P554">
        <f>VLOOKUP(O554, Coordinates!$A$2:$C$6, 2, FALSE)</f>
        <v>25.761700000000001</v>
      </c>
      <c r="Q554">
        <f>VLOOKUP(O554, Coordinates!$A$2:$C$6, 3, FALSE)</f>
        <v>-80.191800000000001</v>
      </c>
      <c r="R554">
        <v>29</v>
      </c>
      <c r="S554">
        <v>309</v>
      </c>
      <c r="T554">
        <v>10</v>
      </c>
      <c r="U554">
        <v>39.783007705023401</v>
      </c>
      <c r="V554" t="s">
        <v>39</v>
      </c>
      <c r="W554">
        <v>4.2356812807171504</v>
      </c>
      <c r="X554" t="s">
        <v>52</v>
      </c>
      <c r="Y554" t="s">
        <v>60</v>
      </c>
      <c r="Z554">
        <v>588.59348305698404</v>
      </c>
    </row>
    <row r="555" spans="1:26" x14ac:dyDescent="0.3">
      <c r="A555" t="s">
        <v>42</v>
      </c>
      <c r="B555" t="s">
        <v>611</v>
      </c>
      <c r="C555">
        <v>7.3884860363409004</v>
      </c>
      <c r="D555">
        <v>74</v>
      </c>
      <c r="E555">
        <v>140</v>
      </c>
      <c r="F555">
        <v>6977.1316535501501</v>
      </c>
      <c r="G555" t="s">
        <v>35</v>
      </c>
      <c r="H555">
        <v>19</v>
      </c>
      <c r="I555">
        <v>21</v>
      </c>
      <c r="J555">
        <v>10</v>
      </c>
      <c r="K555">
        <v>3</v>
      </c>
      <c r="L555" t="s">
        <v>36</v>
      </c>
      <c r="M555">
        <v>5.6342148878343501</v>
      </c>
      <c r="N555" t="s">
        <v>57</v>
      </c>
      <c r="O555" t="s">
        <v>38</v>
      </c>
      <c r="P555">
        <f>VLOOKUP(O555, Coordinates!$A$2:$C$6, 2, FALSE)</f>
        <v>25.761700000000001</v>
      </c>
      <c r="Q555">
        <f>VLOOKUP(O555, Coordinates!$A$2:$C$6, 3, FALSE)</f>
        <v>-80.191800000000001</v>
      </c>
      <c r="R555">
        <v>23</v>
      </c>
      <c r="S555">
        <v>839</v>
      </c>
      <c r="T555">
        <v>21</v>
      </c>
      <c r="U555">
        <v>54.851137049999998</v>
      </c>
      <c r="V555" t="s">
        <v>30</v>
      </c>
      <c r="W555">
        <v>4.0720514696869303</v>
      </c>
      <c r="X555" t="s">
        <v>46</v>
      </c>
      <c r="Y555" t="s">
        <v>32</v>
      </c>
      <c r="Z555">
        <v>949.68989244276395</v>
      </c>
    </row>
    <row r="556" spans="1:26" x14ac:dyDescent="0.3">
      <c r="A556" t="s">
        <v>82</v>
      </c>
      <c r="B556" t="s">
        <v>612</v>
      </c>
      <c r="C556">
        <v>70.972793332417297</v>
      </c>
      <c r="D556">
        <v>98</v>
      </c>
      <c r="E556">
        <v>227</v>
      </c>
      <c r="F556">
        <v>4839.3271094895399</v>
      </c>
      <c r="G556" t="s">
        <v>48</v>
      </c>
      <c r="H556">
        <v>63</v>
      </c>
      <c r="I556">
        <v>26</v>
      </c>
      <c r="J556">
        <v>55</v>
      </c>
      <c r="K556">
        <v>5</v>
      </c>
      <c r="L556" t="s">
        <v>36</v>
      </c>
      <c r="M556">
        <v>9.5138932609239895</v>
      </c>
      <c r="N556" t="s">
        <v>28</v>
      </c>
      <c r="O556" t="s">
        <v>67</v>
      </c>
      <c r="P556">
        <f>VLOOKUP(O556, Coordinates!$A$2:$C$6, 2, FALSE)</f>
        <v>40.712800000000001</v>
      </c>
      <c r="Q556">
        <f>VLOOKUP(O556, Coordinates!$A$2:$C$6, 3, FALSE)</f>
        <v>-74.006</v>
      </c>
      <c r="R556">
        <v>3</v>
      </c>
      <c r="S556">
        <v>343</v>
      </c>
      <c r="T556">
        <v>14</v>
      </c>
      <c r="U556">
        <v>32.289301090000002</v>
      </c>
      <c r="V556" t="s">
        <v>55</v>
      </c>
      <c r="W556">
        <v>0.147524295995796</v>
      </c>
      <c r="X556" t="s">
        <v>40</v>
      </c>
      <c r="Y556" t="s">
        <v>41</v>
      </c>
      <c r="Z556">
        <v>875.49491967984397</v>
      </c>
    </row>
    <row r="557" spans="1:26" x14ac:dyDescent="0.3">
      <c r="A557" t="s">
        <v>42</v>
      </c>
      <c r="B557" t="s">
        <v>613</v>
      </c>
      <c r="C557">
        <v>12.809671052619199</v>
      </c>
      <c r="D557">
        <v>6</v>
      </c>
      <c r="E557">
        <v>7</v>
      </c>
      <c r="F557">
        <v>9002.0742015469805</v>
      </c>
      <c r="G557" t="s">
        <v>48</v>
      </c>
      <c r="H557">
        <v>36</v>
      </c>
      <c r="I557">
        <v>25</v>
      </c>
      <c r="J557">
        <v>97</v>
      </c>
      <c r="K557">
        <v>10</v>
      </c>
      <c r="L557" t="s">
        <v>27</v>
      </c>
      <c r="M557">
        <v>4.1598429865815296</v>
      </c>
      <c r="N557" t="s">
        <v>45</v>
      </c>
      <c r="O557" t="s">
        <v>38</v>
      </c>
      <c r="P557">
        <f>VLOOKUP(O557, Coordinates!$A$2:$C$6, 2, FALSE)</f>
        <v>25.761700000000001</v>
      </c>
      <c r="Q557">
        <f>VLOOKUP(O557, Coordinates!$A$2:$C$6, 3, FALSE)</f>
        <v>-80.191800000000001</v>
      </c>
      <c r="R557">
        <v>28</v>
      </c>
      <c r="S557">
        <v>240</v>
      </c>
      <c r="T557">
        <v>19</v>
      </c>
      <c r="U557">
        <v>80.455101703467605</v>
      </c>
      <c r="V557" t="s">
        <v>39</v>
      </c>
      <c r="W557">
        <v>3.87273617879814</v>
      </c>
      <c r="X557" t="s">
        <v>31</v>
      </c>
      <c r="Y557" t="s">
        <v>60</v>
      </c>
      <c r="Z557">
        <v>558.24670336555198</v>
      </c>
    </row>
    <row r="558" spans="1:26" x14ac:dyDescent="0.3">
      <c r="A558" t="s">
        <v>24</v>
      </c>
      <c r="B558" t="s">
        <v>614</v>
      </c>
      <c r="C558">
        <v>32.852582052145799</v>
      </c>
      <c r="D558">
        <v>8</v>
      </c>
      <c r="E558">
        <v>967</v>
      </c>
      <c r="F558">
        <v>28591.6021599825</v>
      </c>
      <c r="G558" t="s">
        <v>54</v>
      </c>
      <c r="H558">
        <v>30</v>
      </c>
      <c r="I558">
        <v>28</v>
      </c>
      <c r="J558">
        <v>52</v>
      </c>
      <c r="K558">
        <v>6</v>
      </c>
      <c r="L558" t="s">
        <v>36</v>
      </c>
      <c r="M558">
        <v>10.629260670860999</v>
      </c>
      <c r="N558" t="s">
        <v>28</v>
      </c>
      <c r="O558" t="s">
        <v>65</v>
      </c>
      <c r="P558">
        <f>VLOOKUP(O558, Coordinates!$A$2:$C$6, 2, FALSE)</f>
        <v>41.878100000000003</v>
      </c>
      <c r="Q558">
        <f>VLOOKUP(O558, Coordinates!$A$2:$C$6, 3, FALSE)</f>
        <v>-87.629800000000003</v>
      </c>
      <c r="R558">
        <v>26</v>
      </c>
      <c r="S558">
        <v>731</v>
      </c>
      <c r="T558">
        <v>21</v>
      </c>
      <c r="U558">
        <v>76.674933050000007</v>
      </c>
      <c r="V558" t="s">
        <v>30</v>
      </c>
      <c r="W558">
        <v>1.40656490025279</v>
      </c>
      <c r="X558" t="s">
        <v>52</v>
      </c>
      <c r="Y558" t="s">
        <v>60</v>
      </c>
      <c r="Z558">
        <v>115.568433808874</v>
      </c>
    </row>
    <row r="559" spans="1:26" x14ac:dyDescent="0.3">
      <c r="A559" t="s">
        <v>24</v>
      </c>
      <c r="B559" t="s">
        <v>615</v>
      </c>
      <c r="C559">
        <v>34.520442300293603</v>
      </c>
      <c r="D559">
        <v>51</v>
      </c>
      <c r="E559">
        <v>240</v>
      </c>
      <c r="F559">
        <v>7456.4155368634301</v>
      </c>
      <c r="G559" t="s">
        <v>35</v>
      </c>
      <c r="H559">
        <v>73</v>
      </c>
      <c r="I559">
        <v>27</v>
      </c>
      <c r="J559">
        <v>31</v>
      </c>
      <c r="K559">
        <v>3</v>
      </c>
      <c r="L559" t="s">
        <v>44</v>
      </c>
      <c r="M559">
        <v>12.1216141384872</v>
      </c>
      <c r="N559" t="s">
        <v>51</v>
      </c>
      <c r="O559" t="s">
        <v>29</v>
      </c>
      <c r="P559">
        <f>VLOOKUP(O559, Coordinates!$A$2:$C$6, 2, FALSE)</f>
        <v>29.760400000000001</v>
      </c>
      <c r="Q559">
        <f>VLOOKUP(O559, Coordinates!$A$2:$C$6, 3, FALSE)</f>
        <v>-95.369799999999998</v>
      </c>
      <c r="R559">
        <v>4</v>
      </c>
      <c r="S559">
        <v>904</v>
      </c>
      <c r="T559">
        <v>4</v>
      </c>
      <c r="U559">
        <v>90.200873646534305</v>
      </c>
      <c r="V559" t="s">
        <v>30</v>
      </c>
      <c r="W559">
        <v>4.6264491740504399</v>
      </c>
      <c r="X559" t="s">
        <v>46</v>
      </c>
      <c r="Y559" t="s">
        <v>32</v>
      </c>
      <c r="Z559">
        <v>161.559012919618</v>
      </c>
    </row>
    <row r="560" spans="1:26" x14ac:dyDescent="0.3">
      <c r="A560" t="s">
        <v>42</v>
      </c>
      <c r="B560" t="s">
        <v>616</v>
      </c>
      <c r="C560">
        <v>18.064758607616401</v>
      </c>
      <c r="D560">
        <v>11</v>
      </c>
      <c r="E560">
        <v>858</v>
      </c>
      <c r="F560">
        <v>7223.5499120000004</v>
      </c>
      <c r="G560" t="s">
        <v>35</v>
      </c>
      <c r="H560">
        <v>17</v>
      </c>
      <c r="I560">
        <v>7</v>
      </c>
      <c r="J560">
        <v>12</v>
      </c>
      <c r="K560">
        <v>1</v>
      </c>
      <c r="L560" t="s">
        <v>36</v>
      </c>
      <c r="M560">
        <v>7.3597379771178204</v>
      </c>
      <c r="N560" t="s">
        <v>37</v>
      </c>
      <c r="O560" t="s">
        <v>65</v>
      </c>
      <c r="P560">
        <f>VLOOKUP(O560, Coordinates!$A$2:$C$6, 2, FALSE)</f>
        <v>41.878100000000003</v>
      </c>
      <c r="Q560">
        <f>VLOOKUP(O560, Coordinates!$A$2:$C$6, 3, FALSE)</f>
        <v>-87.629800000000003</v>
      </c>
      <c r="R560">
        <v>17</v>
      </c>
      <c r="S560">
        <v>279</v>
      </c>
      <c r="T560">
        <v>25</v>
      </c>
      <c r="U560">
        <v>18.769164679139301</v>
      </c>
      <c r="V560" t="s">
        <v>30</v>
      </c>
      <c r="W560">
        <v>3.9815947818533202</v>
      </c>
      <c r="X560" t="s">
        <v>52</v>
      </c>
      <c r="Y560" t="s">
        <v>32</v>
      </c>
      <c r="Z560">
        <v>874.31581640383502</v>
      </c>
    </row>
    <row r="561" spans="1:26" x14ac:dyDescent="0.3">
      <c r="A561" t="s">
        <v>72</v>
      </c>
      <c r="B561" t="s">
        <v>617</v>
      </c>
      <c r="C561">
        <v>27.761774890580799</v>
      </c>
      <c r="D561">
        <v>63</v>
      </c>
      <c r="E561">
        <v>469</v>
      </c>
      <c r="F561">
        <v>11718.2451813141</v>
      </c>
      <c r="H561">
        <v>19</v>
      </c>
      <c r="I561">
        <v>1</v>
      </c>
      <c r="J561">
        <v>23</v>
      </c>
      <c r="K561">
        <v>10</v>
      </c>
      <c r="L561" t="s">
        <v>27</v>
      </c>
      <c r="M561">
        <v>13.2600981729683</v>
      </c>
      <c r="N561" t="s">
        <v>45</v>
      </c>
      <c r="O561" t="s">
        <v>38</v>
      </c>
      <c r="P561">
        <f>VLOOKUP(O561, Coordinates!$A$2:$C$6, 2, FALSE)</f>
        <v>25.761700000000001</v>
      </c>
      <c r="Q561">
        <f>VLOOKUP(O561, Coordinates!$A$2:$C$6, 3, FALSE)</f>
        <v>-80.191800000000001</v>
      </c>
      <c r="R561">
        <v>25</v>
      </c>
      <c r="S561">
        <v>736</v>
      </c>
      <c r="T561">
        <v>14</v>
      </c>
      <c r="U561">
        <v>93.403360299297503</v>
      </c>
      <c r="V561" t="s">
        <v>55</v>
      </c>
      <c r="W561">
        <v>3.8799230816678199</v>
      </c>
      <c r="X561" t="s">
        <v>40</v>
      </c>
      <c r="Y561" t="s">
        <v>60</v>
      </c>
      <c r="Z561">
        <v>355.26702393231398</v>
      </c>
    </row>
    <row r="562" spans="1:26" x14ac:dyDescent="0.3">
      <c r="A562" t="s">
        <v>42</v>
      </c>
      <c r="B562" t="s">
        <v>618</v>
      </c>
      <c r="C562">
        <v>20.658344157942299</v>
      </c>
      <c r="D562">
        <v>57</v>
      </c>
      <c r="E562">
        <v>232</v>
      </c>
      <c r="F562">
        <v>5461.4530910000003</v>
      </c>
      <c r="G562" t="s">
        <v>26</v>
      </c>
      <c r="H562">
        <v>81</v>
      </c>
      <c r="I562">
        <v>8</v>
      </c>
      <c r="J562">
        <v>11</v>
      </c>
      <c r="K562">
        <v>8</v>
      </c>
      <c r="L562" t="s">
        <v>36</v>
      </c>
      <c r="M562">
        <v>12.967431903967601</v>
      </c>
      <c r="N562" t="s">
        <v>57</v>
      </c>
      <c r="O562" t="s">
        <v>65</v>
      </c>
      <c r="P562">
        <f>VLOOKUP(O562, Coordinates!$A$2:$C$6, 2, FALSE)</f>
        <v>41.878100000000003</v>
      </c>
      <c r="Q562">
        <f>VLOOKUP(O562, Coordinates!$A$2:$C$6, 3, FALSE)</f>
        <v>-87.629800000000003</v>
      </c>
      <c r="R562">
        <v>2</v>
      </c>
      <c r="S562">
        <v>853</v>
      </c>
      <c r="T562">
        <v>6</v>
      </c>
      <c r="U562">
        <v>63.704696714333998</v>
      </c>
      <c r="V562" t="s">
        <v>30</v>
      </c>
      <c r="W562">
        <v>2.2023957358864301</v>
      </c>
      <c r="X562" t="s">
        <v>40</v>
      </c>
      <c r="Y562" t="s">
        <v>41</v>
      </c>
      <c r="Z562">
        <v>386.28137593343098</v>
      </c>
    </row>
    <row r="563" spans="1:26" x14ac:dyDescent="0.3">
      <c r="A563" t="s">
        <v>24</v>
      </c>
      <c r="B563" t="s">
        <v>619</v>
      </c>
      <c r="C563">
        <v>23.284887407079498</v>
      </c>
      <c r="D563">
        <v>12</v>
      </c>
      <c r="E563">
        <v>917</v>
      </c>
      <c r="F563">
        <v>19217.017577062699</v>
      </c>
      <c r="G563" t="s">
        <v>35</v>
      </c>
      <c r="H563">
        <v>10</v>
      </c>
      <c r="I563">
        <v>19</v>
      </c>
      <c r="J563">
        <v>70</v>
      </c>
      <c r="K563">
        <v>1</v>
      </c>
      <c r="L563" t="s">
        <v>36</v>
      </c>
      <c r="M563">
        <v>13.292811339085601</v>
      </c>
      <c r="N563" t="s">
        <v>28</v>
      </c>
      <c r="O563" t="s">
        <v>29</v>
      </c>
      <c r="P563">
        <f>VLOOKUP(O563, Coordinates!$A$2:$C$6, 2, FALSE)</f>
        <v>29.760400000000001</v>
      </c>
      <c r="Q563">
        <f>VLOOKUP(O563, Coordinates!$A$2:$C$6, 3, FALSE)</f>
        <v>-95.369799999999998</v>
      </c>
      <c r="R563">
        <v>20</v>
      </c>
      <c r="S563">
        <v>823</v>
      </c>
      <c r="T563">
        <v>12</v>
      </c>
      <c r="U563">
        <v>80.114910733235902</v>
      </c>
      <c r="V563" t="s">
        <v>55</v>
      </c>
      <c r="W563">
        <v>4.1128104560000001</v>
      </c>
      <c r="X563" t="s">
        <v>46</v>
      </c>
      <c r="Y563" t="s">
        <v>32</v>
      </c>
      <c r="Z563">
        <v>225.799710564256</v>
      </c>
    </row>
    <row r="564" spans="1:26" x14ac:dyDescent="0.3">
      <c r="A564" t="s">
        <v>49</v>
      </c>
      <c r="B564" t="s">
        <v>620</v>
      </c>
      <c r="C564">
        <v>95.070290416286994</v>
      </c>
      <c r="D564">
        <v>73</v>
      </c>
      <c r="E564">
        <v>658</v>
      </c>
      <c r="F564">
        <v>7782.9952411862296</v>
      </c>
      <c r="G564" t="s">
        <v>48</v>
      </c>
      <c r="H564">
        <v>85</v>
      </c>
      <c r="I564">
        <v>29</v>
      </c>
      <c r="J564">
        <v>41</v>
      </c>
      <c r="K564">
        <v>2</v>
      </c>
      <c r="L564" t="s">
        <v>44</v>
      </c>
      <c r="M564">
        <v>10.2545184571956</v>
      </c>
      <c r="N564" t="s">
        <v>45</v>
      </c>
      <c r="O564" t="s">
        <v>38</v>
      </c>
      <c r="P564">
        <f>VLOOKUP(O564, Coordinates!$A$2:$C$6, 2, FALSE)</f>
        <v>25.761700000000001</v>
      </c>
      <c r="Q564">
        <f>VLOOKUP(O564, Coordinates!$A$2:$C$6, 3, FALSE)</f>
        <v>-80.191800000000001</v>
      </c>
      <c r="R564">
        <v>30</v>
      </c>
      <c r="S564">
        <v>116</v>
      </c>
      <c r="T564">
        <v>30</v>
      </c>
      <c r="U564">
        <v>11.1324223091385</v>
      </c>
      <c r="V564" t="s">
        <v>39</v>
      </c>
      <c r="W564">
        <v>4.0343406431212196</v>
      </c>
      <c r="X564" t="s">
        <v>52</v>
      </c>
      <c r="Y564" t="s">
        <v>60</v>
      </c>
      <c r="Z564">
        <v>300.80207384714703</v>
      </c>
    </row>
    <row r="565" spans="1:26" x14ac:dyDescent="0.3">
      <c r="A565" t="s">
        <v>33</v>
      </c>
      <c r="B565" t="s">
        <v>621</v>
      </c>
      <c r="C565">
        <v>47.298380667054801</v>
      </c>
      <c r="D565">
        <v>2</v>
      </c>
      <c r="E565">
        <v>950</v>
      </c>
      <c r="F565">
        <v>2980.59629306222</v>
      </c>
      <c r="G565" t="s">
        <v>54</v>
      </c>
      <c r="H565">
        <v>5</v>
      </c>
      <c r="I565">
        <v>29</v>
      </c>
      <c r="J565">
        <v>47</v>
      </c>
      <c r="K565">
        <v>3</v>
      </c>
      <c r="L565" t="s">
        <v>36</v>
      </c>
      <c r="M565">
        <v>5.2670459954301103</v>
      </c>
      <c r="N565" t="s">
        <v>37</v>
      </c>
      <c r="O565" t="s">
        <v>67</v>
      </c>
      <c r="P565">
        <f>VLOOKUP(O565, Coordinates!$A$2:$C$6, 2, FALSE)</f>
        <v>40.712800000000001</v>
      </c>
      <c r="Q565">
        <f>VLOOKUP(O565, Coordinates!$A$2:$C$6, 3, FALSE)</f>
        <v>-74.006</v>
      </c>
      <c r="R565">
        <v>15</v>
      </c>
      <c r="S565">
        <v>115</v>
      </c>
      <c r="T565">
        <v>26</v>
      </c>
      <c r="U565">
        <v>42.317674353282001</v>
      </c>
      <c r="V565" t="s">
        <v>39</v>
      </c>
      <c r="W565">
        <v>1.9997841193749899</v>
      </c>
      <c r="X565" t="s">
        <v>52</v>
      </c>
      <c r="Y565" t="s">
        <v>60</v>
      </c>
      <c r="Z565">
        <v>322.46935166312898</v>
      </c>
    </row>
    <row r="566" spans="1:26" x14ac:dyDescent="0.3">
      <c r="A566" t="s">
        <v>61</v>
      </c>
      <c r="B566" t="s">
        <v>622</v>
      </c>
      <c r="C566">
        <v>79.936215071009102</v>
      </c>
      <c r="D566">
        <v>8</v>
      </c>
      <c r="E566">
        <v>525</v>
      </c>
      <c r="F566">
        <v>4496.7803320543699</v>
      </c>
      <c r="G566" t="s">
        <v>48</v>
      </c>
      <c r="H566">
        <v>81</v>
      </c>
      <c r="I566">
        <v>20</v>
      </c>
      <c r="J566">
        <v>55</v>
      </c>
      <c r="K566">
        <v>6</v>
      </c>
      <c r="L566" t="s">
        <v>27</v>
      </c>
      <c r="M566">
        <v>7.7375179532020004</v>
      </c>
      <c r="N566" t="s">
        <v>57</v>
      </c>
      <c r="O566" t="s">
        <v>38</v>
      </c>
      <c r="P566">
        <f>VLOOKUP(O566, Coordinates!$A$2:$C$6, 2, FALSE)</f>
        <v>25.761700000000001</v>
      </c>
      <c r="Q566">
        <f>VLOOKUP(O566, Coordinates!$A$2:$C$6, 3, FALSE)</f>
        <v>-80.191800000000001</v>
      </c>
      <c r="R566">
        <v>5</v>
      </c>
      <c r="S566">
        <v>484</v>
      </c>
      <c r="T566">
        <v>2</v>
      </c>
      <c r="U566">
        <v>96.579861609999995</v>
      </c>
      <c r="V566" t="s">
        <v>55</v>
      </c>
      <c r="W566">
        <v>4.9723092387212597</v>
      </c>
      <c r="X566" t="s">
        <v>40</v>
      </c>
      <c r="Y566" t="s">
        <v>41</v>
      </c>
      <c r="Z566">
        <v>470.88411869999999</v>
      </c>
    </row>
    <row r="567" spans="1:26" x14ac:dyDescent="0.3">
      <c r="A567" t="s">
        <v>49</v>
      </c>
      <c r="B567" t="s">
        <v>623</v>
      </c>
      <c r="C567">
        <v>65.762528311879706</v>
      </c>
      <c r="D567">
        <v>11</v>
      </c>
      <c r="E567">
        <v>706</v>
      </c>
      <c r="F567">
        <v>8791.5451339611409</v>
      </c>
      <c r="G567" t="s">
        <v>26</v>
      </c>
      <c r="H567">
        <v>63</v>
      </c>
      <c r="I567">
        <v>10</v>
      </c>
      <c r="J567">
        <v>51</v>
      </c>
      <c r="K567">
        <v>4</v>
      </c>
      <c r="L567" t="s">
        <v>36</v>
      </c>
      <c r="M567">
        <v>10.9471490934352</v>
      </c>
      <c r="N567" t="s">
        <v>57</v>
      </c>
      <c r="O567" t="s">
        <v>38</v>
      </c>
      <c r="P567">
        <f>VLOOKUP(O567, Coordinates!$A$2:$C$6, 2, FALSE)</f>
        <v>25.761700000000001</v>
      </c>
      <c r="Q567">
        <f>VLOOKUP(O567, Coordinates!$A$2:$C$6, 3, FALSE)</f>
        <v>-80.191800000000001</v>
      </c>
      <c r="R567">
        <v>28</v>
      </c>
      <c r="S567">
        <v>440</v>
      </c>
      <c r="T567">
        <v>17</v>
      </c>
      <c r="U567">
        <v>72.094852686683495</v>
      </c>
      <c r="V567" t="s">
        <v>55</v>
      </c>
      <c r="W567">
        <v>4.2561931460793403</v>
      </c>
      <c r="X567" t="s">
        <v>52</v>
      </c>
      <c r="Y567" t="s">
        <v>60</v>
      </c>
      <c r="Z567">
        <v>660.83096033192805</v>
      </c>
    </row>
    <row r="568" spans="1:26" x14ac:dyDescent="0.3">
      <c r="A568" t="s">
        <v>42</v>
      </c>
      <c r="B568" t="s">
        <v>624</v>
      </c>
      <c r="C568">
        <v>69.260504422147207</v>
      </c>
      <c r="D568">
        <v>53</v>
      </c>
      <c r="E568">
        <v>866</v>
      </c>
      <c r="F568">
        <v>7519.8010624238304</v>
      </c>
      <c r="G568" t="s">
        <v>54</v>
      </c>
      <c r="H568">
        <v>33</v>
      </c>
      <c r="I568">
        <v>30</v>
      </c>
      <c r="J568">
        <v>15</v>
      </c>
      <c r="K568">
        <v>4</v>
      </c>
      <c r="L568" t="s">
        <v>36</v>
      </c>
      <c r="M568">
        <v>3.9478911456760102</v>
      </c>
      <c r="N568" t="s">
        <v>28</v>
      </c>
      <c r="O568" t="s">
        <v>58</v>
      </c>
      <c r="P568">
        <f>VLOOKUP(O568, Coordinates!$A$2:$C$6, 2, FALSE)</f>
        <v>34.052199999999999</v>
      </c>
      <c r="Q568">
        <f>VLOOKUP(O568, Coordinates!$A$2:$C$6, 3, FALSE)</f>
        <v>-118.2437</v>
      </c>
      <c r="R568">
        <v>24</v>
      </c>
      <c r="S568">
        <v>992</v>
      </c>
      <c r="T568">
        <v>1</v>
      </c>
      <c r="U568">
        <v>87.198733263021197</v>
      </c>
      <c r="V568" t="s">
        <v>30</v>
      </c>
      <c r="W568">
        <v>4.8704848437239399</v>
      </c>
      <c r="X568" t="s">
        <v>52</v>
      </c>
      <c r="Y568" t="s">
        <v>32</v>
      </c>
      <c r="Z568">
        <v>417.84047529999998</v>
      </c>
    </row>
    <row r="569" spans="1:26" x14ac:dyDescent="0.3">
      <c r="A569" t="s">
        <v>72</v>
      </c>
      <c r="B569" t="s">
        <v>625</v>
      </c>
      <c r="C569">
        <v>22.891316676009598</v>
      </c>
      <c r="D569">
        <v>100</v>
      </c>
      <c r="E569">
        <v>921</v>
      </c>
      <c r="F569">
        <v>18974.6123927443</v>
      </c>
      <c r="G569" t="s">
        <v>48</v>
      </c>
      <c r="H569">
        <v>86</v>
      </c>
      <c r="I569">
        <v>12</v>
      </c>
      <c r="J569">
        <v>50</v>
      </c>
      <c r="K569">
        <v>9</v>
      </c>
      <c r="L569" t="s">
        <v>44</v>
      </c>
      <c r="M569">
        <v>11.343809129563301</v>
      </c>
      <c r="N569" t="s">
        <v>45</v>
      </c>
      <c r="O569" t="s">
        <v>38</v>
      </c>
      <c r="P569">
        <f>VLOOKUP(O569, Coordinates!$A$2:$C$6, 2, FALSE)</f>
        <v>25.761700000000001</v>
      </c>
      <c r="Q569">
        <f>VLOOKUP(O569, Coordinates!$A$2:$C$6, 3, FALSE)</f>
        <v>-80.191800000000001</v>
      </c>
      <c r="R569">
        <v>25</v>
      </c>
      <c r="S569">
        <v>868</v>
      </c>
      <c r="T569">
        <v>17</v>
      </c>
      <c r="U569">
        <v>82.6089215191748</v>
      </c>
      <c r="V569" t="s">
        <v>55</v>
      </c>
      <c r="W569">
        <v>4.8871664543862101</v>
      </c>
      <c r="X569" t="s">
        <v>52</v>
      </c>
      <c r="Y569" t="s">
        <v>60</v>
      </c>
      <c r="Z569">
        <v>504.87694025616503</v>
      </c>
    </row>
    <row r="570" spans="1:26" x14ac:dyDescent="0.3">
      <c r="A570" t="s">
        <v>82</v>
      </c>
      <c r="B570" t="s">
        <v>626</v>
      </c>
      <c r="C570">
        <v>27.247522447471098</v>
      </c>
      <c r="D570">
        <v>10</v>
      </c>
      <c r="E570">
        <v>976</v>
      </c>
      <c r="F570">
        <v>2932.70052167521</v>
      </c>
      <c r="G570" t="s">
        <v>48</v>
      </c>
      <c r="H570">
        <v>64</v>
      </c>
      <c r="I570">
        <v>24</v>
      </c>
      <c r="J570">
        <v>34</v>
      </c>
      <c r="K570">
        <v>6</v>
      </c>
      <c r="L570" t="s">
        <v>36</v>
      </c>
      <c r="M570">
        <v>8.6732406393025592</v>
      </c>
      <c r="N570" t="s">
        <v>45</v>
      </c>
      <c r="O570" t="s">
        <v>38</v>
      </c>
      <c r="P570">
        <f>VLOOKUP(O570, Coordinates!$A$2:$C$6, 2, FALSE)</f>
        <v>25.761700000000001</v>
      </c>
      <c r="Q570">
        <f>VLOOKUP(O570, Coordinates!$A$2:$C$6, 3, FALSE)</f>
        <v>-80.191800000000001</v>
      </c>
      <c r="R570">
        <v>25</v>
      </c>
      <c r="S570">
        <v>897</v>
      </c>
      <c r="T570">
        <v>25</v>
      </c>
      <c r="U570">
        <v>16.5959339157492</v>
      </c>
      <c r="V570" t="s">
        <v>39</v>
      </c>
      <c r="W570">
        <v>4.0948070799999998</v>
      </c>
      <c r="X570" t="s">
        <v>46</v>
      </c>
      <c r="Y570" t="s">
        <v>41</v>
      </c>
      <c r="Z570">
        <v>263.71008724342801</v>
      </c>
    </row>
    <row r="571" spans="1:26" x14ac:dyDescent="0.3">
      <c r="A571" t="s">
        <v>42</v>
      </c>
      <c r="B571" t="s">
        <v>627</v>
      </c>
      <c r="C571">
        <v>79.741281839671501</v>
      </c>
      <c r="D571">
        <v>85</v>
      </c>
      <c r="E571">
        <v>934</v>
      </c>
      <c r="F571">
        <v>4203.71551749012</v>
      </c>
      <c r="G571" t="s">
        <v>26</v>
      </c>
      <c r="H571">
        <v>3</v>
      </c>
      <c r="I571">
        <v>25</v>
      </c>
      <c r="J571">
        <v>20</v>
      </c>
      <c r="K571">
        <v>2</v>
      </c>
      <c r="L571" t="s">
        <v>44</v>
      </c>
      <c r="M571">
        <v>2.3442441639698801</v>
      </c>
      <c r="N571" t="s">
        <v>57</v>
      </c>
      <c r="O571" t="s">
        <v>67</v>
      </c>
      <c r="P571">
        <f>VLOOKUP(O571, Coordinates!$A$2:$C$6, 2, FALSE)</f>
        <v>40.712800000000001</v>
      </c>
      <c r="Q571">
        <f>VLOOKUP(O571, Coordinates!$A$2:$C$6, 3, FALSE)</f>
        <v>-74.006</v>
      </c>
      <c r="R571">
        <v>17</v>
      </c>
      <c r="S571">
        <v>891</v>
      </c>
      <c r="T571">
        <v>5</v>
      </c>
      <c r="U571">
        <v>11.037678715875</v>
      </c>
      <c r="V571" t="s">
        <v>30</v>
      </c>
      <c r="W571">
        <v>4.7192193673227196</v>
      </c>
      <c r="X571" t="s">
        <v>40</v>
      </c>
      <c r="Y571" t="s">
        <v>41</v>
      </c>
      <c r="Z571">
        <v>150.75073630618499</v>
      </c>
    </row>
    <row r="572" spans="1:26" x14ac:dyDescent="0.3">
      <c r="A572" t="s">
        <v>72</v>
      </c>
      <c r="B572" t="s">
        <v>628</v>
      </c>
      <c r="C572">
        <v>23.364755610813301</v>
      </c>
      <c r="D572">
        <v>84</v>
      </c>
      <c r="E572">
        <v>996</v>
      </c>
      <c r="F572">
        <v>20944.166929533101</v>
      </c>
      <c r="G572" t="s">
        <v>54</v>
      </c>
      <c r="H572">
        <v>73</v>
      </c>
      <c r="I572">
        <v>24</v>
      </c>
      <c r="J572">
        <v>50</v>
      </c>
      <c r="K572">
        <v>7</v>
      </c>
      <c r="L572" t="s">
        <v>44</v>
      </c>
      <c r="M572">
        <v>8.8020085780000006</v>
      </c>
      <c r="N572" t="s">
        <v>51</v>
      </c>
      <c r="O572" t="s">
        <v>29</v>
      </c>
      <c r="P572">
        <f>VLOOKUP(O572, Coordinates!$A$2:$C$6, 2, FALSE)</f>
        <v>29.760400000000001</v>
      </c>
      <c r="Q572">
        <f>VLOOKUP(O572, Coordinates!$A$2:$C$6, 3, FALSE)</f>
        <v>-95.369799999999998</v>
      </c>
      <c r="R572">
        <v>25</v>
      </c>
      <c r="S572">
        <v>145</v>
      </c>
      <c r="T572">
        <v>16</v>
      </c>
      <c r="U572">
        <v>89.876363111538694</v>
      </c>
      <c r="V572" t="s">
        <v>39</v>
      </c>
      <c r="W572">
        <v>2.0990962229229502</v>
      </c>
      <c r="X572" t="s">
        <v>31</v>
      </c>
      <c r="Y572" t="s">
        <v>41</v>
      </c>
      <c r="Z572">
        <v>413.41633905650701</v>
      </c>
    </row>
    <row r="573" spans="1:26" x14ac:dyDescent="0.3">
      <c r="A573" t="s">
        <v>33</v>
      </c>
      <c r="B573" t="s">
        <v>629</v>
      </c>
      <c r="C573">
        <v>29.9541860468719</v>
      </c>
      <c r="D573">
        <v>8</v>
      </c>
      <c r="E573">
        <v>143</v>
      </c>
      <c r="F573">
        <v>2584.8035914946799</v>
      </c>
      <c r="G573" t="s">
        <v>35</v>
      </c>
      <c r="H573">
        <v>0</v>
      </c>
      <c r="I573">
        <v>25</v>
      </c>
      <c r="J573">
        <v>80</v>
      </c>
      <c r="K573">
        <v>3</v>
      </c>
      <c r="L573" t="s">
        <v>36</v>
      </c>
      <c r="M573">
        <v>1.9348659349747599</v>
      </c>
      <c r="N573" t="s">
        <v>57</v>
      </c>
      <c r="O573" t="s">
        <v>65</v>
      </c>
      <c r="P573">
        <f>VLOOKUP(O573, Coordinates!$A$2:$C$6, 2, FALSE)</f>
        <v>41.878100000000003</v>
      </c>
      <c r="Q573">
        <f>VLOOKUP(O573, Coordinates!$A$2:$C$6, 3, FALSE)</f>
        <v>-87.629800000000003</v>
      </c>
      <c r="R573">
        <v>28</v>
      </c>
      <c r="S573">
        <v>603</v>
      </c>
      <c r="T573">
        <v>14</v>
      </c>
      <c r="U573">
        <v>37.0182461818193</v>
      </c>
      <c r="V573" t="s">
        <v>55</v>
      </c>
      <c r="W573">
        <v>3.9166671674843099</v>
      </c>
      <c r="X573" t="s">
        <v>46</v>
      </c>
      <c r="Y573" t="s">
        <v>32</v>
      </c>
      <c r="Z573">
        <v>156.24231738972901</v>
      </c>
    </row>
    <row r="574" spans="1:26" x14ac:dyDescent="0.3">
      <c r="A574" t="s">
        <v>42</v>
      </c>
      <c r="B574" t="s">
        <v>630</v>
      </c>
      <c r="C574">
        <v>30.7990326513487</v>
      </c>
      <c r="D574">
        <v>36</v>
      </c>
      <c r="E574">
        <v>280</v>
      </c>
      <c r="F574">
        <v>7689.9962219999998</v>
      </c>
      <c r="G574" t="s">
        <v>35</v>
      </c>
      <c r="H574">
        <v>37</v>
      </c>
      <c r="I574">
        <v>25</v>
      </c>
      <c r="J574">
        <v>66</v>
      </c>
      <c r="K574">
        <v>9</v>
      </c>
      <c r="L574" t="s">
        <v>44</v>
      </c>
      <c r="M574">
        <v>1.2003019906526999</v>
      </c>
      <c r="N574" t="s">
        <v>37</v>
      </c>
      <c r="O574" t="s">
        <v>29</v>
      </c>
      <c r="P574">
        <f>VLOOKUP(O574, Coordinates!$A$2:$C$6, 2, FALSE)</f>
        <v>29.760400000000001</v>
      </c>
      <c r="Q574">
        <f>VLOOKUP(O574, Coordinates!$A$2:$C$6, 3, FALSE)</f>
        <v>-95.369799999999998</v>
      </c>
      <c r="R574">
        <v>1</v>
      </c>
      <c r="S574">
        <v>869</v>
      </c>
      <c r="T574">
        <v>20</v>
      </c>
      <c r="U574">
        <v>51.355444810677199</v>
      </c>
      <c r="V574" t="s">
        <v>30</v>
      </c>
      <c r="W574">
        <v>1.0644560295805401</v>
      </c>
      <c r="X574" t="s">
        <v>40</v>
      </c>
      <c r="Y574" t="s">
        <v>32</v>
      </c>
      <c r="Z574">
        <v>369.74812403147803</v>
      </c>
    </row>
    <row r="575" spans="1:26" x14ac:dyDescent="0.3">
      <c r="A575" t="s">
        <v>24</v>
      </c>
      <c r="B575" t="s">
        <v>631</v>
      </c>
      <c r="C575">
        <v>21.124166129767101</v>
      </c>
      <c r="D575">
        <v>93</v>
      </c>
      <c r="E575">
        <v>295</v>
      </c>
      <c r="F575">
        <v>5608.4661074531796</v>
      </c>
      <c r="G575" t="s">
        <v>48</v>
      </c>
      <c r="H575">
        <v>8</v>
      </c>
      <c r="I575">
        <v>21</v>
      </c>
      <c r="J575">
        <v>55</v>
      </c>
      <c r="K575">
        <v>6</v>
      </c>
      <c r="L575" t="s">
        <v>44</v>
      </c>
      <c r="M575">
        <v>13.4547873787019</v>
      </c>
      <c r="N575" t="s">
        <v>45</v>
      </c>
      <c r="O575" t="s">
        <v>38</v>
      </c>
      <c r="P575">
        <f>VLOOKUP(O575, Coordinates!$A$2:$C$6, 2, FALSE)</f>
        <v>25.761700000000001</v>
      </c>
      <c r="Q575">
        <f>VLOOKUP(O575, Coordinates!$A$2:$C$6, 3, FALSE)</f>
        <v>-80.191800000000001</v>
      </c>
      <c r="R575">
        <v>30</v>
      </c>
      <c r="S575">
        <v>242</v>
      </c>
      <c r="T575">
        <v>10</v>
      </c>
      <c r="U575">
        <v>79.9688132535439</v>
      </c>
      <c r="V575" t="s">
        <v>55</v>
      </c>
      <c r="W575">
        <v>4.3284342630000001</v>
      </c>
      <c r="X575" t="s">
        <v>46</v>
      </c>
      <c r="Y575" t="s">
        <v>32</v>
      </c>
      <c r="Z575">
        <v>853.83890957909102</v>
      </c>
    </row>
    <row r="576" spans="1:26" x14ac:dyDescent="0.3">
      <c r="A576" t="s">
        <v>82</v>
      </c>
      <c r="B576" t="s">
        <v>632</v>
      </c>
      <c r="C576">
        <v>98.464829719999997</v>
      </c>
      <c r="D576">
        <v>76</v>
      </c>
      <c r="E576">
        <v>57</v>
      </c>
      <c r="F576">
        <v>5087.5072315098696</v>
      </c>
      <c r="G576" t="s">
        <v>26</v>
      </c>
      <c r="H576">
        <v>94</v>
      </c>
      <c r="I576">
        <v>4</v>
      </c>
      <c r="J576">
        <v>95</v>
      </c>
      <c r="K576">
        <v>8</v>
      </c>
      <c r="L576" t="s">
        <v>36</v>
      </c>
      <c r="M576">
        <v>7.8588255624629202</v>
      </c>
      <c r="N576" t="s">
        <v>28</v>
      </c>
      <c r="O576" t="s">
        <v>67</v>
      </c>
      <c r="P576">
        <f>VLOOKUP(O576, Coordinates!$A$2:$C$6, 2, FALSE)</f>
        <v>40.712800000000001</v>
      </c>
      <c r="Q576">
        <f>VLOOKUP(O576, Coordinates!$A$2:$C$6, 3, FALSE)</f>
        <v>-74.006</v>
      </c>
      <c r="R576">
        <v>1</v>
      </c>
      <c r="S576">
        <v>384</v>
      </c>
      <c r="T576">
        <v>21</v>
      </c>
      <c r="U576">
        <v>75.741124185357293</v>
      </c>
      <c r="V576" t="s">
        <v>30</v>
      </c>
      <c r="W576">
        <v>3.9267664152619601</v>
      </c>
      <c r="X576" t="s">
        <v>31</v>
      </c>
      <c r="Y576" t="s">
        <v>60</v>
      </c>
      <c r="Z576">
        <v>430.23775888182598</v>
      </c>
    </row>
    <row r="577" spans="1:26" x14ac:dyDescent="0.3">
      <c r="A577" t="s">
        <v>72</v>
      </c>
      <c r="B577" t="s">
        <v>633</v>
      </c>
      <c r="C577">
        <v>27.192958590818598</v>
      </c>
      <c r="D577">
        <v>14</v>
      </c>
      <c r="E577">
        <v>691</v>
      </c>
      <c r="F577">
        <v>16911.300947630101</v>
      </c>
      <c r="G577" t="s">
        <v>48</v>
      </c>
      <c r="H577">
        <v>70</v>
      </c>
      <c r="I577">
        <v>4</v>
      </c>
      <c r="J577">
        <v>57</v>
      </c>
      <c r="K577">
        <v>1</v>
      </c>
      <c r="L577" t="s">
        <v>36</v>
      </c>
      <c r="M577">
        <v>-10</v>
      </c>
      <c r="N577" t="s">
        <v>45</v>
      </c>
      <c r="O577" t="s">
        <v>38</v>
      </c>
      <c r="P577">
        <f>VLOOKUP(O577, Coordinates!$A$2:$C$6, 2, FALSE)</f>
        <v>25.761700000000001</v>
      </c>
      <c r="Q577">
        <f>VLOOKUP(O577, Coordinates!$A$2:$C$6, 3, FALSE)</f>
        <v>-80.191800000000001</v>
      </c>
      <c r="R577">
        <v>30</v>
      </c>
      <c r="S577">
        <v>454</v>
      </c>
      <c r="T577">
        <v>25</v>
      </c>
      <c r="U577">
        <v>85.844891278124607</v>
      </c>
      <c r="V577" t="s">
        <v>55</v>
      </c>
      <c r="W577">
        <v>4.3186301998859697</v>
      </c>
      <c r="X577" t="s">
        <v>46</v>
      </c>
      <c r="Y577" t="s">
        <v>41</v>
      </c>
      <c r="Z577">
        <v>273.93558900396403</v>
      </c>
    </row>
    <row r="578" spans="1:26" x14ac:dyDescent="0.3">
      <c r="A578" t="s">
        <v>72</v>
      </c>
      <c r="B578" t="s">
        <v>634</v>
      </c>
      <c r="C578">
        <v>32.323227849219101</v>
      </c>
      <c r="D578">
        <v>54</v>
      </c>
      <c r="E578">
        <v>114</v>
      </c>
      <c r="F578">
        <v>3316.3631773298798</v>
      </c>
      <c r="G578" t="s">
        <v>26</v>
      </c>
      <c r="H578">
        <v>16</v>
      </c>
      <c r="I578">
        <v>9</v>
      </c>
      <c r="J578">
        <v>72</v>
      </c>
      <c r="K578">
        <v>2</v>
      </c>
      <c r="L578" t="s">
        <v>27</v>
      </c>
      <c r="M578">
        <v>4.9191288028237299</v>
      </c>
      <c r="N578" t="s">
        <v>57</v>
      </c>
      <c r="O578" t="s">
        <v>67</v>
      </c>
      <c r="P578">
        <f>VLOOKUP(O578, Coordinates!$A$2:$C$6, 2, FALSE)</f>
        <v>40.712800000000001</v>
      </c>
      <c r="Q578">
        <f>VLOOKUP(O578, Coordinates!$A$2:$C$6, 3, FALSE)</f>
        <v>-74.006</v>
      </c>
      <c r="R578">
        <v>29</v>
      </c>
      <c r="S578">
        <v>929</v>
      </c>
      <c r="T578">
        <v>3</v>
      </c>
      <c r="U578">
        <v>88.198936726887993</v>
      </c>
      <c r="V578" t="s">
        <v>55</v>
      </c>
      <c r="W578">
        <v>4.2490653267858001</v>
      </c>
      <c r="X578" t="s">
        <v>46</v>
      </c>
      <c r="Y578" t="s">
        <v>41</v>
      </c>
      <c r="Z578">
        <v>911.86078907881301</v>
      </c>
    </row>
    <row r="579" spans="1:26" x14ac:dyDescent="0.3">
      <c r="A579" t="s">
        <v>72</v>
      </c>
      <c r="B579" t="s">
        <v>635</v>
      </c>
      <c r="C579">
        <v>28.9421443300992</v>
      </c>
      <c r="D579">
        <v>85</v>
      </c>
      <c r="E579">
        <v>719</v>
      </c>
      <c r="F579">
        <v>18728.461596007201</v>
      </c>
      <c r="G579" t="s">
        <v>35</v>
      </c>
      <c r="H579">
        <v>98</v>
      </c>
      <c r="I579">
        <v>15</v>
      </c>
      <c r="J579">
        <v>48</v>
      </c>
      <c r="K579">
        <v>6</v>
      </c>
      <c r="L579" t="s">
        <v>27</v>
      </c>
      <c r="M579">
        <v>8.5984260724048998</v>
      </c>
      <c r="N579" t="s">
        <v>37</v>
      </c>
      <c r="O579" t="s">
        <v>29</v>
      </c>
      <c r="P579">
        <f>VLOOKUP(O579, Coordinates!$A$2:$C$6, 2, FALSE)</f>
        <v>29.760400000000001</v>
      </c>
      <c r="Q579">
        <f>VLOOKUP(O579, Coordinates!$A$2:$C$6, 3, FALSE)</f>
        <v>-95.369799999999998</v>
      </c>
      <c r="R579">
        <v>4</v>
      </c>
      <c r="S579">
        <v>624</v>
      </c>
      <c r="T579">
        <v>3</v>
      </c>
      <c r="U579">
        <v>92.585479218341703</v>
      </c>
      <c r="V579" t="s">
        <v>39</v>
      </c>
      <c r="W579">
        <v>2.06667723424802</v>
      </c>
      <c r="X579" t="s">
        <v>31</v>
      </c>
      <c r="Y579" t="s">
        <v>41</v>
      </c>
      <c r="Z579">
        <v>675.41440810830204</v>
      </c>
    </row>
    <row r="580" spans="1:26" x14ac:dyDescent="0.3">
      <c r="A580" t="s">
        <v>33</v>
      </c>
      <c r="B580" t="s">
        <v>636</v>
      </c>
      <c r="C580">
        <v>5.2774980990293896</v>
      </c>
      <c r="D580">
        <v>86</v>
      </c>
      <c r="E580">
        <v>952</v>
      </c>
      <c r="F580">
        <v>1719.8423451707899</v>
      </c>
      <c r="G580" t="s">
        <v>48</v>
      </c>
      <c r="H580">
        <v>100</v>
      </c>
      <c r="I580">
        <v>24</v>
      </c>
      <c r="J580">
        <v>19</v>
      </c>
      <c r="K580">
        <v>3</v>
      </c>
      <c r="L580" t="s">
        <v>44</v>
      </c>
      <c r="M580">
        <v>3.3641616900962501</v>
      </c>
      <c r="N580" t="s">
        <v>51</v>
      </c>
      <c r="O580" t="s">
        <v>65</v>
      </c>
      <c r="P580">
        <f>VLOOKUP(O580, Coordinates!$A$2:$C$6, 2, FALSE)</f>
        <v>41.878100000000003</v>
      </c>
      <c r="Q580">
        <f>VLOOKUP(O580, Coordinates!$A$2:$C$6, 3, FALSE)</f>
        <v>-87.629800000000003</v>
      </c>
      <c r="R580">
        <v>18</v>
      </c>
      <c r="S580">
        <v>932</v>
      </c>
      <c r="T580">
        <v>28</v>
      </c>
      <c r="U580">
        <v>49.965719620981197</v>
      </c>
      <c r="V580" t="s">
        <v>30</v>
      </c>
      <c r="W580">
        <v>2.7238406603774501</v>
      </c>
      <c r="X580" t="s">
        <v>52</v>
      </c>
      <c r="Y580" t="s">
        <v>32</v>
      </c>
      <c r="Z580">
        <v>989.42662138893604</v>
      </c>
    </row>
    <row r="581" spans="1:26" x14ac:dyDescent="0.3">
      <c r="A581" t="s">
        <v>42</v>
      </c>
      <c r="B581" t="s">
        <v>637</v>
      </c>
      <c r="C581">
        <v>8.7777666739140994</v>
      </c>
      <c r="D581">
        <v>21</v>
      </c>
      <c r="E581">
        <v>652</v>
      </c>
      <c r="F581">
        <v>1808.4317731487499</v>
      </c>
      <c r="G581" t="s">
        <v>48</v>
      </c>
      <c r="H581">
        <v>51</v>
      </c>
      <c r="I581">
        <v>26</v>
      </c>
      <c r="J581">
        <v>94</v>
      </c>
      <c r="K581">
        <v>1</v>
      </c>
      <c r="L581" t="s">
        <v>44</v>
      </c>
      <c r="M581">
        <v>11.439041163383299</v>
      </c>
      <c r="N581" t="s">
        <v>45</v>
      </c>
      <c r="O581" t="s">
        <v>38</v>
      </c>
      <c r="P581">
        <f>VLOOKUP(O581, Coordinates!$A$2:$C$6, 2, FALSE)</f>
        <v>25.761700000000001</v>
      </c>
      <c r="Q581">
        <f>VLOOKUP(O581, Coordinates!$A$2:$C$6, 3, FALSE)</f>
        <v>-80.191800000000001</v>
      </c>
      <c r="R581">
        <v>30</v>
      </c>
      <c r="S581">
        <v>656</v>
      </c>
      <c r="T581">
        <v>18</v>
      </c>
      <c r="U581">
        <v>59.614438659999998</v>
      </c>
      <c r="V581" t="s">
        <v>55</v>
      </c>
      <c r="W581">
        <v>4.3747268864872799</v>
      </c>
      <c r="X581" t="s">
        <v>40</v>
      </c>
      <c r="Y581" t="s">
        <v>41</v>
      </c>
      <c r="Z581">
        <v>370.22627750632302</v>
      </c>
    </row>
    <row r="582" spans="1:26" x14ac:dyDescent="0.3">
      <c r="A582" t="s">
        <v>33</v>
      </c>
      <c r="B582" t="s">
        <v>638</v>
      </c>
      <c r="C582">
        <v>62.386809321765803</v>
      </c>
      <c r="D582">
        <v>50</v>
      </c>
      <c r="E582">
        <v>8</v>
      </c>
      <c r="F582">
        <v>6316.7834921775802</v>
      </c>
      <c r="G582" t="s">
        <v>26</v>
      </c>
      <c r="H582">
        <v>17</v>
      </c>
      <c r="I582">
        <v>15</v>
      </c>
      <c r="J582">
        <v>79</v>
      </c>
      <c r="K582">
        <v>6</v>
      </c>
      <c r="L582" t="s">
        <v>36</v>
      </c>
      <c r="M582">
        <v>12.5268882456543</v>
      </c>
      <c r="N582" t="s">
        <v>57</v>
      </c>
      <c r="O582" t="s">
        <v>65</v>
      </c>
      <c r="P582">
        <f>VLOOKUP(O582, Coordinates!$A$2:$C$6, 2, FALSE)</f>
        <v>41.878100000000003</v>
      </c>
      <c r="Q582">
        <f>VLOOKUP(O582, Coordinates!$A$2:$C$6, 3, FALSE)</f>
        <v>-87.629800000000003</v>
      </c>
      <c r="R582">
        <v>24</v>
      </c>
      <c r="S582">
        <v>146</v>
      </c>
      <c r="T582">
        <v>24</v>
      </c>
      <c r="U582">
        <v>55.227525610000001</v>
      </c>
      <c r="V582" t="s">
        <v>55</v>
      </c>
      <c r="W582">
        <v>0.73026581499999998</v>
      </c>
      <c r="X582" t="s">
        <v>31</v>
      </c>
      <c r="Y582" t="s">
        <v>60</v>
      </c>
      <c r="Z582">
        <v>280.33216638315503</v>
      </c>
    </row>
    <row r="583" spans="1:26" x14ac:dyDescent="0.3">
      <c r="A583" t="s">
        <v>61</v>
      </c>
      <c r="B583" t="s">
        <v>639</v>
      </c>
      <c r="C583">
        <v>91.2011156477204</v>
      </c>
      <c r="D583">
        <v>94</v>
      </c>
      <c r="E583">
        <v>671</v>
      </c>
      <c r="G583" t="s">
        <v>54</v>
      </c>
      <c r="H583">
        <v>62</v>
      </c>
      <c r="I583">
        <v>26</v>
      </c>
      <c r="J583">
        <v>74</v>
      </c>
      <c r="K583">
        <v>5</v>
      </c>
      <c r="L583" t="s">
        <v>27</v>
      </c>
      <c r="M583">
        <v>12.982260918869599</v>
      </c>
      <c r="N583" t="s">
        <v>57</v>
      </c>
      <c r="O583" t="s">
        <v>65</v>
      </c>
      <c r="P583">
        <f>VLOOKUP(O583, Coordinates!$A$2:$C$6, 2, FALSE)</f>
        <v>41.878100000000003</v>
      </c>
      <c r="Q583">
        <f>VLOOKUP(O583, Coordinates!$A$2:$C$6, 3, FALSE)</f>
        <v>-87.629800000000003</v>
      </c>
      <c r="R583">
        <v>9</v>
      </c>
      <c r="S583">
        <v>627</v>
      </c>
      <c r="T583">
        <v>23</v>
      </c>
      <c r="U583">
        <v>82.28675423</v>
      </c>
      <c r="V583" t="s">
        <v>39</v>
      </c>
      <c r="W583">
        <v>3.2209696281391</v>
      </c>
      <c r="X583" t="s">
        <v>46</v>
      </c>
      <c r="Y583" t="s">
        <v>60</v>
      </c>
      <c r="Z583">
        <v>368.14625481494198</v>
      </c>
    </row>
    <row r="584" spans="1:26" x14ac:dyDescent="0.3">
      <c r="A584" t="s">
        <v>61</v>
      </c>
      <c r="B584" t="s">
        <v>640</v>
      </c>
      <c r="C584">
        <v>27.691382738183101</v>
      </c>
      <c r="D584">
        <v>39</v>
      </c>
      <c r="E584">
        <v>688</v>
      </c>
      <c r="F584">
        <v>4768.8309143438901</v>
      </c>
      <c r="G584" t="s">
        <v>26</v>
      </c>
      <c r="H584">
        <v>32</v>
      </c>
      <c r="I584">
        <v>28</v>
      </c>
      <c r="J584">
        <v>68</v>
      </c>
      <c r="K584">
        <v>9</v>
      </c>
      <c r="L584" t="s">
        <v>27</v>
      </c>
      <c r="M584">
        <v>2.4931380439910198</v>
      </c>
      <c r="N584" t="s">
        <v>57</v>
      </c>
      <c r="O584" t="s">
        <v>29</v>
      </c>
      <c r="P584">
        <f>VLOOKUP(O584, Coordinates!$A$2:$C$6, 2, FALSE)</f>
        <v>29.760400000000001</v>
      </c>
      <c r="Q584">
        <f>VLOOKUP(O584, Coordinates!$A$2:$C$6, 3, FALSE)</f>
        <v>-95.369799999999998</v>
      </c>
      <c r="R584">
        <v>15</v>
      </c>
      <c r="S584">
        <v>993</v>
      </c>
      <c r="T584">
        <v>18</v>
      </c>
      <c r="U584">
        <v>34.015568863021699</v>
      </c>
      <c r="V584" t="s">
        <v>30</v>
      </c>
      <c r="W584">
        <v>2.8115859982252198</v>
      </c>
      <c r="X584" t="s">
        <v>52</v>
      </c>
      <c r="Y584" t="s">
        <v>32</v>
      </c>
      <c r="Z584">
        <v>831.24312330746204</v>
      </c>
    </row>
    <row r="585" spans="1:26" x14ac:dyDescent="0.3">
      <c r="A585" t="s">
        <v>42</v>
      </c>
      <c r="B585" t="s">
        <v>641</v>
      </c>
      <c r="C585">
        <v>49.615968594667301</v>
      </c>
      <c r="D585">
        <v>20</v>
      </c>
      <c r="E585">
        <v>940</v>
      </c>
      <c r="F585">
        <v>4886.5932308082602</v>
      </c>
      <c r="G585" t="s">
        <v>54</v>
      </c>
      <c r="H585">
        <v>3</v>
      </c>
      <c r="I585">
        <v>7</v>
      </c>
      <c r="J585">
        <v>87</v>
      </c>
      <c r="K585">
        <v>6</v>
      </c>
      <c r="L585" t="s">
        <v>36</v>
      </c>
      <c r="M585">
        <v>8.8085616049999995</v>
      </c>
      <c r="N585" t="s">
        <v>37</v>
      </c>
      <c r="O585" t="s">
        <v>29</v>
      </c>
      <c r="P585">
        <f>VLOOKUP(O585, Coordinates!$A$2:$C$6, 2, FALSE)</f>
        <v>29.760400000000001</v>
      </c>
      <c r="Q585">
        <f>VLOOKUP(O585, Coordinates!$A$2:$C$6, 3, FALSE)</f>
        <v>-95.369799999999998</v>
      </c>
      <c r="R585">
        <v>16</v>
      </c>
      <c r="S585">
        <v>206</v>
      </c>
      <c r="T585">
        <v>4</v>
      </c>
      <c r="U585">
        <v>25.339421452851699</v>
      </c>
      <c r="V585" t="s">
        <v>30</v>
      </c>
      <c r="W585">
        <v>0.98666256770701999</v>
      </c>
      <c r="X585" t="s">
        <v>46</v>
      </c>
      <c r="Y585" t="s">
        <v>32</v>
      </c>
      <c r="Z585">
        <v>236.37567609305901</v>
      </c>
    </row>
    <row r="586" spans="1:26" x14ac:dyDescent="0.3">
      <c r="A586" t="s">
        <v>24</v>
      </c>
      <c r="B586" t="s">
        <v>642</v>
      </c>
      <c r="C586">
        <v>22.509622271103598</v>
      </c>
      <c r="D586">
        <v>88</v>
      </c>
      <c r="E586">
        <v>874</v>
      </c>
      <c r="F586">
        <v>17706.0688784501</v>
      </c>
      <c r="G586" t="s">
        <v>35</v>
      </c>
      <c r="H586">
        <v>86</v>
      </c>
      <c r="I586">
        <v>12</v>
      </c>
      <c r="J586">
        <v>45</v>
      </c>
      <c r="K586">
        <v>5</v>
      </c>
      <c r="L586" t="s">
        <v>36</v>
      </c>
      <c r="M586">
        <v>12.3225135778164</v>
      </c>
      <c r="N586" t="s">
        <v>57</v>
      </c>
      <c r="O586" t="s">
        <v>67</v>
      </c>
      <c r="P586">
        <f>VLOOKUP(O586, Coordinates!$A$2:$C$6, 2, FALSE)</f>
        <v>40.712800000000001</v>
      </c>
      <c r="Q586">
        <f>VLOOKUP(O586, Coordinates!$A$2:$C$6, 3, FALSE)</f>
        <v>-74.006</v>
      </c>
      <c r="R586">
        <v>21</v>
      </c>
      <c r="S586">
        <v>102</v>
      </c>
      <c r="T586">
        <v>7</v>
      </c>
      <c r="U586">
        <v>81.907314827719304</v>
      </c>
      <c r="V586" t="s">
        <v>55</v>
      </c>
      <c r="W586">
        <v>1.2173239708014001</v>
      </c>
      <c r="X586" t="s">
        <v>52</v>
      </c>
      <c r="Y586" t="s">
        <v>32</v>
      </c>
      <c r="Z586">
        <v>316.97047505837202</v>
      </c>
    </row>
    <row r="587" spans="1:26" x14ac:dyDescent="0.3">
      <c r="A587" t="s">
        <v>33</v>
      </c>
      <c r="B587" t="s">
        <v>643</v>
      </c>
      <c r="C587">
        <v>49.932277879073403</v>
      </c>
      <c r="D587">
        <v>87</v>
      </c>
      <c r="E587">
        <v>51</v>
      </c>
      <c r="F587">
        <v>5648.9185939999998</v>
      </c>
      <c r="G587" t="s">
        <v>48</v>
      </c>
      <c r="H587">
        <v>74</v>
      </c>
      <c r="I587">
        <v>3</v>
      </c>
      <c r="J587">
        <v>36</v>
      </c>
      <c r="K587">
        <v>1</v>
      </c>
      <c r="L587" t="s">
        <v>36</v>
      </c>
      <c r="M587">
        <v>2.7950308349734301</v>
      </c>
      <c r="N587" t="s">
        <v>57</v>
      </c>
      <c r="O587" t="s">
        <v>38</v>
      </c>
      <c r="P587">
        <f>VLOOKUP(O587, Coordinates!$A$2:$C$6, 2, FALSE)</f>
        <v>25.761700000000001</v>
      </c>
      <c r="Q587">
        <f>VLOOKUP(O587, Coordinates!$A$2:$C$6, 3, FALSE)</f>
        <v>-80.191800000000001</v>
      </c>
      <c r="R587">
        <v>30</v>
      </c>
      <c r="S587">
        <v>715</v>
      </c>
      <c r="T587">
        <v>1</v>
      </c>
      <c r="U587">
        <v>47.405636773178799</v>
      </c>
      <c r="V587" t="s">
        <v>39</v>
      </c>
      <c r="W587">
        <v>1.72041100961729</v>
      </c>
      <c r="X587" t="s">
        <v>46</v>
      </c>
      <c r="Y587" t="s">
        <v>41</v>
      </c>
      <c r="Z587">
        <v>731.46966310000005</v>
      </c>
    </row>
    <row r="588" spans="1:26" x14ac:dyDescent="0.3">
      <c r="A588" t="s">
        <v>82</v>
      </c>
      <c r="B588" t="s">
        <v>644</v>
      </c>
      <c r="C588">
        <v>64.139371089999997</v>
      </c>
      <c r="D588">
        <v>7</v>
      </c>
      <c r="E588">
        <v>98</v>
      </c>
      <c r="F588">
        <v>5542.6552784231599</v>
      </c>
      <c r="G588" t="s">
        <v>48</v>
      </c>
      <c r="H588">
        <v>51</v>
      </c>
      <c r="I588">
        <v>20</v>
      </c>
      <c r="J588">
        <v>82</v>
      </c>
      <c r="K588">
        <v>1</v>
      </c>
      <c r="L588" t="s">
        <v>36</v>
      </c>
      <c r="M588">
        <v>2.39331371443707</v>
      </c>
      <c r="N588" t="s">
        <v>57</v>
      </c>
      <c r="O588" t="s">
        <v>58</v>
      </c>
      <c r="P588">
        <f>VLOOKUP(O588, Coordinates!$A$2:$C$6, 2, FALSE)</f>
        <v>34.052199999999999</v>
      </c>
      <c r="Q588">
        <f>VLOOKUP(O588, Coordinates!$A$2:$C$6, 3, FALSE)</f>
        <v>-118.2437</v>
      </c>
      <c r="R588">
        <v>3</v>
      </c>
      <c r="S588">
        <v>194</v>
      </c>
      <c r="T588">
        <v>16</v>
      </c>
      <c r="U588">
        <v>92.235340807901807</v>
      </c>
      <c r="V588" t="s">
        <v>55</v>
      </c>
      <c r="W588">
        <v>3.5820735647175401</v>
      </c>
      <c r="X588" t="s">
        <v>40</v>
      </c>
      <c r="Y588" t="s">
        <v>41</v>
      </c>
      <c r="Z588">
        <v>764.20038823993002</v>
      </c>
    </row>
    <row r="589" spans="1:26" x14ac:dyDescent="0.3">
      <c r="A589" t="s">
        <v>72</v>
      </c>
      <c r="B589" t="s">
        <v>645</v>
      </c>
      <c r="C589">
        <v>36.322990316972401</v>
      </c>
      <c r="D589">
        <v>9</v>
      </c>
      <c r="E589">
        <v>944</v>
      </c>
      <c r="F589">
        <v>30860.012573299799</v>
      </c>
      <c r="G589" t="s">
        <v>26</v>
      </c>
      <c r="H589">
        <v>8</v>
      </c>
      <c r="I589">
        <v>9</v>
      </c>
      <c r="J589">
        <v>64</v>
      </c>
      <c r="K589">
        <v>1</v>
      </c>
      <c r="L589" t="s">
        <v>27</v>
      </c>
      <c r="M589">
        <v>12.4371879813802</v>
      </c>
      <c r="N589" t="s">
        <v>45</v>
      </c>
      <c r="O589" t="s">
        <v>38</v>
      </c>
      <c r="P589">
        <f>VLOOKUP(O589, Coordinates!$A$2:$C$6, 2, FALSE)</f>
        <v>25.761700000000001</v>
      </c>
      <c r="Q589">
        <f>VLOOKUP(O589, Coordinates!$A$2:$C$6, 3, FALSE)</f>
        <v>-80.191800000000001</v>
      </c>
      <c r="R589">
        <v>25</v>
      </c>
      <c r="S589">
        <v>232</v>
      </c>
      <c r="T589">
        <v>17</v>
      </c>
      <c r="U589">
        <v>84.852964622094305</v>
      </c>
      <c r="V589" t="s">
        <v>39</v>
      </c>
      <c r="W589">
        <v>4.7300651505446902</v>
      </c>
      <c r="X589" t="s">
        <v>40</v>
      </c>
      <c r="Y589" t="s">
        <v>41</v>
      </c>
      <c r="Z589">
        <v>962.95720523092302</v>
      </c>
    </row>
    <row r="590" spans="1:26" x14ac:dyDescent="0.3">
      <c r="A590" t="s">
        <v>72</v>
      </c>
      <c r="B590" t="s">
        <v>646</v>
      </c>
      <c r="C590">
        <v>25.7411244013573</v>
      </c>
      <c r="D590">
        <v>1</v>
      </c>
      <c r="E590">
        <v>564</v>
      </c>
      <c r="F590">
        <v>13066.1947461289</v>
      </c>
      <c r="G590" t="s">
        <v>26</v>
      </c>
      <c r="H590">
        <v>63</v>
      </c>
      <c r="I590">
        <v>14</v>
      </c>
      <c r="J590">
        <v>79</v>
      </c>
      <c r="K590">
        <v>7</v>
      </c>
      <c r="L590" t="s">
        <v>36</v>
      </c>
      <c r="M590">
        <v>12.1543045444771</v>
      </c>
      <c r="N590" t="s">
        <v>57</v>
      </c>
      <c r="O590" t="s">
        <v>65</v>
      </c>
      <c r="P590">
        <f>VLOOKUP(O590, Coordinates!$A$2:$C$6, 2, FALSE)</f>
        <v>41.878100000000003</v>
      </c>
      <c r="Q590">
        <f>VLOOKUP(O590, Coordinates!$A$2:$C$6, 3, FALSE)</f>
        <v>-87.629800000000003</v>
      </c>
      <c r="R590">
        <v>24</v>
      </c>
      <c r="S590">
        <v>959</v>
      </c>
      <c r="T590">
        <v>8</v>
      </c>
      <c r="U590">
        <v>78.691988134976796</v>
      </c>
      <c r="V590" t="s">
        <v>30</v>
      </c>
      <c r="W590">
        <v>0.34785632100000002</v>
      </c>
      <c r="X590" t="s">
        <v>46</v>
      </c>
      <c r="Y590" t="s">
        <v>60</v>
      </c>
      <c r="Z590">
        <v>982.13650915083701</v>
      </c>
    </row>
    <row r="591" spans="1:26" x14ac:dyDescent="0.3">
      <c r="A591" t="s">
        <v>42</v>
      </c>
      <c r="B591" t="s">
        <v>647</v>
      </c>
      <c r="C591">
        <v>50.057399940969702</v>
      </c>
      <c r="D591">
        <v>26</v>
      </c>
      <c r="E591">
        <v>756</v>
      </c>
      <c r="F591">
        <v>2112.1524153954101</v>
      </c>
      <c r="G591" t="s">
        <v>35</v>
      </c>
      <c r="H591">
        <v>29</v>
      </c>
      <c r="I591">
        <v>13</v>
      </c>
      <c r="J591">
        <v>90</v>
      </c>
      <c r="K591">
        <v>6</v>
      </c>
      <c r="L591" t="s">
        <v>36</v>
      </c>
      <c r="M591">
        <v>7.2817039174885503</v>
      </c>
      <c r="N591" t="s">
        <v>37</v>
      </c>
      <c r="O591" t="s">
        <v>58</v>
      </c>
      <c r="P591">
        <f>VLOOKUP(O591, Coordinates!$A$2:$C$6, 2, FALSE)</f>
        <v>34.052199999999999</v>
      </c>
      <c r="Q591">
        <f>VLOOKUP(O591, Coordinates!$A$2:$C$6, 3, FALSE)</f>
        <v>-118.2437</v>
      </c>
      <c r="R591">
        <v>13</v>
      </c>
      <c r="S591">
        <v>882</v>
      </c>
      <c r="T591">
        <v>6</v>
      </c>
      <c r="U591">
        <v>16.341134934328899</v>
      </c>
      <c r="V591" t="s">
        <v>39</v>
      </c>
      <c r="W591">
        <v>3.7996957450618001</v>
      </c>
      <c r="X591" t="s">
        <v>31</v>
      </c>
      <c r="Y591" t="s">
        <v>60</v>
      </c>
      <c r="Z591">
        <v>697.17800709999995</v>
      </c>
    </row>
    <row r="592" spans="1:26" x14ac:dyDescent="0.3">
      <c r="A592" t="s">
        <v>24</v>
      </c>
      <c r="B592" t="s">
        <v>648</v>
      </c>
      <c r="C592">
        <v>32.0535978530826</v>
      </c>
      <c r="D592">
        <v>38</v>
      </c>
      <c r="E592">
        <v>863</v>
      </c>
      <c r="F592">
        <v>24896.029452489202</v>
      </c>
      <c r="G592" t="s">
        <v>35</v>
      </c>
      <c r="H592">
        <v>7</v>
      </c>
      <c r="I592">
        <v>24</v>
      </c>
      <c r="J592">
        <v>62</v>
      </c>
      <c r="K592">
        <v>5</v>
      </c>
      <c r="L592" t="s">
        <v>27</v>
      </c>
      <c r="M592">
        <v>2.5359563640409002</v>
      </c>
      <c r="N592" t="s">
        <v>45</v>
      </c>
      <c r="O592" t="s">
        <v>38</v>
      </c>
      <c r="P592">
        <f>VLOOKUP(O592, Coordinates!$A$2:$C$6, 2, FALSE)</f>
        <v>25.761700000000001</v>
      </c>
      <c r="Q592">
        <f>VLOOKUP(O592, Coordinates!$A$2:$C$6, 3, FALSE)</f>
        <v>-80.191800000000001</v>
      </c>
      <c r="R592">
        <v>26</v>
      </c>
      <c r="S592">
        <v>300</v>
      </c>
      <c r="T592">
        <v>2</v>
      </c>
      <c r="U592">
        <v>81.152209552507898</v>
      </c>
      <c r="V592" t="s">
        <v>55</v>
      </c>
      <c r="W592">
        <v>4.8518021118269301</v>
      </c>
      <c r="X592" t="s">
        <v>46</v>
      </c>
      <c r="Y592" t="s">
        <v>41</v>
      </c>
      <c r="Z592">
        <v>426.51515883120601</v>
      </c>
    </row>
    <row r="593" spans="1:26" x14ac:dyDescent="0.3">
      <c r="A593" t="s">
        <v>61</v>
      </c>
      <c r="B593" t="s">
        <v>649</v>
      </c>
      <c r="C593">
        <v>56.015711393379</v>
      </c>
      <c r="D593">
        <v>38</v>
      </c>
      <c r="E593">
        <v>217</v>
      </c>
      <c r="F593">
        <v>6487.3737598308298</v>
      </c>
      <c r="G593" t="s">
        <v>54</v>
      </c>
      <c r="H593">
        <v>4</v>
      </c>
      <c r="I593">
        <v>28</v>
      </c>
      <c r="J593">
        <v>69</v>
      </c>
      <c r="K593">
        <v>4</v>
      </c>
      <c r="L593" t="s">
        <v>36</v>
      </c>
      <c r="M593">
        <v>8.2257242024373198</v>
      </c>
      <c r="N593" t="s">
        <v>57</v>
      </c>
      <c r="O593" t="s">
        <v>58</v>
      </c>
      <c r="P593">
        <f>VLOOKUP(O593, Coordinates!$A$2:$C$6, 2, FALSE)</f>
        <v>34.052199999999999</v>
      </c>
      <c r="Q593">
        <f>VLOOKUP(O593, Coordinates!$A$2:$C$6, 3, FALSE)</f>
        <v>-118.2437</v>
      </c>
      <c r="R593">
        <v>6</v>
      </c>
      <c r="S593">
        <v>353</v>
      </c>
      <c r="T593">
        <v>26</v>
      </c>
      <c r="U593">
        <v>71.743632896166204</v>
      </c>
      <c r="V593" t="s">
        <v>30</v>
      </c>
      <c r="W593">
        <v>3.3587983920220998</v>
      </c>
      <c r="X593" t="s">
        <v>46</v>
      </c>
      <c r="Y593" t="s">
        <v>60</v>
      </c>
      <c r="Z593">
        <v>507.71274981017899</v>
      </c>
    </row>
    <row r="594" spans="1:26" x14ac:dyDescent="0.3">
      <c r="A594" t="s">
        <v>61</v>
      </c>
      <c r="B594" t="s">
        <v>650</v>
      </c>
      <c r="C594">
        <v>86.142919776797896</v>
      </c>
      <c r="D594">
        <v>61</v>
      </c>
      <c r="E594">
        <v>440</v>
      </c>
      <c r="F594">
        <v>2768.3438716262599</v>
      </c>
      <c r="G594" t="s">
        <v>35</v>
      </c>
      <c r="H594">
        <v>75</v>
      </c>
      <c r="I594">
        <v>12</v>
      </c>
      <c r="J594">
        <v>70</v>
      </c>
      <c r="K594">
        <v>8</v>
      </c>
      <c r="L594" t="s">
        <v>27</v>
      </c>
      <c r="M594">
        <v>6.5272448000653203</v>
      </c>
      <c r="N594" t="s">
        <v>51</v>
      </c>
      <c r="O594" t="s">
        <v>58</v>
      </c>
      <c r="P594">
        <f>VLOOKUP(O594, Coordinates!$A$2:$C$6, 2, FALSE)</f>
        <v>34.052199999999999</v>
      </c>
      <c r="Q594">
        <f>VLOOKUP(O594, Coordinates!$A$2:$C$6, 3, FALSE)</f>
        <v>-118.2437</v>
      </c>
      <c r="R594">
        <v>5</v>
      </c>
      <c r="S594">
        <v>282</v>
      </c>
      <c r="T594">
        <v>10</v>
      </c>
      <c r="U594">
        <v>67.606473203843905</v>
      </c>
      <c r="V594" t="s">
        <v>30</v>
      </c>
      <c r="W594">
        <v>0.61681422330775204</v>
      </c>
      <c r="X594" t="s">
        <v>31</v>
      </c>
      <c r="Y594" t="s">
        <v>60</v>
      </c>
      <c r="Z594">
        <v>495.34093974224601</v>
      </c>
    </row>
    <row r="595" spans="1:26" x14ac:dyDescent="0.3">
      <c r="A595" t="s">
        <v>72</v>
      </c>
      <c r="B595" t="s">
        <v>651</v>
      </c>
      <c r="C595">
        <v>24.913676719238101</v>
      </c>
      <c r="D595">
        <v>44</v>
      </c>
      <c r="E595">
        <v>856</v>
      </c>
      <c r="F595">
        <v>19193.49654</v>
      </c>
      <c r="G595" t="s">
        <v>35</v>
      </c>
      <c r="H595">
        <v>62</v>
      </c>
      <c r="I595">
        <v>1</v>
      </c>
      <c r="J595">
        <v>45</v>
      </c>
      <c r="K595">
        <v>8</v>
      </c>
      <c r="L595" t="s">
        <v>27</v>
      </c>
      <c r="M595">
        <v>8.2596640346161703</v>
      </c>
      <c r="N595" t="s">
        <v>37</v>
      </c>
      <c r="O595" t="s">
        <v>38</v>
      </c>
      <c r="P595">
        <f>VLOOKUP(O595, Coordinates!$A$2:$C$6, 2, FALSE)</f>
        <v>25.761700000000001</v>
      </c>
      <c r="Q595">
        <f>VLOOKUP(O595, Coordinates!$A$2:$C$6, 3, FALSE)</f>
        <v>-80.191800000000001</v>
      </c>
      <c r="R595">
        <v>29</v>
      </c>
      <c r="S595">
        <v>249</v>
      </c>
      <c r="T595">
        <v>17</v>
      </c>
      <c r="U595">
        <v>76.898727854174595</v>
      </c>
      <c r="V595" t="s">
        <v>55</v>
      </c>
      <c r="W595">
        <v>4.9896063835958397</v>
      </c>
      <c r="X595" t="s">
        <v>31</v>
      </c>
      <c r="Y595" t="s">
        <v>32</v>
      </c>
      <c r="Z595">
        <v>448.64017914867702</v>
      </c>
    </row>
    <row r="596" spans="1:26" x14ac:dyDescent="0.3">
      <c r="A596" t="s">
        <v>42</v>
      </c>
      <c r="B596" t="s">
        <v>652</v>
      </c>
      <c r="C596">
        <v>84.165121789936094</v>
      </c>
      <c r="D596">
        <v>86</v>
      </c>
      <c r="E596">
        <v>512</v>
      </c>
      <c r="F596">
        <v>2562.1492973629502</v>
      </c>
      <c r="H596">
        <v>0</v>
      </c>
      <c r="I596">
        <v>19</v>
      </c>
      <c r="J596">
        <v>94</v>
      </c>
      <c r="K596">
        <v>5</v>
      </c>
      <c r="L596" t="s">
        <v>36</v>
      </c>
      <c r="M596">
        <v>7.1585328283581502</v>
      </c>
      <c r="N596" t="s">
        <v>51</v>
      </c>
      <c r="O596" t="s">
        <v>38</v>
      </c>
      <c r="P596">
        <f>VLOOKUP(O596, Coordinates!$A$2:$C$6, 2, FALSE)</f>
        <v>25.761700000000001</v>
      </c>
      <c r="Q596">
        <f>VLOOKUP(O596, Coordinates!$A$2:$C$6, 3, FALSE)</f>
        <v>-80.191800000000001</v>
      </c>
      <c r="R596">
        <v>23</v>
      </c>
      <c r="S596">
        <v>648</v>
      </c>
      <c r="T596">
        <v>19</v>
      </c>
      <c r="U596">
        <v>95.206538950699994</v>
      </c>
      <c r="V596" t="s">
        <v>30</v>
      </c>
      <c r="W596">
        <v>0.40167585343856999</v>
      </c>
      <c r="X596" t="s">
        <v>46</v>
      </c>
      <c r="Y596" t="s">
        <v>41</v>
      </c>
      <c r="Z596">
        <v>404.420703052894</v>
      </c>
    </row>
    <row r="597" spans="1:26" x14ac:dyDescent="0.3">
      <c r="A597" t="s">
        <v>33</v>
      </c>
      <c r="B597" t="s">
        <v>653</v>
      </c>
      <c r="C597">
        <v>85.172838198113695</v>
      </c>
      <c r="D597">
        <v>44</v>
      </c>
      <c r="E597">
        <v>840</v>
      </c>
      <c r="F597">
        <v>9620.5177400365192</v>
      </c>
      <c r="G597" t="s">
        <v>35</v>
      </c>
      <c r="H597">
        <v>14</v>
      </c>
      <c r="I597">
        <v>30</v>
      </c>
      <c r="J597">
        <v>36</v>
      </c>
      <c r="K597">
        <v>4</v>
      </c>
      <c r="L597" t="s">
        <v>36</v>
      </c>
      <c r="M597">
        <v>8.9592017874724394</v>
      </c>
      <c r="N597" t="s">
        <v>37</v>
      </c>
      <c r="O597" t="s">
        <v>58</v>
      </c>
      <c r="P597">
        <f>VLOOKUP(O597, Coordinates!$A$2:$C$6, 2, FALSE)</f>
        <v>34.052199999999999</v>
      </c>
      <c r="Q597">
        <f>VLOOKUP(O597, Coordinates!$A$2:$C$6, 3, FALSE)</f>
        <v>-118.2437</v>
      </c>
      <c r="R597">
        <v>5</v>
      </c>
      <c r="S597">
        <v>589</v>
      </c>
      <c r="T597">
        <v>28</v>
      </c>
      <c r="U597">
        <v>38.948961432953801</v>
      </c>
      <c r="V597" t="s">
        <v>30</v>
      </c>
      <c r="W597">
        <v>3.7086701420049701</v>
      </c>
      <c r="X597" t="s">
        <v>52</v>
      </c>
      <c r="Y597" t="s">
        <v>60</v>
      </c>
      <c r="Z597">
        <v>251.11029465477901</v>
      </c>
    </row>
    <row r="598" spans="1:26" x14ac:dyDescent="0.3">
      <c r="A598" t="s">
        <v>61</v>
      </c>
      <c r="B598" t="s">
        <v>654</v>
      </c>
      <c r="C598">
        <v>32.066262045441199</v>
      </c>
      <c r="D598">
        <v>74</v>
      </c>
      <c r="E598">
        <v>655</v>
      </c>
      <c r="F598">
        <v>8691.5571683665094</v>
      </c>
      <c r="G598" t="s">
        <v>54</v>
      </c>
      <c r="H598">
        <v>88</v>
      </c>
      <c r="I598">
        <v>16</v>
      </c>
      <c r="J598">
        <v>50</v>
      </c>
      <c r="K598">
        <v>2</v>
      </c>
      <c r="L598" t="s">
        <v>44</v>
      </c>
      <c r="M598">
        <v>11.1798160591861</v>
      </c>
      <c r="N598" t="s">
        <v>51</v>
      </c>
      <c r="O598" t="s">
        <v>38</v>
      </c>
      <c r="P598">
        <f>VLOOKUP(O598, Coordinates!$A$2:$C$6, 2, FALSE)</f>
        <v>25.761700000000001</v>
      </c>
      <c r="Q598">
        <f>VLOOKUP(O598, Coordinates!$A$2:$C$6, 3, FALSE)</f>
        <v>-80.191800000000001</v>
      </c>
      <c r="R598">
        <v>27</v>
      </c>
      <c r="S598">
        <v>604</v>
      </c>
      <c r="T598">
        <v>4</v>
      </c>
      <c r="U598">
        <v>23.700786107854</v>
      </c>
      <c r="V598" t="s">
        <v>30</v>
      </c>
      <c r="W598">
        <v>2.7066517962654699</v>
      </c>
      <c r="X598" t="s">
        <v>40</v>
      </c>
      <c r="Y598" t="s">
        <v>60</v>
      </c>
      <c r="Z598">
        <v>429.54313371681798</v>
      </c>
    </row>
    <row r="599" spans="1:26" x14ac:dyDescent="0.3">
      <c r="A599" t="s">
        <v>33</v>
      </c>
      <c r="B599" t="s">
        <v>655</v>
      </c>
      <c r="C599">
        <v>48.9709357265058</v>
      </c>
      <c r="D599">
        <v>62</v>
      </c>
      <c r="E599">
        <v>209</v>
      </c>
      <c r="F599">
        <v>3074.4535361636799</v>
      </c>
      <c r="G599" t="s">
        <v>35</v>
      </c>
      <c r="H599">
        <v>81</v>
      </c>
      <c r="I599">
        <v>12</v>
      </c>
      <c r="J599">
        <v>37</v>
      </c>
      <c r="K599">
        <v>7</v>
      </c>
      <c r="L599" t="s">
        <v>44</v>
      </c>
      <c r="M599">
        <v>11.848038651112001</v>
      </c>
      <c r="N599" t="s">
        <v>57</v>
      </c>
      <c r="O599" t="s">
        <v>38</v>
      </c>
      <c r="P599">
        <f>VLOOKUP(O599, Coordinates!$A$2:$C$6, 2, FALSE)</f>
        <v>25.761700000000001</v>
      </c>
      <c r="Q599">
        <f>VLOOKUP(O599, Coordinates!$A$2:$C$6, 3, FALSE)</f>
        <v>-80.191800000000001</v>
      </c>
      <c r="R599">
        <v>4</v>
      </c>
      <c r="S599">
        <v>512</v>
      </c>
      <c r="T599">
        <v>13</v>
      </c>
      <c r="U599">
        <v>98.848103944151205</v>
      </c>
      <c r="V599" t="s">
        <v>30</v>
      </c>
      <c r="W599">
        <v>0.42969595642069103</v>
      </c>
      <c r="X599" t="s">
        <v>52</v>
      </c>
      <c r="Y599" t="s">
        <v>41</v>
      </c>
      <c r="Z599">
        <v>972.30676089683004</v>
      </c>
    </row>
    <row r="600" spans="1:26" x14ac:dyDescent="0.3">
      <c r="A600" t="s">
        <v>24</v>
      </c>
      <c r="B600" t="s">
        <v>656</v>
      </c>
      <c r="C600">
        <v>31.899808388524601</v>
      </c>
      <c r="D600">
        <v>6</v>
      </c>
      <c r="E600">
        <v>385</v>
      </c>
      <c r="F600">
        <v>11053.2836066237</v>
      </c>
      <c r="G600" t="s">
        <v>54</v>
      </c>
      <c r="H600">
        <v>37</v>
      </c>
      <c r="I600">
        <v>10</v>
      </c>
      <c r="J600">
        <v>25</v>
      </c>
      <c r="K600">
        <v>5</v>
      </c>
      <c r="L600" t="s">
        <v>27</v>
      </c>
      <c r="M600">
        <v>10.085750775329799</v>
      </c>
      <c r="N600" t="s">
        <v>51</v>
      </c>
      <c r="O600" t="s">
        <v>58</v>
      </c>
      <c r="P600">
        <f>VLOOKUP(O600, Coordinates!$A$2:$C$6, 2, FALSE)</f>
        <v>34.052199999999999</v>
      </c>
      <c r="Q600">
        <f>VLOOKUP(O600, Coordinates!$A$2:$C$6, 3, FALSE)</f>
        <v>-118.2437</v>
      </c>
      <c r="R600">
        <v>21</v>
      </c>
      <c r="S600">
        <v>937</v>
      </c>
      <c r="T600">
        <v>21</v>
      </c>
      <c r="U600">
        <v>78.952754900467696</v>
      </c>
      <c r="V600" t="s">
        <v>30</v>
      </c>
      <c r="W600">
        <v>0.13405228775377701</v>
      </c>
      <c r="X600" t="s">
        <v>31</v>
      </c>
      <c r="Y600" t="s">
        <v>41</v>
      </c>
      <c r="Z600">
        <v>893.94070876711999</v>
      </c>
    </row>
    <row r="601" spans="1:26" x14ac:dyDescent="0.3">
      <c r="A601" t="s">
        <v>61</v>
      </c>
      <c r="B601" t="s">
        <v>657</v>
      </c>
      <c r="C601">
        <v>25.7584342636423</v>
      </c>
      <c r="D601">
        <v>17</v>
      </c>
      <c r="E601">
        <v>77</v>
      </c>
      <c r="F601">
        <v>2889.03558074497</v>
      </c>
      <c r="G601" t="s">
        <v>26</v>
      </c>
      <c r="H601">
        <v>41</v>
      </c>
      <c r="I601">
        <v>2</v>
      </c>
      <c r="J601">
        <v>44</v>
      </c>
      <c r="K601">
        <v>3</v>
      </c>
      <c r="L601" t="s">
        <v>27</v>
      </c>
      <c r="M601">
        <v>3.7851686106494902</v>
      </c>
      <c r="N601" t="s">
        <v>51</v>
      </c>
      <c r="O601" t="s">
        <v>29</v>
      </c>
      <c r="P601">
        <f>VLOOKUP(O601, Coordinates!$A$2:$C$6, 2, FALSE)</f>
        <v>29.760400000000001</v>
      </c>
      <c r="Q601">
        <f>VLOOKUP(O601, Coordinates!$A$2:$C$6, 3, FALSE)</f>
        <v>-95.369799999999998</v>
      </c>
      <c r="R601">
        <v>12</v>
      </c>
      <c r="S601">
        <v>607</v>
      </c>
      <c r="T601">
        <v>27</v>
      </c>
      <c r="U601">
        <v>47.330819409356302</v>
      </c>
      <c r="V601" t="s">
        <v>55</v>
      </c>
      <c r="W601">
        <v>1.81332858758339</v>
      </c>
      <c r="X601" t="s">
        <v>40</v>
      </c>
      <c r="Y601" t="s">
        <v>32</v>
      </c>
      <c r="Z601">
        <v>655.59397302524599</v>
      </c>
    </row>
    <row r="602" spans="1:26" x14ac:dyDescent="0.3">
      <c r="A602" t="s">
        <v>61</v>
      </c>
      <c r="B602" t="s">
        <v>658</v>
      </c>
      <c r="C602">
        <v>42.695700473199999</v>
      </c>
      <c r="D602">
        <v>51</v>
      </c>
      <c r="E602">
        <v>520</v>
      </c>
      <c r="F602">
        <v>5426.8836351474101</v>
      </c>
      <c r="G602" t="s">
        <v>48</v>
      </c>
      <c r="H602">
        <v>45</v>
      </c>
      <c r="I602">
        <v>18</v>
      </c>
      <c r="J602">
        <v>45</v>
      </c>
      <c r="K602">
        <v>9</v>
      </c>
      <c r="L602" t="s">
        <v>44</v>
      </c>
      <c r="M602">
        <v>6.5597223584716602</v>
      </c>
      <c r="N602" t="s">
        <v>37</v>
      </c>
      <c r="O602" t="s">
        <v>38</v>
      </c>
      <c r="P602">
        <f>VLOOKUP(O602, Coordinates!$A$2:$C$6, 2, FALSE)</f>
        <v>25.761700000000001</v>
      </c>
      <c r="Q602">
        <f>VLOOKUP(O602, Coordinates!$A$2:$C$6, 3, FALSE)</f>
        <v>-80.191800000000001</v>
      </c>
      <c r="R602">
        <v>14</v>
      </c>
      <c r="S602">
        <v>750</v>
      </c>
      <c r="T602">
        <v>26</v>
      </c>
      <c r="U602">
        <v>94.232478779983595</v>
      </c>
      <c r="V602" t="s">
        <v>30</v>
      </c>
      <c r="W602">
        <v>4.0111196600357104</v>
      </c>
      <c r="X602" t="s">
        <v>46</v>
      </c>
      <c r="Y602" t="s">
        <v>32</v>
      </c>
      <c r="Z602">
        <v>-50</v>
      </c>
    </row>
    <row r="603" spans="1:26" x14ac:dyDescent="0.3">
      <c r="A603" t="s">
        <v>49</v>
      </c>
      <c r="B603" t="s">
        <v>659</v>
      </c>
      <c r="C603">
        <v>9.21683835623117</v>
      </c>
      <c r="D603">
        <v>38</v>
      </c>
      <c r="E603">
        <v>80</v>
      </c>
      <c r="F603">
        <v>1176.49479226828</v>
      </c>
      <c r="G603" t="s">
        <v>26</v>
      </c>
      <c r="H603">
        <v>52</v>
      </c>
      <c r="I603">
        <v>13</v>
      </c>
      <c r="J603">
        <v>65</v>
      </c>
      <c r="K603">
        <v>9</v>
      </c>
      <c r="L603" t="s">
        <v>27</v>
      </c>
      <c r="M603">
        <v>1.9971364023000999</v>
      </c>
      <c r="N603" t="s">
        <v>57</v>
      </c>
      <c r="O603" t="s">
        <v>58</v>
      </c>
      <c r="P603">
        <f>VLOOKUP(O603, Coordinates!$A$2:$C$6, 2, FALSE)</f>
        <v>34.052199999999999</v>
      </c>
      <c r="Q603">
        <f>VLOOKUP(O603, Coordinates!$A$2:$C$6, 3, FALSE)</f>
        <v>-118.2437</v>
      </c>
      <c r="R603">
        <v>27</v>
      </c>
      <c r="S603">
        <v>711</v>
      </c>
      <c r="T603">
        <v>19</v>
      </c>
      <c r="U603">
        <v>18.200563692957701</v>
      </c>
      <c r="V603" t="s">
        <v>30</v>
      </c>
      <c r="W603">
        <v>0.20575620140696199</v>
      </c>
      <c r="X603" t="s">
        <v>40</v>
      </c>
      <c r="Y603" t="s">
        <v>41</v>
      </c>
      <c r="Z603">
        <v>890.79826817009496</v>
      </c>
    </row>
    <row r="604" spans="1:26" x14ac:dyDescent="0.3">
      <c r="A604" t="s">
        <v>61</v>
      </c>
      <c r="B604" t="s">
        <v>660</v>
      </c>
      <c r="C604">
        <v>31.393096914264699</v>
      </c>
      <c r="D604">
        <v>24</v>
      </c>
      <c r="E604">
        <v>845</v>
      </c>
      <c r="F604">
        <v>7042.3120800711604</v>
      </c>
      <c r="G604" t="s">
        <v>35</v>
      </c>
      <c r="H604">
        <v>25</v>
      </c>
      <c r="I604">
        <v>29</v>
      </c>
      <c r="J604">
        <v>28</v>
      </c>
      <c r="K604">
        <v>10</v>
      </c>
      <c r="L604" t="s">
        <v>44</v>
      </c>
      <c r="M604">
        <v>7.3234321930524002</v>
      </c>
      <c r="N604" t="s">
        <v>37</v>
      </c>
      <c r="O604" t="s">
        <v>29</v>
      </c>
      <c r="P604">
        <f>VLOOKUP(O604, Coordinates!$A$2:$C$6, 2, FALSE)</f>
        <v>29.760400000000001</v>
      </c>
      <c r="Q604">
        <f>VLOOKUP(O604, Coordinates!$A$2:$C$6, 3, FALSE)</f>
        <v>-95.369799999999998</v>
      </c>
      <c r="R604">
        <v>23</v>
      </c>
      <c r="S604">
        <v>503</v>
      </c>
      <c r="T604">
        <v>16</v>
      </c>
      <c r="U604">
        <v>17.889509480000001</v>
      </c>
      <c r="V604" t="s">
        <v>55</v>
      </c>
      <c r="W604">
        <v>3.5219933166402702</v>
      </c>
      <c r="X604" t="s">
        <v>46</v>
      </c>
      <c r="Y604" t="s">
        <v>60</v>
      </c>
      <c r="Z604">
        <v>380.67939966987802</v>
      </c>
    </row>
    <row r="605" spans="1:26" x14ac:dyDescent="0.3">
      <c r="A605" t="s">
        <v>82</v>
      </c>
      <c r="B605" t="s">
        <v>661</v>
      </c>
      <c r="C605">
        <v>82.584806667818199</v>
      </c>
      <c r="D605">
        <v>51</v>
      </c>
      <c r="E605">
        <v>81</v>
      </c>
      <c r="F605">
        <v>5708.4233483587705</v>
      </c>
      <c r="G605" t="s">
        <v>48</v>
      </c>
      <c r="H605">
        <v>60</v>
      </c>
      <c r="I605">
        <v>24</v>
      </c>
      <c r="J605">
        <v>66</v>
      </c>
      <c r="K605">
        <v>8</v>
      </c>
      <c r="L605" t="s">
        <v>36</v>
      </c>
      <c r="M605">
        <v>14.584751778147901</v>
      </c>
      <c r="N605" t="s">
        <v>57</v>
      </c>
      <c r="O605" t="s">
        <v>38</v>
      </c>
      <c r="P605">
        <f>VLOOKUP(O605, Coordinates!$A$2:$C$6, 2, FALSE)</f>
        <v>25.761700000000001</v>
      </c>
      <c r="Q605">
        <f>VLOOKUP(O605, Coordinates!$A$2:$C$6, 3, FALSE)</f>
        <v>-80.191800000000001</v>
      </c>
      <c r="R605">
        <v>14</v>
      </c>
      <c r="S605">
        <v>335</v>
      </c>
      <c r="T605">
        <v>13</v>
      </c>
      <c r="U605">
        <v>71.420591676572599</v>
      </c>
      <c r="V605" t="s">
        <v>39</v>
      </c>
      <c r="W605">
        <v>3.2768813813211901</v>
      </c>
      <c r="X605" t="s">
        <v>46</v>
      </c>
      <c r="Y605" t="s">
        <v>32</v>
      </c>
      <c r="Z605">
        <v>591.14338342570102</v>
      </c>
    </row>
    <row r="606" spans="1:26" x14ac:dyDescent="0.3">
      <c r="A606" t="s">
        <v>42</v>
      </c>
      <c r="B606" t="s">
        <v>662</v>
      </c>
      <c r="C606">
        <v>32.033418667475203</v>
      </c>
      <c r="D606">
        <v>10</v>
      </c>
      <c r="E606">
        <v>820</v>
      </c>
      <c r="F606">
        <v>9087.7503550000001</v>
      </c>
      <c r="G606" t="s">
        <v>35</v>
      </c>
      <c r="H606">
        <v>66</v>
      </c>
      <c r="I606">
        <v>6</v>
      </c>
      <c r="J606">
        <v>94</v>
      </c>
      <c r="K606">
        <v>1</v>
      </c>
      <c r="L606" t="s">
        <v>36</v>
      </c>
      <c r="M606">
        <v>9.9842299059999995</v>
      </c>
      <c r="N606" t="s">
        <v>28</v>
      </c>
      <c r="O606" t="s">
        <v>58</v>
      </c>
      <c r="P606">
        <f>VLOOKUP(O606, Coordinates!$A$2:$C$6, 2, FALSE)</f>
        <v>34.052199999999999</v>
      </c>
      <c r="Q606">
        <f>VLOOKUP(O606, Coordinates!$A$2:$C$6, 3, FALSE)</f>
        <v>-118.2437</v>
      </c>
      <c r="R606">
        <v>11</v>
      </c>
      <c r="S606">
        <v>695</v>
      </c>
      <c r="T606">
        <v>30</v>
      </c>
      <c r="U606">
        <v>26.017484354095899</v>
      </c>
      <c r="V606" t="s">
        <v>55</v>
      </c>
      <c r="W606">
        <v>1.32768838386383</v>
      </c>
      <c r="X606" t="s">
        <v>31</v>
      </c>
      <c r="Y606" t="s">
        <v>41</v>
      </c>
      <c r="Z606">
        <v>920.615309002289</v>
      </c>
    </row>
    <row r="607" spans="1:26" x14ac:dyDescent="0.3">
      <c r="A607" t="s">
        <v>42</v>
      </c>
      <c r="B607" t="s">
        <v>663</v>
      </c>
      <c r="C607">
        <v>82.729633531083493</v>
      </c>
      <c r="D607">
        <v>72</v>
      </c>
      <c r="E607">
        <v>772</v>
      </c>
      <c r="F607">
        <v>2479.5341589557202</v>
      </c>
      <c r="G607" t="s">
        <v>35</v>
      </c>
      <c r="H607">
        <v>53</v>
      </c>
      <c r="I607">
        <v>12</v>
      </c>
      <c r="J607">
        <v>42</v>
      </c>
      <c r="K607">
        <v>3</v>
      </c>
      <c r="L607" t="s">
        <v>36</v>
      </c>
      <c r="M607">
        <v>3.16457520528895</v>
      </c>
      <c r="N607" t="s">
        <v>45</v>
      </c>
      <c r="O607" t="s">
        <v>38</v>
      </c>
      <c r="P607">
        <f>VLOOKUP(O607, Coordinates!$A$2:$C$6, 2, FALSE)</f>
        <v>25.761700000000001</v>
      </c>
      <c r="Q607">
        <f>VLOOKUP(O607, Coordinates!$A$2:$C$6, 3, FALSE)</f>
        <v>-80.191800000000001</v>
      </c>
      <c r="R607">
        <v>25</v>
      </c>
      <c r="S607">
        <v>958</v>
      </c>
      <c r="T607">
        <v>5</v>
      </c>
      <c r="U607">
        <v>92.542556367395505</v>
      </c>
      <c r="V607" t="s">
        <v>39</v>
      </c>
      <c r="W607">
        <v>3.81312030105684</v>
      </c>
      <c r="X607" t="s">
        <v>52</v>
      </c>
      <c r="Y607" t="s">
        <v>32</v>
      </c>
      <c r="Z607">
        <v>401.22109501372898</v>
      </c>
    </row>
    <row r="608" spans="1:26" x14ac:dyDescent="0.3">
      <c r="A608" t="s">
        <v>33</v>
      </c>
      <c r="B608" t="s">
        <v>664</v>
      </c>
      <c r="C608">
        <v>55.501949137420901</v>
      </c>
      <c r="D608">
        <v>21</v>
      </c>
      <c r="E608">
        <v>414</v>
      </c>
      <c r="F608">
        <v>8236.9832145501805</v>
      </c>
      <c r="G608" t="s">
        <v>26</v>
      </c>
      <c r="H608">
        <v>21</v>
      </c>
      <c r="I608">
        <v>28</v>
      </c>
      <c r="J608">
        <v>32</v>
      </c>
      <c r="K608">
        <v>2</v>
      </c>
      <c r="L608" t="s">
        <v>27</v>
      </c>
      <c r="M608">
        <v>4.7600872368560498</v>
      </c>
      <c r="N608" t="s">
        <v>45</v>
      </c>
      <c r="O608" t="s">
        <v>38</v>
      </c>
      <c r="P608">
        <f>VLOOKUP(O608, Coordinates!$A$2:$C$6, 2, FALSE)</f>
        <v>25.761700000000001</v>
      </c>
      <c r="Q608">
        <f>VLOOKUP(O608, Coordinates!$A$2:$C$6, 3, FALSE)</f>
        <v>-80.191800000000001</v>
      </c>
      <c r="R608">
        <v>29</v>
      </c>
      <c r="S608">
        <v>644</v>
      </c>
      <c r="T608">
        <v>12</v>
      </c>
      <c r="U608">
        <v>85.632325686898298</v>
      </c>
      <c r="V608" t="s">
        <v>39</v>
      </c>
      <c r="W608">
        <v>4.7906709229615503</v>
      </c>
      <c r="X608" t="s">
        <v>31</v>
      </c>
      <c r="Y608" t="s">
        <v>60</v>
      </c>
      <c r="Z608">
        <v>922.00846038820805</v>
      </c>
    </row>
    <row r="609" spans="1:26" x14ac:dyDescent="0.3">
      <c r="A609" t="s">
        <v>24</v>
      </c>
      <c r="B609" t="s">
        <v>665</v>
      </c>
      <c r="C609">
        <v>22.593141740733401</v>
      </c>
      <c r="D609">
        <v>70</v>
      </c>
      <c r="E609">
        <v>618</v>
      </c>
      <c r="F609">
        <v>12566.3054361959</v>
      </c>
      <c r="G609" t="s">
        <v>35</v>
      </c>
      <c r="H609">
        <v>25</v>
      </c>
      <c r="I609">
        <v>28</v>
      </c>
      <c r="J609">
        <v>72</v>
      </c>
      <c r="K609">
        <v>4</v>
      </c>
      <c r="L609" t="s">
        <v>36</v>
      </c>
      <c r="M609">
        <v>1.9040310482356499</v>
      </c>
      <c r="N609" t="s">
        <v>37</v>
      </c>
      <c r="O609" t="s">
        <v>58</v>
      </c>
      <c r="P609">
        <f>VLOOKUP(O609, Coordinates!$A$2:$C$6, 2, FALSE)</f>
        <v>34.052199999999999</v>
      </c>
      <c r="Q609">
        <f>VLOOKUP(O609, Coordinates!$A$2:$C$6, 3, FALSE)</f>
        <v>-118.2437</v>
      </c>
      <c r="R609">
        <v>10</v>
      </c>
      <c r="S609">
        <v>732</v>
      </c>
      <c r="T609">
        <v>7</v>
      </c>
      <c r="U609">
        <v>81.924226547189804</v>
      </c>
      <c r="V609" t="s">
        <v>30</v>
      </c>
      <c r="W609">
        <v>1.50174901368361</v>
      </c>
      <c r="X609" t="s">
        <v>31</v>
      </c>
      <c r="Y609" t="s">
        <v>60</v>
      </c>
      <c r="Z609">
        <v>311.61552211748801</v>
      </c>
    </row>
    <row r="610" spans="1:26" x14ac:dyDescent="0.3">
      <c r="A610" t="s">
        <v>61</v>
      </c>
      <c r="B610" t="s">
        <v>666</v>
      </c>
      <c r="C610">
        <v>59.604057655119398</v>
      </c>
      <c r="D610">
        <v>85</v>
      </c>
      <c r="E610">
        <v>110</v>
      </c>
      <c r="F610">
        <v>2144.6307029519799</v>
      </c>
      <c r="G610" t="s">
        <v>26</v>
      </c>
      <c r="H610">
        <v>82</v>
      </c>
      <c r="I610">
        <v>29</v>
      </c>
      <c r="J610">
        <v>79</v>
      </c>
      <c r="K610">
        <v>2</v>
      </c>
      <c r="L610" t="s">
        <v>27</v>
      </c>
      <c r="M610">
        <v>3.5537944621275201</v>
      </c>
      <c r="N610" t="s">
        <v>57</v>
      </c>
      <c r="O610" t="s">
        <v>29</v>
      </c>
      <c r="P610">
        <f>VLOOKUP(O610, Coordinates!$A$2:$C$6, 2, FALSE)</f>
        <v>29.760400000000001</v>
      </c>
      <c r="Q610">
        <f>VLOOKUP(O610, Coordinates!$A$2:$C$6, 3, FALSE)</f>
        <v>-95.369799999999998</v>
      </c>
      <c r="R610">
        <v>29</v>
      </c>
      <c r="S610">
        <v>641</v>
      </c>
      <c r="T610">
        <v>27</v>
      </c>
      <c r="U610">
        <v>89.995562404243302</v>
      </c>
      <c r="V610" t="s">
        <v>39</v>
      </c>
      <c r="W610">
        <v>0.55691615893380497</v>
      </c>
      <c r="X610" t="s">
        <v>40</v>
      </c>
      <c r="Y610" t="s">
        <v>41</v>
      </c>
      <c r="Z610">
        <v>935.83279344724804</v>
      </c>
    </row>
    <row r="611" spans="1:26" x14ac:dyDescent="0.3">
      <c r="A611" t="s">
        <v>82</v>
      </c>
      <c r="B611" t="s">
        <v>667</v>
      </c>
      <c r="C611">
        <v>7.8184811911502798</v>
      </c>
      <c r="D611">
        <v>57</v>
      </c>
      <c r="E611">
        <v>849</v>
      </c>
      <c r="F611">
        <v>4587.0330172971398</v>
      </c>
      <c r="G611" t="s">
        <v>35</v>
      </c>
      <c r="H611">
        <v>59</v>
      </c>
      <c r="I611">
        <v>22</v>
      </c>
      <c r="J611">
        <v>31</v>
      </c>
      <c r="K611">
        <v>8</v>
      </c>
      <c r="L611" t="s">
        <v>36</v>
      </c>
      <c r="M611">
        <v>7.8297830086888798</v>
      </c>
      <c r="N611" t="s">
        <v>51</v>
      </c>
      <c r="O611" t="s">
        <v>65</v>
      </c>
      <c r="P611">
        <f>VLOOKUP(O611, Coordinates!$A$2:$C$6, 2, FALSE)</f>
        <v>41.878100000000003</v>
      </c>
      <c r="Q611">
        <f>VLOOKUP(O611, Coordinates!$A$2:$C$6, 3, FALSE)</f>
        <v>-87.629800000000003</v>
      </c>
      <c r="R611">
        <v>28</v>
      </c>
      <c r="S611">
        <v>533</v>
      </c>
      <c r="T611">
        <v>9</v>
      </c>
      <c r="U611">
        <v>13.8598918306595</v>
      </c>
      <c r="V611" t="s">
        <v>30</v>
      </c>
      <c r="W611">
        <v>3.4075853920000001</v>
      </c>
      <c r="X611" t="s">
        <v>52</v>
      </c>
      <c r="Y611" t="s">
        <v>32</v>
      </c>
      <c r="Z611">
        <v>422.79892502222299</v>
      </c>
    </row>
    <row r="612" spans="1:26" x14ac:dyDescent="0.3">
      <c r="A612" t="s">
        <v>33</v>
      </c>
      <c r="B612" t="s">
        <v>668</v>
      </c>
      <c r="C612">
        <v>69.164919716973401</v>
      </c>
      <c r="D612">
        <v>39</v>
      </c>
      <c r="E612">
        <v>555</v>
      </c>
      <c r="F612">
        <v>2531.37377030065</v>
      </c>
      <c r="G612" t="s">
        <v>54</v>
      </c>
      <c r="H612">
        <v>38</v>
      </c>
      <c r="I612">
        <v>4</v>
      </c>
      <c r="J612">
        <v>76</v>
      </c>
      <c r="K612">
        <v>1</v>
      </c>
      <c r="L612" t="s">
        <v>27</v>
      </c>
      <c r="M612">
        <v>5.8279893400008502</v>
      </c>
      <c r="N612" t="s">
        <v>45</v>
      </c>
      <c r="O612" t="s">
        <v>38</v>
      </c>
      <c r="P612">
        <f>VLOOKUP(O612, Coordinates!$A$2:$C$6, 2, FALSE)</f>
        <v>25.761700000000001</v>
      </c>
      <c r="Q612">
        <f>VLOOKUP(O612, Coordinates!$A$2:$C$6, 3, FALSE)</f>
        <v>-80.191800000000001</v>
      </c>
      <c r="R612">
        <v>28</v>
      </c>
      <c r="S612">
        <v>645</v>
      </c>
      <c r="T612">
        <v>5</v>
      </c>
      <c r="U612">
        <v>59.377406746374398</v>
      </c>
      <c r="V612" t="s">
        <v>39</v>
      </c>
      <c r="W612">
        <v>4.3215606909611601</v>
      </c>
      <c r="X612" t="s">
        <v>52</v>
      </c>
      <c r="Y612" t="s">
        <v>60</v>
      </c>
      <c r="Z612">
        <v>437.14108793569801</v>
      </c>
    </row>
    <row r="613" spans="1:26" x14ac:dyDescent="0.3">
      <c r="A613" t="s">
        <v>49</v>
      </c>
      <c r="B613" t="s">
        <v>669</v>
      </c>
      <c r="C613">
        <v>9.26108896223902</v>
      </c>
      <c r="D613">
        <v>88</v>
      </c>
      <c r="E613">
        <v>480</v>
      </c>
      <c r="F613">
        <v>3292.484504</v>
      </c>
      <c r="G613" t="s">
        <v>48</v>
      </c>
      <c r="H613">
        <v>35</v>
      </c>
      <c r="I613">
        <v>1</v>
      </c>
      <c r="J613">
        <v>89</v>
      </c>
      <c r="K613">
        <v>4</v>
      </c>
      <c r="L613" t="s">
        <v>27</v>
      </c>
      <c r="M613">
        <v>3.8554724423227298</v>
      </c>
      <c r="N613" t="s">
        <v>37</v>
      </c>
      <c r="O613" t="s">
        <v>65</v>
      </c>
      <c r="P613">
        <f>VLOOKUP(O613, Coordinates!$A$2:$C$6, 2, FALSE)</f>
        <v>41.878100000000003</v>
      </c>
      <c r="Q613">
        <f>VLOOKUP(O613, Coordinates!$A$2:$C$6, 3, FALSE)</f>
        <v>-87.629800000000003</v>
      </c>
      <c r="R613">
        <v>27</v>
      </c>
      <c r="S613">
        <v>744</v>
      </c>
      <c r="T613">
        <v>4</v>
      </c>
      <c r="U613">
        <v>94.200649630000001</v>
      </c>
      <c r="V613" t="s">
        <v>55</v>
      </c>
      <c r="W613">
        <v>2.3781537778131399</v>
      </c>
      <c r="X613" t="s">
        <v>52</v>
      </c>
      <c r="Y613" t="s">
        <v>60</v>
      </c>
      <c r="Z613">
        <v>597.70712948114101</v>
      </c>
    </row>
    <row r="614" spans="1:26" x14ac:dyDescent="0.3">
      <c r="A614" t="s">
        <v>33</v>
      </c>
      <c r="B614" t="s">
        <v>670</v>
      </c>
      <c r="C614">
        <v>47.806716803397698</v>
      </c>
      <c r="D614">
        <v>33</v>
      </c>
      <c r="E614">
        <v>830</v>
      </c>
      <c r="F614">
        <v>3369.2155734748899</v>
      </c>
      <c r="G614" t="s">
        <v>26</v>
      </c>
      <c r="H614">
        <v>20</v>
      </c>
      <c r="I614">
        <v>11</v>
      </c>
      <c r="J614">
        <v>68</v>
      </c>
      <c r="K614">
        <v>5</v>
      </c>
      <c r="L614" t="s">
        <v>44</v>
      </c>
      <c r="M614">
        <v>3.05237778987998</v>
      </c>
      <c r="N614" t="s">
        <v>37</v>
      </c>
      <c r="O614" t="s">
        <v>38</v>
      </c>
      <c r="P614">
        <f>VLOOKUP(O614, Coordinates!$A$2:$C$6, 2, FALSE)</f>
        <v>25.761700000000001</v>
      </c>
      <c r="Q614">
        <f>VLOOKUP(O614, Coordinates!$A$2:$C$6, 3, FALSE)</f>
        <v>-80.191800000000001</v>
      </c>
      <c r="R614">
        <v>9</v>
      </c>
      <c r="S614">
        <v>307</v>
      </c>
      <c r="T614">
        <v>10</v>
      </c>
      <c r="U614">
        <v>86.984468104212795</v>
      </c>
      <c r="V614" t="s">
        <v>30</v>
      </c>
      <c r="W614">
        <v>0.25202772118016498</v>
      </c>
      <c r="X614" t="s">
        <v>52</v>
      </c>
      <c r="Y614" t="s">
        <v>32</v>
      </c>
      <c r="Z614">
        <v>412.32382569436402</v>
      </c>
    </row>
    <row r="615" spans="1:26" x14ac:dyDescent="0.3">
      <c r="A615" t="s">
        <v>33</v>
      </c>
      <c r="B615" t="s">
        <v>671</v>
      </c>
      <c r="C615">
        <v>93.295535974945807</v>
      </c>
      <c r="D615">
        <v>59</v>
      </c>
      <c r="E615">
        <v>279</v>
      </c>
      <c r="F615">
        <v>6006.12754623195</v>
      </c>
      <c r="G615" t="s">
        <v>26</v>
      </c>
      <c r="H615">
        <v>40</v>
      </c>
      <c r="I615">
        <v>23</v>
      </c>
      <c r="J615">
        <v>34</v>
      </c>
      <c r="K615">
        <v>10</v>
      </c>
      <c r="L615" t="s">
        <v>44</v>
      </c>
      <c r="M615">
        <v>10.1849956376808</v>
      </c>
      <c r="N615" t="s">
        <v>37</v>
      </c>
      <c r="O615" t="s">
        <v>29</v>
      </c>
      <c r="P615">
        <f>VLOOKUP(O615, Coordinates!$A$2:$C$6, 2, FALSE)</f>
        <v>29.760400000000001</v>
      </c>
      <c r="Q615">
        <f>VLOOKUP(O615, Coordinates!$A$2:$C$6, 3, FALSE)</f>
        <v>-95.369799999999998</v>
      </c>
      <c r="R615">
        <v>26</v>
      </c>
      <c r="S615">
        <v>239</v>
      </c>
      <c r="T615">
        <v>16</v>
      </c>
      <c r="U615">
        <v>42.046599142089498</v>
      </c>
      <c r="V615" t="s">
        <v>30</v>
      </c>
      <c r="W615">
        <v>4.96491974454052</v>
      </c>
      <c r="X615" t="s">
        <v>40</v>
      </c>
      <c r="Y615" t="s">
        <v>41</v>
      </c>
      <c r="Z615">
        <v>504.98417069999999</v>
      </c>
    </row>
    <row r="616" spans="1:26" x14ac:dyDescent="0.3">
      <c r="A616" t="s">
        <v>61</v>
      </c>
      <c r="B616" t="s">
        <v>672</v>
      </c>
      <c r="C616">
        <v>20.694374237095701</v>
      </c>
      <c r="D616">
        <v>18</v>
      </c>
      <c r="E616">
        <v>92</v>
      </c>
      <c r="F616">
        <v>4702.6983858441799</v>
      </c>
      <c r="G616" t="s">
        <v>48</v>
      </c>
      <c r="H616">
        <v>47</v>
      </c>
      <c r="I616">
        <v>8</v>
      </c>
      <c r="J616">
        <v>26</v>
      </c>
      <c r="K616">
        <v>4</v>
      </c>
      <c r="L616" t="s">
        <v>44</v>
      </c>
      <c r="M616">
        <v>8.8134332762199108</v>
      </c>
      <c r="N616" t="s">
        <v>57</v>
      </c>
      <c r="O616" t="s">
        <v>58</v>
      </c>
      <c r="P616">
        <f>VLOOKUP(O616, Coordinates!$A$2:$C$6, 2, FALSE)</f>
        <v>34.052199999999999</v>
      </c>
      <c r="Q616">
        <f>VLOOKUP(O616, Coordinates!$A$2:$C$6, 3, FALSE)</f>
        <v>-118.2437</v>
      </c>
      <c r="R616">
        <v>2</v>
      </c>
      <c r="S616">
        <v>687</v>
      </c>
      <c r="T616">
        <v>11</v>
      </c>
      <c r="U616">
        <v>26.4583391711171</v>
      </c>
      <c r="V616" t="s">
        <v>39</v>
      </c>
      <c r="W616">
        <v>2.2381056338774599</v>
      </c>
      <c r="X616" t="s">
        <v>40</v>
      </c>
      <c r="Y616" t="s">
        <v>32</v>
      </c>
      <c r="Z616">
        <v>551.19157762929399</v>
      </c>
    </row>
    <row r="617" spans="1:26" x14ac:dyDescent="0.3">
      <c r="A617" t="s">
        <v>49</v>
      </c>
      <c r="B617" t="s">
        <v>673</v>
      </c>
      <c r="C617">
        <v>42.0378735294466</v>
      </c>
      <c r="D617">
        <v>56</v>
      </c>
      <c r="E617">
        <v>727</v>
      </c>
      <c r="F617">
        <v>9529.5952360567408</v>
      </c>
      <c r="G617" t="s">
        <v>26</v>
      </c>
      <c r="H617">
        <v>25</v>
      </c>
      <c r="I617">
        <v>2</v>
      </c>
      <c r="J617">
        <v>48</v>
      </c>
      <c r="K617">
        <v>8</v>
      </c>
      <c r="L617" t="s">
        <v>27</v>
      </c>
      <c r="M617">
        <v>12.7969643710081</v>
      </c>
      <c r="N617" t="s">
        <v>37</v>
      </c>
      <c r="O617" t="s">
        <v>29</v>
      </c>
      <c r="P617">
        <f>VLOOKUP(O617, Coordinates!$A$2:$C$6, 2, FALSE)</f>
        <v>29.760400000000001</v>
      </c>
      <c r="Q617">
        <f>VLOOKUP(O617, Coordinates!$A$2:$C$6, 3, FALSE)</f>
        <v>-95.369799999999998</v>
      </c>
      <c r="R617">
        <v>14</v>
      </c>
      <c r="S617">
        <v>686</v>
      </c>
      <c r="T617">
        <v>29</v>
      </c>
      <c r="U617">
        <v>28.948652956337</v>
      </c>
      <c r="V617" t="s">
        <v>39</v>
      </c>
      <c r="W617">
        <v>4.9955499065476703</v>
      </c>
      <c r="X617" t="s">
        <v>31</v>
      </c>
      <c r="Y617" t="s">
        <v>32</v>
      </c>
      <c r="Z617">
        <v>541.91759372195497</v>
      </c>
    </row>
    <row r="618" spans="1:26" x14ac:dyDescent="0.3">
      <c r="A618" t="s">
        <v>33</v>
      </c>
      <c r="B618" t="s">
        <v>674</v>
      </c>
      <c r="C618">
        <v>74.336729340605402</v>
      </c>
      <c r="D618">
        <v>92</v>
      </c>
      <c r="E618">
        <v>885</v>
      </c>
      <c r="F618">
        <v>2137.3312775230402</v>
      </c>
      <c r="G618" t="s">
        <v>48</v>
      </c>
      <c r="H618">
        <v>62</v>
      </c>
      <c r="I618">
        <v>2</v>
      </c>
      <c r="J618">
        <v>86</v>
      </c>
      <c r="K618">
        <v>2</v>
      </c>
      <c r="L618" t="s">
        <v>44</v>
      </c>
      <c r="M618">
        <v>3.56554040018854</v>
      </c>
      <c r="N618" t="s">
        <v>28</v>
      </c>
      <c r="O618" t="s">
        <v>38</v>
      </c>
      <c r="P618">
        <f>VLOOKUP(O618, Coordinates!$A$2:$C$6, 2, FALSE)</f>
        <v>25.761700000000001</v>
      </c>
      <c r="Q618">
        <f>VLOOKUP(O618, Coordinates!$A$2:$C$6, 3, FALSE)</f>
        <v>-80.191800000000001</v>
      </c>
      <c r="R618">
        <v>7</v>
      </c>
      <c r="S618">
        <v>919</v>
      </c>
      <c r="T618">
        <v>9</v>
      </c>
      <c r="U618">
        <v>56.305709027056402</v>
      </c>
      <c r="V618" t="s">
        <v>39</v>
      </c>
      <c r="W618">
        <v>1.9283743846703301</v>
      </c>
      <c r="X618" t="s">
        <v>31</v>
      </c>
      <c r="Y618" t="s">
        <v>32</v>
      </c>
      <c r="Z618">
        <v>964.99850987225602</v>
      </c>
    </row>
    <row r="619" spans="1:26" x14ac:dyDescent="0.3">
      <c r="A619" t="s">
        <v>82</v>
      </c>
      <c r="B619" t="s">
        <v>675</v>
      </c>
      <c r="C619">
        <v>88.814562829010498</v>
      </c>
      <c r="D619">
        <v>57</v>
      </c>
      <c r="E619">
        <v>81</v>
      </c>
      <c r="F619">
        <v>9763.2292140000009</v>
      </c>
      <c r="G619" t="s">
        <v>54</v>
      </c>
      <c r="H619">
        <v>76</v>
      </c>
      <c r="I619">
        <v>16</v>
      </c>
      <c r="J619">
        <v>84</v>
      </c>
      <c r="K619">
        <v>9</v>
      </c>
      <c r="L619" t="s">
        <v>44</v>
      </c>
      <c r="M619">
        <v>12.8717964389954</v>
      </c>
      <c r="N619" t="s">
        <v>51</v>
      </c>
      <c r="O619" t="s">
        <v>58</v>
      </c>
      <c r="P619">
        <f>VLOOKUP(O619, Coordinates!$A$2:$C$6, 2, FALSE)</f>
        <v>34.052199999999999</v>
      </c>
      <c r="Q619">
        <f>VLOOKUP(O619, Coordinates!$A$2:$C$6, 3, FALSE)</f>
        <v>-118.2437</v>
      </c>
      <c r="R619">
        <v>17</v>
      </c>
      <c r="S619">
        <v>406</v>
      </c>
      <c r="T619">
        <v>24</v>
      </c>
      <c r="U619">
        <v>63.709564945282601</v>
      </c>
      <c r="V619" t="s">
        <v>39</v>
      </c>
      <c r="W619">
        <v>1.73926277971109</v>
      </c>
      <c r="X619" t="s">
        <v>52</v>
      </c>
      <c r="Y619" t="s">
        <v>32</v>
      </c>
      <c r="Z619">
        <v>353.60960752021401</v>
      </c>
    </row>
    <row r="620" spans="1:26" x14ac:dyDescent="0.3">
      <c r="A620" t="s">
        <v>82</v>
      </c>
      <c r="B620" t="s">
        <v>676</v>
      </c>
      <c r="C620">
        <v>68.7395854505382</v>
      </c>
      <c r="D620">
        <v>96</v>
      </c>
      <c r="E620">
        <v>81</v>
      </c>
      <c r="F620">
        <v>3075.74776192837</v>
      </c>
      <c r="G620" t="s">
        <v>35</v>
      </c>
      <c r="H620">
        <v>35</v>
      </c>
      <c r="I620">
        <v>1</v>
      </c>
      <c r="J620">
        <v>83</v>
      </c>
      <c r="K620">
        <v>2</v>
      </c>
      <c r="L620" t="s">
        <v>44</v>
      </c>
      <c r="M620">
        <v>9.0907564158379799</v>
      </c>
      <c r="N620" t="s">
        <v>37</v>
      </c>
      <c r="O620" t="s">
        <v>65</v>
      </c>
      <c r="P620">
        <f>VLOOKUP(O620, Coordinates!$A$2:$C$6, 2, FALSE)</f>
        <v>41.878100000000003</v>
      </c>
      <c r="Q620">
        <f>VLOOKUP(O620, Coordinates!$A$2:$C$6, 3, FALSE)</f>
        <v>-87.629800000000003</v>
      </c>
      <c r="R620">
        <v>24</v>
      </c>
      <c r="S620">
        <v>669</v>
      </c>
      <c r="T620">
        <v>5</v>
      </c>
      <c r="U620">
        <v>12.9532884961272</v>
      </c>
      <c r="V620" t="s">
        <v>39</v>
      </c>
      <c r="W620">
        <v>4.5728616413353604</v>
      </c>
      <c r="X620" t="s">
        <v>31</v>
      </c>
      <c r="Y620" t="s">
        <v>32</v>
      </c>
      <c r="Z620">
        <v>356.12162185228198</v>
      </c>
    </row>
    <row r="621" spans="1:26" x14ac:dyDescent="0.3">
      <c r="A621" t="s">
        <v>42</v>
      </c>
      <c r="B621" t="s">
        <v>677</v>
      </c>
      <c r="C621">
        <v>29.526459148160999</v>
      </c>
      <c r="D621">
        <v>76</v>
      </c>
      <c r="E621">
        <v>446</v>
      </c>
      <c r="F621">
        <v>7955.86542743667</v>
      </c>
      <c r="G621" t="s">
        <v>54</v>
      </c>
      <c r="H621">
        <v>23</v>
      </c>
      <c r="I621">
        <v>4</v>
      </c>
      <c r="J621">
        <v>48</v>
      </c>
      <c r="K621">
        <v>2</v>
      </c>
      <c r="L621" t="s">
        <v>27</v>
      </c>
      <c r="M621">
        <v>4.7271247157160099</v>
      </c>
      <c r="N621" t="s">
        <v>57</v>
      </c>
      <c r="O621" t="s">
        <v>29</v>
      </c>
      <c r="P621">
        <f>VLOOKUP(O621, Coordinates!$A$2:$C$6, 2, FALSE)</f>
        <v>29.760400000000001</v>
      </c>
      <c r="Q621">
        <f>VLOOKUP(O621, Coordinates!$A$2:$C$6, 3, FALSE)</f>
        <v>-95.369799999999998</v>
      </c>
      <c r="R621">
        <v>20</v>
      </c>
      <c r="S621">
        <v>197</v>
      </c>
      <c r="T621">
        <v>25</v>
      </c>
      <c r="U621">
        <v>47.2196403311399</v>
      </c>
      <c r="V621" t="s">
        <v>30</v>
      </c>
      <c r="W621">
        <v>1.6473292692224399</v>
      </c>
      <c r="X621" t="s">
        <v>40</v>
      </c>
      <c r="Y621" t="s">
        <v>60</v>
      </c>
      <c r="Z621">
        <v>854.12952093281103</v>
      </c>
    </row>
    <row r="622" spans="1:26" x14ac:dyDescent="0.3">
      <c r="A622" t="s">
        <v>49</v>
      </c>
      <c r="B622" t="s">
        <v>678</v>
      </c>
      <c r="C622">
        <v>69.087746027040495</v>
      </c>
      <c r="D622">
        <v>48</v>
      </c>
      <c r="E622">
        <v>544</v>
      </c>
      <c r="F622">
        <v>4050.7293355553902</v>
      </c>
      <c r="G622" t="s">
        <v>35</v>
      </c>
      <c r="H622">
        <v>89</v>
      </c>
      <c r="I622">
        <v>6</v>
      </c>
      <c r="J622">
        <v>33</v>
      </c>
      <c r="K622">
        <v>2</v>
      </c>
      <c r="L622" t="s">
        <v>27</v>
      </c>
      <c r="M622">
        <v>4.8297439679591498</v>
      </c>
      <c r="N622" t="s">
        <v>51</v>
      </c>
      <c r="O622" t="s">
        <v>67</v>
      </c>
      <c r="P622">
        <f>VLOOKUP(O622, Coordinates!$A$2:$C$6, 2, FALSE)</f>
        <v>40.712800000000001</v>
      </c>
      <c r="Q622">
        <f>VLOOKUP(O622, Coordinates!$A$2:$C$6, 3, FALSE)</f>
        <v>-74.006</v>
      </c>
      <c r="R622">
        <v>8</v>
      </c>
      <c r="S622">
        <v>224</v>
      </c>
      <c r="T622">
        <v>11</v>
      </c>
      <c r="U622">
        <v>84.734840407951395</v>
      </c>
      <c r="V622" t="s">
        <v>55</v>
      </c>
      <c r="W622">
        <v>2.1600277365813501</v>
      </c>
      <c r="X622" t="s">
        <v>31</v>
      </c>
      <c r="Y622" t="s">
        <v>41</v>
      </c>
      <c r="Z622">
        <v>452.80795766446602</v>
      </c>
    </row>
    <row r="623" spans="1:26" x14ac:dyDescent="0.3">
      <c r="A623" t="s">
        <v>49</v>
      </c>
      <c r="B623" t="s">
        <v>679</v>
      </c>
      <c r="C623">
        <v>33.189125904888499</v>
      </c>
      <c r="D623">
        <v>42</v>
      </c>
      <c r="E623">
        <v>249</v>
      </c>
      <c r="F623">
        <v>2287.7325587558198</v>
      </c>
      <c r="G623" t="s">
        <v>48</v>
      </c>
      <c r="H623">
        <v>20</v>
      </c>
      <c r="I623">
        <v>30</v>
      </c>
      <c r="J623">
        <v>47</v>
      </c>
      <c r="K623">
        <v>9</v>
      </c>
      <c r="L623" t="s">
        <v>44</v>
      </c>
      <c r="M623">
        <v>6.4653254620139302</v>
      </c>
      <c r="N623" t="s">
        <v>51</v>
      </c>
      <c r="O623" t="s">
        <v>38</v>
      </c>
      <c r="P623">
        <f>VLOOKUP(O623, Coordinates!$A$2:$C$6, 2, FALSE)</f>
        <v>25.761700000000001</v>
      </c>
      <c r="Q623">
        <f>VLOOKUP(O623, Coordinates!$A$2:$C$6, 3, FALSE)</f>
        <v>-80.191800000000001</v>
      </c>
      <c r="R623">
        <v>24</v>
      </c>
      <c r="S623">
        <v>448</v>
      </c>
      <c r="T623">
        <v>30</v>
      </c>
      <c r="U623">
        <v>49.989605521221698</v>
      </c>
      <c r="V623" t="s">
        <v>39</v>
      </c>
      <c r="W623">
        <v>0.39055218357078703</v>
      </c>
      <c r="X623" t="s">
        <v>46</v>
      </c>
      <c r="Y623" t="s">
        <v>41</v>
      </c>
      <c r="Z623">
        <v>986.76059106179196</v>
      </c>
    </row>
    <row r="624" spans="1:26" x14ac:dyDescent="0.3">
      <c r="A624" t="s">
        <v>42</v>
      </c>
      <c r="B624" t="s">
        <v>680</v>
      </c>
      <c r="C624">
        <v>73.250776832779806</v>
      </c>
      <c r="D624">
        <v>27</v>
      </c>
      <c r="E624">
        <v>582</v>
      </c>
      <c r="F624">
        <v>8721.0026672161493</v>
      </c>
      <c r="G624" t="s">
        <v>54</v>
      </c>
      <c r="H624">
        <v>17</v>
      </c>
      <c r="I624">
        <v>21</v>
      </c>
      <c r="J624">
        <v>97</v>
      </c>
      <c r="K624">
        <v>8</v>
      </c>
      <c r="L624" t="s">
        <v>44</v>
      </c>
      <c r="M624">
        <v>7.4417810333351104</v>
      </c>
      <c r="N624" t="s">
        <v>45</v>
      </c>
      <c r="O624" t="s">
        <v>38</v>
      </c>
      <c r="P624">
        <f>VLOOKUP(O624, Coordinates!$A$2:$C$6, 2, FALSE)</f>
        <v>25.761700000000001</v>
      </c>
      <c r="Q624">
        <f>VLOOKUP(O624, Coordinates!$A$2:$C$6, 3, FALSE)</f>
        <v>-80.191800000000001</v>
      </c>
      <c r="R624">
        <v>28</v>
      </c>
      <c r="S624">
        <v>233</v>
      </c>
      <c r="T624">
        <v>9</v>
      </c>
      <c r="U624">
        <v>25.225785185446899</v>
      </c>
      <c r="V624" t="s">
        <v>55</v>
      </c>
      <c r="W624">
        <v>4.8867042939651704</v>
      </c>
      <c r="X624" t="s">
        <v>31</v>
      </c>
      <c r="Y624" t="s">
        <v>60</v>
      </c>
      <c r="Z624">
        <v>533.12858118650195</v>
      </c>
    </row>
    <row r="625" spans="1:26" x14ac:dyDescent="0.3">
      <c r="A625" t="s">
        <v>33</v>
      </c>
      <c r="B625" t="s">
        <v>681</v>
      </c>
      <c r="C625">
        <v>95.633147120578798</v>
      </c>
      <c r="D625">
        <v>74</v>
      </c>
      <c r="E625">
        <v>782</v>
      </c>
      <c r="F625">
        <v>3779.7480931281598</v>
      </c>
      <c r="G625" t="s">
        <v>35</v>
      </c>
      <c r="H625">
        <v>14</v>
      </c>
      <c r="I625">
        <v>20</v>
      </c>
      <c r="J625">
        <v>90</v>
      </c>
      <c r="K625">
        <v>3</v>
      </c>
      <c r="L625" t="s">
        <v>27</v>
      </c>
      <c r="M625">
        <v>2.1550711863163499</v>
      </c>
      <c r="N625" t="s">
        <v>37</v>
      </c>
      <c r="O625" t="s">
        <v>29</v>
      </c>
      <c r="P625">
        <f>VLOOKUP(O625, Coordinates!$A$2:$C$6, 2, FALSE)</f>
        <v>29.760400000000001</v>
      </c>
      <c r="Q625">
        <f>VLOOKUP(O625, Coordinates!$A$2:$C$6, 3, FALSE)</f>
        <v>-95.369799999999998</v>
      </c>
      <c r="R625">
        <v>4</v>
      </c>
      <c r="S625">
        <v>325</v>
      </c>
      <c r="T625">
        <v>17</v>
      </c>
      <c r="U625">
        <v>95.937426371718701</v>
      </c>
      <c r="V625" t="s">
        <v>30</v>
      </c>
      <c r="W625">
        <v>0.42575620400000003</v>
      </c>
      <c r="X625" t="s">
        <v>40</v>
      </c>
      <c r="Y625" t="s">
        <v>41</v>
      </c>
      <c r="Z625">
        <v>595.20602300184203</v>
      </c>
    </row>
    <row r="626" spans="1:26" x14ac:dyDescent="0.3">
      <c r="A626" t="s">
        <v>49</v>
      </c>
      <c r="B626" t="s">
        <v>682</v>
      </c>
      <c r="C626">
        <v>73.532377855097295</v>
      </c>
      <c r="D626">
        <v>52</v>
      </c>
      <c r="E626">
        <v>386</v>
      </c>
      <c r="F626">
        <v>6929.6986379999998</v>
      </c>
      <c r="G626" t="s">
        <v>48</v>
      </c>
      <c r="H626">
        <v>78</v>
      </c>
      <c r="I626">
        <v>14</v>
      </c>
      <c r="J626">
        <v>66</v>
      </c>
      <c r="K626">
        <v>10</v>
      </c>
      <c r="L626" t="s">
        <v>27</v>
      </c>
      <c r="M626">
        <v>12.7879883193285</v>
      </c>
      <c r="N626" t="s">
        <v>37</v>
      </c>
      <c r="O626" t="s">
        <v>65</v>
      </c>
      <c r="P626">
        <f>VLOOKUP(O626, Coordinates!$A$2:$C$6, 2, FALSE)</f>
        <v>41.878100000000003</v>
      </c>
      <c r="Q626">
        <f>VLOOKUP(O626, Coordinates!$A$2:$C$6, 3, FALSE)</f>
        <v>-87.629800000000003</v>
      </c>
      <c r="R626">
        <v>5</v>
      </c>
      <c r="S626">
        <v>811</v>
      </c>
      <c r="T626">
        <v>28</v>
      </c>
      <c r="U626">
        <v>33.964798590000001</v>
      </c>
      <c r="V626" t="s">
        <v>55</v>
      </c>
      <c r="W626">
        <v>3.8559246676766201</v>
      </c>
      <c r="X626" t="s">
        <v>52</v>
      </c>
      <c r="Y626" t="s">
        <v>41</v>
      </c>
      <c r="Z626">
        <v>655.92346118725902</v>
      </c>
    </row>
    <row r="627" spans="1:26" x14ac:dyDescent="0.3">
      <c r="A627" t="s">
        <v>82</v>
      </c>
      <c r="B627" t="s">
        <v>683</v>
      </c>
      <c r="C627">
        <v>86.973647776679101</v>
      </c>
      <c r="D627">
        <v>42</v>
      </c>
      <c r="E627">
        <v>986</v>
      </c>
      <c r="F627">
        <v>6097.9931657796296</v>
      </c>
      <c r="G627" t="s">
        <v>35</v>
      </c>
      <c r="H627">
        <v>5</v>
      </c>
      <c r="I627">
        <v>20</v>
      </c>
      <c r="J627">
        <v>53</v>
      </c>
      <c r="K627">
        <v>10</v>
      </c>
      <c r="L627" t="s">
        <v>44</v>
      </c>
      <c r="M627">
        <v>2.7015749705387102</v>
      </c>
      <c r="N627" t="s">
        <v>57</v>
      </c>
      <c r="O627" t="s">
        <v>65</v>
      </c>
      <c r="P627">
        <f>VLOOKUP(O627, Coordinates!$A$2:$C$6, 2, FALSE)</f>
        <v>41.878100000000003</v>
      </c>
      <c r="Q627">
        <f>VLOOKUP(O627, Coordinates!$A$2:$C$6, 3, FALSE)</f>
        <v>-87.629800000000003</v>
      </c>
      <c r="R627">
        <v>13</v>
      </c>
      <c r="S627">
        <v>648</v>
      </c>
      <c r="T627">
        <v>22</v>
      </c>
      <c r="U627">
        <v>81.858543907065396</v>
      </c>
      <c r="V627" t="s">
        <v>30</v>
      </c>
      <c r="W627">
        <v>2.69307696905588</v>
      </c>
      <c r="X627" t="s">
        <v>46</v>
      </c>
      <c r="Y627" t="s">
        <v>32</v>
      </c>
      <c r="Z627">
        <v>311.58393286362298</v>
      </c>
    </row>
    <row r="628" spans="1:26" x14ac:dyDescent="0.3">
      <c r="A628" t="s">
        <v>82</v>
      </c>
      <c r="B628" t="s">
        <v>684</v>
      </c>
      <c r="C628">
        <v>5.1998651017089204</v>
      </c>
      <c r="D628">
        <v>32</v>
      </c>
      <c r="E628">
        <v>721</v>
      </c>
      <c r="F628">
        <v>5245.8067845178603</v>
      </c>
      <c r="G628" t="s">
        <v>26</v>
      </c>
      <c r="H628">
        <v>42</v>
      </c>
      <c r="I628">
        <v>26</v>
      </c>
      <c r="J628">
        <v>45</v>
      </c>
      <c r="K628">
        <v>9</v>
      </c>
      <c r="L628" t="s">
        <v>44</v>
      </c>
      <c r="M628">
        <v>7.7684378024183403</v>
      </c>
      <c r="N628" t="s">
        <v>28</v>
      </c>
      <c r="O628" t="s">
        <v>67</v>
      </c>
      <c r="P628">
        <f>VLOOKUP(O628, Coordinates!$A$2:$C$6, 2, FALSE)</f>
        <v>40.712800000000001</v>
      </c>
      <c r="Q628">
        <f>VLOOKUP(O628, Coordinates!$A$2:$C$6, 3, FALSE)</f>
        <v>-74.006</v>
      </c>
      <c r="R628">
        <v>7</v>
      </c>
      <c r="S628">
        <v>749</v>
      </c>
      <c r="T628">
        <v>11</v>
      </c>
      <c r="U628">
        <v>27.4414749705041</v>
      </c>
      <c r="V628" t="s">
        <v>39</v>
      </c>
      <c r="W628">
        <v>0.30702572023767299</v>
      </c>
      <c r="X628" t="s">
        <v>46</v>
      </c>
      <c r="Y628" t="s">
        <v>41</v>
      </c>
      <c r="Z628">
        <v>912.12230191915103</v>
      </c>
    </row>
    <row r="629" spans="1:26" x14ac:dyDescent="0.3">
      <c r="A629" t="s">
        <v>61</v>
      </c>
      <c r="B629" t="s">
        <v>685</v>
      </c>
      <c r="C629">
        <v>73.169351849501396</v>
      </c>
      <c r="D629">
        <v>26</v>
      </c>
      <c r="E629">
        <v>574</v>
      </c>
      <c r="F629">
        <v>5462.3752538368499</v>
      </c>
      <c r="G629" t="s">
        <v>26</v>
      </c>
      <c r="H629">
        <v>30</v>
      </c>
      <c r="I629">
        <v>15</v>
      </c>
      <c r="J629">
        <v>79</v>
      </c>
      <c r="K629">
        <v>7</v>
      </c>
      <c r="L629" t="s">
        <v>44</v>
      </c>
      <c r="M629">
        <v>6.3615552646728997</v>
      </c>
      <c r="N629" t="s">
        <v>28</v>
      </c>
      <c r="O629" t="s">
        <v>67</v>
      </c>
      <c r="P629">
        <f>VLOOKUP(O629, Coordinates!$A$2:$C$6, 2, FALSE)</f>
        <v>40.712800000000001</v>
      </c>
      <c r="Q629">
        <f>VLOOKUP(O629, Coordinates!$A$2:$C$6, 3, FALSE)</f>
        <v>-74.006</v>
      </c>
      <c r="R629">
        <v>6</v>
      </c>
      <c r="S629">
        <v>819</v>
      </c>
      <c r="T629">
        <v>21</v>
      </c>
      <c r="U629">
        <v>48.085545629942999</v>
      </c>
      <c r="V629" t="s">
        <v>30</v>
      </c>
      <c r="W629">
        <v>8.5191399999999997E-3</v>
      </c>
      <c r="X629" t="s">
        <v>46</v>
      </c>
      <c r="Y629" t="s">
        <v>32</v>
      </c>
      <c r="Z629">
        <v>763.31644452681905</v>
      </c>
    </row>
    <row r="630" spans="1:26" x14ac:dyDescent="0.3">
      <c r="A630" t="s">
        <v>49</v>
      </c>
      <c r="B630" t="s">
        <v>686</v>
      </c>
      <c r="C630">
        <v>83.810817902198707</v>
      </c>
      <c r="D630">
        <v>25</v>
      </c>
      <c r="E630">
        <v>717</v>
      </c>
      <c r="F630">
        <v>7590.1412268305803</v>
      </c>
      <c r="G630" t="s">
        <v>48</v>
      </c>
      <c r="H630">
        <v>27</v>
      </c>
      <c r="I630">
        <v>7</v>
      </c>
      <c r="J630">
        <v>89</v>
      </c>
      <c r="K630">
        <v>10</v>
      </c>
      <c r="L630" t="s">
        <v>27</v>
      </c>
      <c r="M630">
        <v>8.1720191803671902</v>
      </c>
      <c r="N630" t="s">
        <v>45</v>
      </c>
      <c r="O630" t="s">
        <v>38</v>
      </c>
      <c r="P630">
        <f>VLOOKUP(O630, Coordinates!$A$2:$C$6, 2, FALSE)</f>
        <v>25.761700000000001</v>
      </c>
      <c r="Q630">
        <f>VLOOKUP(O630, Coordinates!$A$2:$C$6, 3, FALSE)</f>
        <v>-80.191800000000001</v>
      </c>
      <c r="R630">
        <v>29</v>
      </c>
      <c r="S630">
        <v>805</v>
      </c>
      <c r="T630">
        <v>6</v>
      </c>
      <c r="U630">
        <v>54.138028579733003</v>
      </c>
      <c r="V630" t="s">
        <v>39</v>
      </c>
      <c r="W630">
        <v>4.8742348624581799</v>
      </c>
      <c r="X630" t="s">
        <v>31</v>
      </c>
      <c r="Y630" t="s">
        <v>41</v>
      </c>
      <c r="Z630">
        <v>748.12662934340199</v>
      </c>
    </row>
    <row r="631" spans="1:26" x14ac:dyDescent="0.3">
      <c r="A631" t="s">
        <v>33</v>
      </c>
      <c r="B631" t="s">
        <v>687</v>
      </c>
      <c r="C631">
        <v>8.8530800667447291</v>
      </c>
      <c r="D631">
        <v>75</v>
      </c>
      <c r="E631">
        <v>741</v>
      </c>
      <c r="G631" t="s">
        <v>35</v>
      </c>
      <c r="H631">
        <v>7</v>
      </c>
      <c r="I631">
        <v>7</v>
      </c>
      <c r="J631">
        <v>54</v>
      </c>
      <c r="K631">
        <v>4</v>
      </c>
      <c r="L631" t="s">
        <v>44</v>
      </c>
      <c r="M631">
        <v>13.4247552389544</v>
      </c>
      <c r="N631" t="s">
        <v>28</v>
      </c>
      <c r="O631" t="s">
        <v>58</v>
      </c>
      <c r="P631">
        <f>VLOOKUP(O631, Coordinates!$A$2:$C$6, 2, FALSE)</f>
        <v>34.052199999999999</v>
      </c>
      <c r="Q631">
        <f>VLOOKUP(O631, Coordinates!$A$2:$C$6, 3, FALSE)</f>
        <v>-118.2437</v>
      </c>
      <c r="R631">
        <v>6</v>
      </c>
      <c r="S631">
        <v>667</v>
      </c>
      <c r="T631">
        <v>26</v>
      </c>
      <c r="U631">
        <v>55.057176640000002</v>
      </c>
      <c r="V631" t="s">
        <v>30</v>
      </c>
      <c r="W631">
        <v>3.7108670211777102</v>
      </c>
      <c r="X631" t="s">
        <v>31</v>
      </c>
      <c r="Y631" t="s">
        <v>60</v>
      </c>
      <c r="Z631">
        <v>885.58521744297605</v>
      </c>
    </row>
    <row r="632" spans="1:26" x14ac:dyDescent="0.3">
      <c r="A632" t="s">
        <v>42</v>
      </c>
      <c r="B632" t="s">
        <v>688</v>
      </c>
      <c r="C632">
        <v>87.801784092381894</v>
      </c>
      <c r="D632">
        <v>23</v>
      </c>
      <c r="E632">
        <v>146</v>
      </c>
      <c r="F632">
        <v>7013.6259576211396</v>
      </c>
      <c r="G632" t="s">
        <v>26</v>
      </c>
      <c r="H632">
        <v>28</v>
      </c>
      <c r="I632">
        <v>18</v>
      </c>
      <c r="J632">
        <v>35</v>
      </c>
      <c r="K632">
        <v>7</v>
      </c>
      <c r="L632" t="s">
        <v>27</v>
      </c>
      <c r="M632">
        <v>14.847236757985399</v>
      </c>
      <c r="N632" t="s">
        <v>57</v>
      </c>
      <c r="O632" t="s">
        <v>65</v>
      </c>
      <c r="P632">
        <f>VLOOKUP(O632, Coordinates!$A$2:$C$6, 2, FALSE)</f>
        <v>41.878100000000003</v>
      </c>
      <c r="Q632">
        <f>VLOOKUP(O632, Coordinates!$A$2:$C$6, 3, FALSE)</f>
        <v>-87.629800000000003</v>
      </c>
      <c r="R632">
        <v>19</v>
      </c>
      <c r="S632">
        <v>438</v>
      </c>
      <c r="T632">
        <v>16</v>
      </c>
      <c r="U632">
        <v>56.482648129063399</v>
      </c>
      <c r="V632" t="s">
        <v>55</v>
      </c>
      <c r="W632">
        <v>3.4321812176970701</v>
      </c>
      <c r="X632" t="s">
        <v>46</v>
      </c>
      <c r="Y632" t="s">
        <v>41</v>
      </c>
      <c r="Z632">
        <v>123.514808108587</v>
      </c>
    </row>
    <row r="633" spans="1:26" x14ac:dyDescent="0.3">
      <c r="A633" t="s">
        <v>42</v>
      </c>
      <c r="B633" t="s">
        <v>689</v>
      </c>
      <c r="C633">
        <v>29.385951689454298</v>
      </c>
      <c r="D633">
        <v>98</v>
      </c>
      <c r="E633">
        <v>897</v>
      </c>
      <c r="F633">
        <v>9062.3089125871993</v>
      </c>
      <c r="G633" t="s">
        <v>54</v>
      </c>
      <c r="H633">
        <v>20</v>
      </c>
      <c r="I633">
        <v>29</v>
      </c>
      <c r="J633">
        <v>20</v>
      </c>
      <c r="K633">
        <v>8</v>
      </c>
      <c r="L633" t="s">
        <v>36</v>
      </c>
      <c r="M633">
        <v>1.2837992175586099</v>
      </c>
      <c r="N633" t="s">
        <v>45</v>
      </c>
      <c r="O633" t="s">
        <v>38</v>
      </c>
      <c r="P633">
        <f>VLOOKUP(O633, Coordinates!$A$2:$C$6, 2, FALSE)</f>
        <v>25.761700000000001</v>
      </c>
      <c r="Q633">
        <f>VLOOKUP(O633, Coordinates!$A$2:$C$6, 3, FALSE)</f>
        <v>-80.191800000000001</v>
      </c>
      <c r="R633">
        <v>25</v>
      </c>
      <c r="S633">
        <v>938</v>
      </c>
      <c r="T633">
        <v>19</v>
      </c>
      <c r="U633">
        <v>30.245278662078501</v>
      </c>
      <c r="V633" t="s">
        <v>55</v>
      </c>
      <c r="W633">
        <v>4.0841499366029899</v>
      </c>
      <c r="X633" t="s">
        <v>46</v>
      </c>
      <c r="Y633" t="s">
        <v>60</v>
      </c>
      <c r="Z633">
        <v>651.82800589299995</v>
      </c>
    </row>
    <row r="634" spans="1:26" x14ac:dyDescent="0.3">
      <c r="A634" t="s">
        <v>33</v>
      </c>
      <c r="B634" t="s">
        <v>690</v>
      </c>
      <c r="C634">
        <v>68.202749687915201</v>
      </c>
      <c r="D634">
        <v>57</v>
      </c>
      <c r="E634">
        <v>372</v>
      </c>
      <c r="F634">
        <v>1520.0937731787701</v>
      </c>
      <c r="G634" t="s">
        <v>35</v>
      </c>
      <c r="H634">
        <v>80</v>
      </c>
      <c r="I634">
        <v>23</v>
      </c>
      <c r="J634">
        <v>61</v>
      </c>
      <c r="K634">
        <v>6</v>
      </c>
      <c r="L634" t="s">
        <v>44</v>
      </c>
      <c r="M634">
        <v>6.5053520441527102</v>
      </c>
      <c r="N634" t="s">
        <v>37</v>
      </c>
      <c r="O634" t="s">
        <v>58</v>
      </c>
      <c r="P634">
        <f>VLOOKUP(O634, Coordinates!$A$2:$C$6, 2, FALSE)</f>
        <v>34.052199999999999</v>
      </c>
      <c r="Q634">
        <f>VLOOKUP(O634, Coordinates!$A$2:$C$6, 3, FALSE)</f>
        <v>-118.2437</v>
      </c>
      <c r="R634">
        <v>3</v>
      </c>
      <c r="S634">
        <v>421</v>
      </c>
      <c r="T634">
        <v>14</v>
      </c>
      <c r="U634">
        <v>56.432396976475097</v>
      </c>
      <c r="V634" t="s">
        <v>30</v>
      </c>
      <c r="W634">
        <v>1.1930689335548801</v>
      </c>
      <c r="X634" t="s">
        <v>52</v>
      </c>
      <c r="Y634" t="s">
        <v>32</v>
      </c>
      <c r="Z634">
        <v>836.05321800489503</v>
      </c>
    </row>
    <row r="635" spans="1:26" x14ac:dyDescent="0.3">
      <c r="A635" t="s">
        <v>24</v>
      </c>
      <c r="B635" t="s">
        <v>691</v>
      </c>
      <c r="C635">
        <v>33.109997344335497</v>
      </c>
      <c r="D635">
        <v>52</v>
      </c>
      <c r="E635">
        <v>88</v>
      </c>
      <c r="F635">
        <v>2622.3117896713702</v>
      </c>
      <c r="G635" t="s">
        <v>35</v>
      </c>
      <c r="H635">
        <v>87</v>
      </c>
      <c r="I635">
        <v>2</v>
      </c>
      <c r="J635">
        <v>34</v>
      </c>
      <c r="K635">
        <v>6</v>
      </c>
      <c r="L635" t="s">
        <v>36</v>
      </c>
      <c r="M635">
        <v>12.446547432841401</v>
      </c>
      <c r="N635" t="s">
        <v>28</v>
      </c>
      <c r="O635" t="s">
        <v>29</v>
      </c>
      <c r="P635">
        <f>VLOOKUP(O635, Coordinates!$A$2:$C$6, 2, FALSE)</f>
        <v>29.760400000000001</v>
      </c>
      <c r="Q635">
        <f>VLOOKUP(O635, Coordinates!$A$2:$C$6, 3, FALSE)</f>
        <v>-95.369799999999998</v>
      </c>
      <c r="R635">
        <v>9</v>
      </c>
      <c r="S635">
        <v>912</v>
      </c>
      <c r="T635">
        <v>3</v>
      </c>
      <c r="U635">
        <v>83.485436449999995</v>
      </c>
      <c r="V635" t="s">
        <v>55</v>
      </c>
      <c r="W635">
        <v>3.3993153736528599</v>
      </c>
      <c r="X635" t="s">
        <v>52</v>
      </c>
      <c r="Y635" t="s">
        <v>32</v>
      </c>
      <c r="Z635">
        <v>130.936370533461</v>
      </c>
    </row>
    <row r="636" spans="1:26" x14ac:dyDescent="0.3">
      <c r="A636" t="s">
        <v>72</v>
      </c>
      <c r="B636" t="s">
        <v>692</v>
      </c>
      <c r="C636">
        <v>31.463281902279501</v>
      </c>
      <c r="D636">
        <v>87</v>
      </c>
      <c r="E636">
        <v>147</v>
      </c>
      <c r="F636">
        <v>4162.5921956715802</v>
      </c>
      <c r="G636" t="s">
        <v>26</v>
      </c>
      <c r="H636">
        <v>57</v>
      </c>
      <c r="I636">
        <v>20</v>
      </c>
      <c r="J636">
        <v>40</v>
      </c>
      <c r="K636">
        <v>3</v>
      </c>
      <c r="L636" t="s">
        <v>27</v>
      </c>
      <c r="M636">
        <v>5.5724403236676698</v>
      </c>
      <c r="N636" t="s">
        <v>57</v>
      </c>
      <c r="O636" t="s">
        <v>67</v>
      </c>
      <c r="P636">
        <f>VLOOKUP(O636, Coordinates!$A$2:$C$6, 2, FALSE)</f>
        <v>40.712800000000001</v>
      </c>
      <c r="Q636">
        <f>VLOOKUP(O636, Coordinates!$A$2:$C$6, 3, FALSE)</f>
        <v>-74.006</v>
      </c>
      <c r="R636">
        <v>21</v>
      </c>
      <c r="S636">
        <v>186</v>
      </c>
      <c r="T636">
        <v>10</v>
      </c>
      <c r="U636">
        <v>89.137550174816795</v>
      </c>
      <c r="V636" t="s">
        <v>30</v>
      </c>
      <c r="W636">
        <v>3.0415053430854901</v>
      </c>
      <c r="X636" t="s">
        <v>46</v>
      </c>
      <c r="Y636" t="s">
        <v>32</v>
      </c>
      <c r="Z636">
        <v>780.53114270000003</v>
      </c>
    </row>
    <row r="637" spans="1:26" x14ac:dyDescent="0.3">
      <c r="A637" t="s">
        <v>61</v>
      </c>
      <c r="B637" t="s">
        <v>693</v>
      </c>
      <c r="C637">
        <v>13.7670552469594</v>
      </c>
      <c r="D637">
        <v>93</v>
      </c>
      <c r="E637">
        <v>356</v>
      </c>
      <c r="G637" t="s">
        <v>26</v>
      </c>
      <c r="H637">
        <v>59</v>
      </c>
      <c r="I637">
        <v>15</v>
      </c>
      <c r="J637">
        <v>94</v>
      </c>
      <c r="K637">
        <v>5</v>
      </c>
      <c r="L637" t="s">
        <v>36</v>
      </c>
      <c r="M637">
        <v>10.086506462859299</v>
      </c>
      <c r="N637" t="s">
        <v>57</v>
      </c>
      <c r="O637" t="s">
        <v>58</v>
      </c>
      <c r="P637">
        <f>VLOOKUP(O637, Coordinates!$A$2:$C$6, 2, FALSE)</f>
        <v>34.052199999999999</v>
      </c>
      <c r="Q637">
        <f>VLOOKUP(O637, Coordinates!$A$2:$C$6, 3, FALSE)</f>
        <v>-118.2437</v>
      </c>
      <c r="R637">
        <v>28</v>
      </c>
      <c r="S637">
        <v>194</v>
      </c>
      <c r="T637">
        <v>21</v>
      </c>
      <c r="U637">
        <v>98.937240355333898</v>
      </c>
      <c r="V637" t="s">
        <v>30</v>
      </c>
      <c r="W637">
        <v>3.6317109742416802</v>
      </c>
      <c r="X637" t="s">
        <v>52</v>
      </c>
      <c r="Y637" t="s">
        <v>32</v>
      </c>
      <c r="Z637">
        <v>990.72752512493503</v>
      </c>
    </row>
    <row r="638" spans="1:26" x14ac:dyDescent="0.3">
      <c r="A638" t="s">
        <v>42</v>
      </c>
      <c r="B638" t="s">
        <v>694</v>
      </c>
      <c r="C638">
        <v>61.650544291734903</v>
      </c>
      <c r="D638">
        <v>31</v>
      </c>
      <c r="E638">
        <v>549</v>
      </c>
      <c r="F638">
        <v>4631.9375873231902</v>
      </c>
      <c r="H638">
        <v>49</v>
      </c>
      <c r="I638">
        <v>1</v>
      </c>
      <c r="J638">
        <v>54</v>
      </c>
      <c r="K638">
        <v>10</v>
      </c>
      <c r="L638" t="s">
        <v>44</v>
      </c>
      <c r="M638">
        <v>14.891628852730401</v>
      </c>
      <c r="N638" t="s">
        <v>37</v>
      </c>
      <c r="O638" t="s">
        <v>29</v>
      </c>
      <c r="P638">
        <f>VLOOKUP(O638, Coordinates!$A$2:$C$6, 2, FALSE)</f>
        <v>29.760400000000001</v>
      </c>
      <c r="Q638">
        <f>VLOOKUP(O638, Coordinates!$A$2:$C$6, 3, FALSE)</f>
        <v>-95.369799999999998</v>
      </c>
      <c r="R638">
        <v>26</v>
      </c>
      <c r="S638">
        <v>295</v>
      </c>
      <c r="T638">
        <v>23</v>
      </c>
      <c r="U638">
        <v>87.900705350789494</v>
      </c>
      <c r="V638" t="s">
        <v>30</v>
      </c>
      <c r="W638">
        <v>1.82896259250131</v>
      </c>
      <c r="X638" t="s">
        <v>40</v>
      </c>
      <c r="Y638" t="s">
        <v>60</v>
      </c>
      <c r="Z638">
        <v>634.06931467734796</v>
      </c>
    </row>
    <row r="639" spans="1:26" x14ac:dyDescent="0.3">
      <c r="A639" t="s">
        <v>49</v>
      </c>
      <c r="B639" t="s">
        <v>695</v>
      </c>
      <c r="C639">
        <v>57.210447388603598</v>
      </c>
      <c r="D639">
        <v>64</v>
      </c>
      <c r="E639">
        <v>917</v>
      </c>
      <c r="F639">
        <v>2232.69971089812</v>
      </c>
      <c r="G639" t="s">
        <v>35</v>
      </c>
      <c r="H639">
        <v>99</v>
      </c>
      <c r="I639">
        <v>21</v>
      </c>
      <c r="J639">
        <v>76</v>
      </c>
      <c r="K639">
        <v>2</v>
      </c>
      <c r="L639" t="s">
        <v>36</v>
      </c>
      <c r="M639">
        <v>10.054798043423199</v>
      </c>
      <c r="N639" t="s">
        <v>57</v>
      </c>
      <c r="O639" t="s">
        <v>67</v>
      </c>
      <c r="P639">
        <f>VLOOKUP(O639, Coordinates!$A$2:$C$6, 2, FALSE)</f>
        <v>40.712800000000001</v>
      </c>
      <c r="Q639">
        <f>VLOOKUP(O639, Coordinates!$A$2:$C$6, 3, FALSE)</f>
        <v>-74.006</v>
      </c>
      <c r="R639">
        <v>15</v>
      </c>
      <c r="S639">
        <v>291</v>
      </c>
      <c r="T639">
        <v>4</v>
      </c>
      <c r="U639">
        <v>89.881871592023401</v>
      </c>
      <c r="V639" t="s">
        <v>55</v>
      </c>
      <c r="W639">
        <v>4.9346188025659501</v>
      </c>
      <c r="X639" t="s">
        <v>31</v>
      </c>
      <c r="Y639" t="s">
        <v>41</v>
      </c>
      <c r="Z639">
        <v>482.223150899693</v>
      </c>
    </row>
    <row r="640" spans="1:26" x14ac:dyDescent="0.3">
      <c r="A640" t="s">
        <v>61</v>
      </c>
      <c r="B640" t="s">
        <v>696</v>
      </c>
      <c r="C640">
        <v>90.530520469999999</v>
      </c>
      <c r="D640">
        <v>71</v>
      </c>
      <c r="E640">
        <v>156</v>
      </c>
      <c r="F640">
        <v>5560.9303664600902</v>
      </c>
      <c r="G640" t="s">
        <v>54</v>
      </c>
      <c r="H640">
        <v>30</v>
      </c>
      <c r="I640">
        <v>17</v>
      </c>
      <c r="J640">
        <v>85</v>
      </c>
      <c r="K640">
        <v>5</v>
      </c>
      <c r="L640" t="s">
        <v>36</v>
      </c>
      <c r="M640">
        <v>2.5566792867257599</v>
      </c>
      <c r="N640" t="s">
        <v>45</v>
      </c>
      <c r="O640" t="s">
        <v>38</v>
      </c>
      <c r="P640">
        <f>VLOOKUP(O640, Coordinates!$A$2:$C$6, 2, FALSE)</f>
        <v>25.761700000000001</v>
      </c>
      <c r="Q640">
        <f>VLOOKUP(O640, Coordinates!$A$2:$C$6, 3, FALSE)</f>
        <v>-80.191800000000001</v>
      </c>
      <c r="R640">
        <v>28</v>
      </c>
      <c r="S640">
        <v>755</v>
      </c>
      <c r="T640">
        <v>22</v>
      </c>
      <c r="U640">
        <v>71.701394534460505</v>
      </c>
      <c r="V640" t="s">
        <v>39</v>
      </c>
      <c r="W640">
        <v>4.47781511112861</v>
      </c>
      <c r="X640" t="s">
        <v>52</v>
      </c>
      <c r="Y640" t="s">
        <v>32</v>
      </c>
      <c r="Z640">
        <v>508.247528566884</v>
      </c>
    </row>
    <row r="641" spans="1:26" x14ac:dyDescent="0.3">
      <c r="A641" t="s">
        <v>49</v>
      </c>
      <c r="B641" t="s">
        <v>697</v>
      </c>
      <c r="C641">
        <v>43.402774316199803</v>
      </c>
      <c r="D641">
        <v>33</v>
      </c>
      <c r="E641">
        <v>162</v>
      </c>
      <c r="F641">
        <v>2138.9078007673902</v>
      </c>
      <c r="G641" t="s">
        <v>26</v>
      </c>
      <c r="H641">
        <v>46</v>
      </c>
      <c r="I641">
        <v>20</v>
      </c>
      <c r="J641">
        <v>49</v>
      </c>
      <c r="K641">
        <v>5</v>
      </c>
      <c r="L641" t="s">
        <v>36</v>
      </c>
      <c r="M641">
        <v>12.801047397355701</v>
      </c>
      <c r="N641" t="s">
        <v>45</v>
      </c>
      <c r="O641" t="s">
        <v>38</v>
      </c>
      <c r="P641">
        <f>VLOOKUP(O641, Coordinates!$A$2:$C$6, 2, FALSE)</f>
        <v>25.761700000000001</v>
      </c>
      <c r="Q641">
        <f>VLOOKUP(O641, Coordinates!$A$2:$C$6, 3, FALSE)</f>
        <v>-80.191800000000001</v>
      </c>
      <c r="R641">
        <v>26</v>
      </c>
      <c r="S641">
        <v>621</v>
      </c>
      <c r="T641">
        <v>21</v>
      </c>
      <c r="U641">
        <v>24.390732762258001</v>
      </c>
      <c r="V641" t="s">
        <v>39</v>
      </c>
      <c r="W641">
        <v>4.8071167813730096</v>
      </c>
      <c r="X641" t="s">
        <v>40</v>
      </c>
      <c r="Y641" t="s">
        <v>32</v>
      </c>
      <c r="Z641">
        <v>711.53269887990098</v>
      </c>
    </row>
    <row r="642" spans="1:26" x14ac:dyDescent="0.3">
      <c r="A642" t="s">
        <v>24</v>
      </c>
      <c r="B642" t="s">
        <v>698</v>
      </c>
      <c r="C642">
        <v>30.385859009183701</v>
      </c>
      <c r="D642">
        <v>85</v>
      </c>
      <c r="E642">
        <v>450</v>
      </c>
      <c r="F642">
        <v>12306.2728987194</v>
      </c>
      <c r="G642" t="s">
        <v>35</v>
      </c>
      <c r="H642">
        <v>33</v>
      </c>
      <c r="I642">
        <v>29</v>
      </c>
      <c r="J642">
        <v>55</v>
      </c>
      <c r="K642">
        <v>7</v>
      </c>
      <c r="L642" t="s">
        <v>27</v>
      </c>
      <c r="M642">
        <v>14.5332041220954</v>
      </c>
      <c r="N642" t="s">
        <v>51</v>
      </c>
      <c r="O642" t="s">
        <v>67</v>
      </c>
      <c r="P642">
        <f>VLOOKUP(O642, Coordinates!$A$2:$C$6, 2, FALSE)</f>
        <v>40.712800000000001</v>
      </c>
      <c r="Q642">
        <f>VLOOKUP(O642, Coordinates!$A$2:$C$6, 3, FALSE)</f>
        <v>-74.006</v>
      </c>
      <c r="R642">
        <v>25</v>
      </c>
      <c r="S642">
        <v>852</v>
      </c>
      <c r="T642">
        <v>2</v>
      </c>
      <c r="U642">
        <v>84.168978425279505</v>
      </c>
      <c r="V642" t="s">
        <v>39</v>
      </c>
      <c r="W642">
        <v>4.5843792379030699</v>
      </c>
      <c r="X642" t="s">
        <v>31</v>
      </c>
      <c r="Y642" t="s">
        <v>32</v>
      </c>
      <c r="Z642">
        <v>612.96018532858</v>
      </c>
    </row>
    <row r="643" spans="1:26" x14ac:dyDescent="0.3">
      <c r="A643" t="s">
        <v>82</v>
      </c>
      <c r="B643" t="s">
        <v>699</v>
      </c>
      <c r="C643">
        <v>76.235822619999993</v>
      </c>
      <c r="D643">
        <v>2</v>
      </c>
      <c r="E643">
        <v>657</v>
      </c>
      <c r="F643">
        <v>7872.5376910000005</v>
      </c>
      <c r="G643" t="s">
        <v>26</v>
      </c>
      <c r="H643">
        <v>1</v>
      </c>
      <c r="I643">
        <v>25</v>
      </c>
      <c r="J643">
        <v>63</v>
      </c>
      <c r="K643">
        <v>4</v>
      </c>
      <c r="L643" t="s">
        <v>44</v>
      </c>
      <c r="M643">
        <v>10.9751178981841</v>
      </c>
      <c r="N643" t="s">
        <v>37</v>
      </c>
      <c r="O643" t="s">
        <v>67</v>
      </c>
      <c r="P643">
        <f>VLOOKUP(O643, Coordinates!$A$2:$C$6, 2, FALSE)</f>
        <v>40.712800000000001</v>
      </c>
      <c r="Q643">
        <f>VLOOKUP(O643, Coordinates!$A$2:$C$6, 3, FALSE)</f>
        <v>-74.006</v>
      </c>
      <c r="R643">
        <v>23</v>
      </c>
      <c r="S643">
        <v>760</v>
      </c>
      <c r="T643">
        <v>13</v>
      </c>
      <c r="U643">
        <v>83.929566846464695</v>
      </c>
      <c r="V643" t="s">
        <v>30</v>
      </c>
      <c r="W643">
        <v>3.23853217459521</v>
      </c>
      <c r="X643" t="s">
        <v>52</v>
      </c>
      <c r="Y643" t="s">
        <v>60</v>
      </c>
      <c r="Z643">
        <v>808.81321287287506</v>
      </c>
    </row>
    <row r="644" spans="1:26" x14ac:dyDescent="0.3">
      <c r="A644" t="s">
        <v>61</v>
      </c>
      <c r="B644" t="s">
        <v>700</v>
      </c>
      <c r="C644">
        <v>44.204155977922603</v>
      </c>
      <c r="D644">
        <v>18</v>
      </c>
      <c r="E644">
        <v>962</v>
      </c>
      <c r="F644">
        <v>3324.3792209844701</v>
      </c>
      <c r="G644" t="s">
        <v>48</v>
      </c>
      <c r="H644">
        <v>66</v>
      </c>
      <c r="I644">
        <v>13</v>
      </c>
      <c r="J644">
        <v>50</v>
      </c>
      <c r="K644">
        <v>6</v>
      </c>
      <c r="L644" t="s">
        <v>27</v>
      </c>
      <c r="M644">
        <v>6.8669533978029804</v>
      </c>
      <c r="N644" t="s">
        <v>57</v>
      </c>
      <c r="O644" t="s">
        <v>38</v>
      </c>
      <c r="P644">
        <f>VLOOKUP(O644, Coordinates!$A$2:$C$6, 2, FALSE)</f>
        <v>25.761700000000001</v>
      </c>
      <c r="Q644">
        <f>VLOOKUP(O644, Coordinates!$A$2:$C$6, 3, FALSE)</f>
        <v>-80.191800000000001</v>
      </c>
      <c r="R644">
        <v>26</v>
      </c>
      <c r="S644">
        <v>751</v>
      </c>
      <c r="T644">
        <v>11</v>
      </c>
      <c r="U644">
        <v>13.4862839819796</v>
      </c>
      <c r="V644" t="s">
        <v>30</v>
      </c>
      <c r="W644">
        <v>1.63167034091052</v>
      </c>
      <c r="X644" t="s">
        <v>31</v>
      </c>
      <c r="Y644" t="s">
        <v>60</v>
      </c>
      <c r="Z644">
        <v>479.47380584771201</v>
      </c>
    </row>
    <row r="645" spans="1:26" x14ac:dyDescent="0.3">
      <c r="A645" t="s">
        <v>42</v>
      </c>
      <c r="B645" t="s">
        <v>701</v>
      </c>
      <c r="C645">
        <v>66.379136625480896</v>
      </c>
      <c r="D645">
        <v>47</v>
      </c>
      <c r="E645">
        <v>767</v>
      </c>
      <c r="F645">
        <v>5327.0755136175403</v>
      </c>
      <c r="G645" t="s">
        <v>35</v>
      </c>
      <c r="H645">
        <v>93</v>
      </c>
      <c r="I645">
        <v>12</v>
      </c>
      <c r="J645">
        <v>98</v>
      </c>
      <c r="K645">
        <v>9</v>
      </c>
      <c r="L645" t="s">
        <v>36</v>
      </c>
      <c r="M645">
        <v>14.2776024548359</v>
      </c>
      <c r="N645" t="s">
        <v>28</v>
      </c>
      <c r="O645" t="s">
        <v>38</v>
      </c>
      <c r="P645">
        <f>VLOOKUP(O645, Coordinates!$A$2:$C$6, 2, FALSE)</f>
        <v>25.761700000000001</v>
      </c>
      <c r="Q645">
        <f>VLOOKUP(O645, Coordinates!$A$2:$C$6, 3, FALSE)</f>
        <v>-80.191800000000001</v>
      </c>
      <c r="R645">
        <v>15</v>
      </c>
      <c r="S645">
        <v>112</v>
      </c>
      <c r="T645">
        <v>12</v>
      </c>
      <c r="U645">
        <v>54.625879295885703</v>
      </c>
      <c r="V645" t="s">
        <v>55</v>
      </c>
      <c r="W645">
        <v>3.8097637885031301</v>
      </c>
      <c r="X645" t="s">
        <v>40</v>
      </c>
      <c r="Y645" t="s">
        <v>60</v>
      </c>
      <c r="Z645">
        <v>475.59218611131899</v>
      </c>
    </row>
    <row r="646" spans="1:26" x14ac:dyDescent="0.3">
      <c r="A646" t="s">
        <v>61</v>
      </c>
      <c r="B646" t="s">
        <v>702</v>
      </c>
      <c r="C646">
        <v>66.412758561837606</v>
      </c>
      <c r="D646">
        <v>33</v>
      </c>
      <c r="E646">
        <v>307</v>
      </c>
      <c r="F646">
        <v>9928.1437249999999</v>
      </c>
      <c r="G646" t="s">
        <v>35</v>
      </c>
      <c r="H646">
        <v>71</v>
      </c>
      <c r="I646">
        <v>24</v>
      </c>
      <c r="J646">
        <v>90</v>
      </c>
      <c r="K646">
        <v>4</v>
      </c>
      <c r="L646" t="s">
        <v>36</v>
      </c>
      <c r="M646">
        <v>14.5600082106887</v>
      </c>
      <c r="N646" t="s">
        <v>45</v>
      </c>
      <c r="O646" t="s">
        <v>38</v>
      </c>
      <c r="P646">
        <f>VLOOKUP(O646, Coordinates!$A$2:$C$6, 2, FALSE)</f>
        <v>25.761700000000001</v>
      </c>
      <c r="Q646">
        <f>VLOOKUP(O646, Coordinates!$A$2:$C$6, 3, FALSE)</f>
        <v>-80.191800000000001</v>
      </c>
      <c r="R646">
        <v>28</v>
      </c>
      <c r="S646">
        <v>353</v>
      </c>
      <c r="T646">
        <v>1</v>
      </c>
      <c r="U646">
        <v>45.651059199542601</v>
      </c>
      <c r="V646" t="s">
        <v>39</v>
      </c>
      <c r="W646">
        <v>4.0770633095173601</v>
      </c>
      <c r="X646" t="s">
        <v>40</v>
      </c>
      <c r="Y646" t="s">
        <v>41</v>
      </c>
      <c r="Z646">
        <v>771.36883887167903</v>
      </c>
    </row>
    <row r="647" spans="1:26" x14ac:dyDescent="0.3">
      <c r="A647" t="s">
        <v>61</v>
      </c>
      <c r="B647" t="s">
        <v>703</v>
      </c>
      <c r="C647">
        <v>89.363711109999997</v>
      </c>
      <c r="D647">
        <v>98</v>
      </c>
      <c r="E647">
        <v>628</v>
      </c>
      <c r="F647">
        <v>7179.8538101863296</v>
      </c>
      <c r="G647" t="s">
        <v>48</v>
      </c>
      <c r="H647">
        <v>51</v>
      </c>
      <c r="I647">
        <v>22</v>
      </c>
      <c r="J647">
        <v>47</v>
      </c>
      <c r="K647">
        <v>6</v>
      </c>
      <c r="L647" t="s">
        <v>27</v>
      </c>
      <c r="M647">
        <v>14.091634408988201</v>
      </c>
      <c r="N647" t="s">
        <v>37</v>
      </c>
      <c r="O647" t="s">
        <v>29</v>
      </c>
      <c r="P647">
        <f>VLOOKUP(O647, Coordinates!$A$2:$C$6, 2, FALSE)</f>
        <v>29.760400000000001</v>
      </c>
      <c r="Q647">
        <f>VLOOKUP(O647, Coordinates!$A$2:$C$6, 3, FALSE)</f>
        <v>-95.369799999999998</v>
      </c>
      <c r="R647">
        <v>8</v>
      </c>
      <c r="S647">
        <v>180</v>
      </c>
      <c r="T647">
        <v>22</v>
      </c>
      <c r="U647">
        <v>29.091225669337302</v>
      </c>
      <c r="V647" t="s">
        <v>55</v>
      </c>
      <c r="W647">
        <v>0.10560754403866</v>
      </c>
      <c r="X647" t="s">
        <v>31</v>
      </c>
      <c r="Y647" t="s">
        <v>41</v>
      </c>
      <c r="Z647">
        <v>680.96680411659599</v>
      </c>
    </row>
    <row r="648" spans="1:26" x14ac:dyDescent="0.3">
      <c r="A648" t="s">
        <v>61</v>
      </c>
      <c r="B648" t="s">
        <v>704</v>
      </c>
      <c r="C648">
        <v>61.875778220314203</v>
      </c>
      <c r="D648">
        <v>84</v>
      </c>
      <c r="E648">
        <v>660</v>
      </c>
      <c r="F648">
        <v>8572.21094174678</v>
      </c>
      <c r="G648" t="s">
        <v>54</v>
      </c>
      <c r="H648">
        <v>6</v>
      </c>
      <c r="I648">
        <v>15</v>
      </c>
      <c r="J648">
        <v>45</v>
      </c>
      <c r="K648">
        <v>9</v>
      </c>
      <c r="L648" t="s">
        <v>27</v>
      </c>
      <c r="M648">
        <v>6.76546603234112</v>
      </c>
      <c r="N648" t="s">
        <v>37</v>
      </c>
      <c r="O648" t="s">
        <v>65</v>
      </c>
      <c r="P648">
        <f>VLOOKUP(O648, Coordinates!$A$2:$C$6, 2, FALSE)</f>
        <v>41.878100000000003</v>
      </c>
      <c r="Q648">
        <f>VLOOKUP(O648, Coordinates!$A$2:$C$6, 3, FALSE)</f>
        <v>-87.629800000000003</v>
      </c>
      <c r="R648">
        <v>23</v>
      </c>
      <c r="S648">
        <v>821</v>
      </c>
      <c r="T648">
        <v>21</v>
      </c>
      <c r="U648">
        <v>44.042500338878497</v>
      </c>
      <c r="V648" t="s">
        <v>39</v>
      </c>
      <c r="W648">
        <v>3.2555183470997799</v>
      </c>
      <c r="X648" t="s">
        <v>46</v>
      </c>
      <c r="Y648" t="s">
        <v>32</v>
      </c>
      <c r="Z648">
        <v>800.28822969999999</v>
      </c>
    </row>
    <row r="649" spans="1:26" x14ac:dyDescent="0.3">
      <c r="A649" t="s">
        <v>72</v>
      </c>
      <c r="B649" t="s">
        <v>705</v>
      </c>
      <c r="C649">
        <v>24.3417686556134</v>
      </c>
      <c r="D649">
        <v>35</v>
      </c>
      <c r="E649">
        <v>454</v>
      </c>
      <c r="F649">
        <v>9946.0466726836294</v>
      </c>
      <c r="G649" t="s">
        <v>26</v>
      </c>
      <c r="H649">
        <v>75</v>
      </c>
      <c r="I649">
        <v>24</v>
      </c>
      <c r="J649">
        <v>92</v>
      </c>
      <c r="K649">
        <v>10</v>
      </c>
      <c r="L649" t="s">
        <v>36</v>
      </c>
      <c r="M649">
        <v>12.0559074355638</v>
      </c>
      <c r="N649" t="s">
        <v>45</v>
      </c>
      <c r="O649" t="s">
        <v>38</v>
      </c>
      <c r="P649">
        <f>VLOOKUP(O649, Coordinates!$A$2:$C$6, 2, FALSE)</f>
        <v>25.761700000000001</v>
      </c>
      <c r="Q649">
        <f>VLOOKUP(O649, Coordinates!$A$2:$C$6, 3, FALSE)</f>
        <v>-80.191800000000001</v>
      </c>
      <c r="R649">
        <v>30</v>
      </c>
      <c r="S649">
        <v>472</v>
      </c>
      <c r="T649">
        <v>9</v>
      </c>
      <c r="U649">
        <v>75.980982845198795</v>
      </c>
      <c r="V649" t="s">
        <v>39</v>
      </c>
      <c r="W649">
        <v>3.56573805881174</v>
      </c>
      <c r="X649" t="s">
        <v>52</v>
      </c>
      <c r="Y649" t="s">
        <v>60</v>
      </c>
      <c r="Z649">
        <v>898.44735197060197</v>
      </c>
    </row>
    <row r="650" spans="1:26" x14ac:dyDescent="0.3">
      <c r="A650" t="s">
        <v>61</v>
      </c>
      <c r="B650" t="s">
        <v>706</v>
      </c>
      <c r="C650">
        <v>18.192776007669099</v>
      </c>
      <c r="D650">
        <v>51</v>
      </c>
      <c r="E650">
        <v>725</v>
      </c>
      <c r="F650">
        <v>7910.74830813269</v>
      </c>
      <c r="G650" t="s">
        <v>48</v>
      </c>
      <c r="H650">
        <v>18</v>
      </c>
      <c r="I650">
        <v>5</v>
      </c>
      <c r="J650">
        <v>53</v>
      </c>
      <c r="K650">
        <v>10</v>
      </c>
      <c r="L650" t="s">
        <v>44</v>
      </c>
      <c r="M650">
        <v>10.1585110264768</v>
      </c>
      <c r="N650" t="s">
        <v>51</v>
      </c>
      <c r="O650" t="s">
        <v>67</v>
      </c>
      <c r="P650">
        <f>VLOOKUP(O650, Coordinates!$A$2:$C$6, 2, FALSE)</f>
        <v>40.712800000000001</v>
      </c>
      <c r="Q650">
        <f>VLOOKUP(O650, Coordinates!$A$2:$C$6, 3, FALSE)</f>
        <v>-74.006</v>
      </c>
      <c r="R650">
        <v>22</v>
      </c>
      <c r="S650">
        <v>493</v>
      </c>
      <c r="T650">
        <v>12</v>
      </c>
      <c r="U650">
        <v>75.091899372559894</v>
      </c>
      <c r="V650" t="s">
        <v>55</v>
      </c>
      <c r="W650">
        <v>0.57667558299999999</v>
      </c>
      <c r="X650" t="s">
        <v>46</v>
      </c>
      <c r="Y650" t="s">
        <v>41</v>
      </c>
      <c r="Z650">
        <v>851.66635464260298</v>
      </c>
    </row>
    <row r="651" spans="1:26" x14ac:dyDescent="0.3">
      <c r="A651" t="s">
        <v>49</v>
      </c>
      <c r="B651" t="s">
        <v>707</v>
      </c>
      <c r="C651">
        <v>15.995072634476999</v>
      </c>
      <c r="D651">
        <v>18</v>
      </c>
      <c r="E651">
        <v>228</v>
      </c>
      <c r="G651" t="s">
        <v>35</v>
      </c>
      <c r="H651">
        <v>89</v>
      </c>
      <c r="I651">
        <v>7</v>
      </c>
      <c r="J651">
        <v>66</v>
      </c>
      <c r="K651">
        <v>8</v>
      </c>
      <c r="L651" t="s">
        <v>27</v>
      </c>
      <c r="M651">
        <v>3.5158933223982101</v>
      </c>
      <c r="N651" t="s">
        <v>37</v>
      </c>
      <c r="O651" t="s">
        <v>38</v>
      </c>
      <c r="P651">
        <f>VLOOKUP(O651, Coordinates!$A$2:$C$6, 2, FALSE)</f>
        <v>25.761700000000001</v>
      </c>
      <c r="Q651">
        <f>VLOOKUP(O651, Coordinates!$A$2:$C$6, 3, FALSE)</f>
        <v>-80.191800000000001</v>
      </c>
      <c r="R651">
        <v>10</v>
      </c>
      <c r="S651">
        <v>989</v>
      </c>
      <c r="T651">
        <v>7</v>
      </c>
      <c r="U651">
        <v>36.958337201344698</v>
      </c>
      <c r="V651" t="s">
        <v>30</v>
      </c>
      <c r="W651">
        <v>1.12636591249702</v>
      </c>
      <c r="X651" t="s">
        <v>40</v>
      </c>
      <c r="Y651" t="s">
        <v>41</v>
      </c>
      <c r="Z651">
        <v>383.532284137494</v>
      </c>
    </row>
    <row r="652" spans="1:26" x14ac:dyDescent="0.3">
      <c r="A652" t="s">
        <v>82</v>
      </c>
      <c r="B652" t="s">
        <v>708</v>
      </c>
      <c r="C652">
        <v>19.660548701892498</v>
      </c>
      <c r="D652">
        <v>88</v>
      </c>
      <c r="E652">
        <v>47</v>
      </c>
      <c r="F652">
        <v>2106.2006428802001</v>
      </c>
      <c r="H652">
        <v>91</v>
      </c>
      <c r="I652">
        <v>8</v>
      </c>
      <c r="J652">
        <v>75</v>
      </c>
      <c r="K652">
        <v>1</v>
      </c>
      <c r="L652" t="s">
        <v>36</v>
      </c>
      <c r="M652">
        <v>8.4972086234801498</v>
      </c>
      <c r="N652" t="s">
        <v>57</v>
      </c>
      <c r="O652" t="s">
        <v>29</v>
      </c>
      <c r="P652">
        <f>VLOOKUP(O652, Coordinates!$A$2:$C$6, 2, FALSE)</f>
        <v>29.760400000000001</v>
      </c>
      <c r="Q652">
        <f>VLOOKUP(O652, Coordinates!$A$2:$C$6, 3, FALSE)</f>
        <v>-95.369799999999998</v>
      </c>
      <c r="R652">
        <v>16</v>
      </c>
      <c r="S652">
        <v>831</v>
      </c>
      <c r="T652">
        <v>17</v>
      </c>
      <c r="U652">
        <v>64.481954633274597</v>
      </c>
      <c r="V652" t="s">
        <v>39</v>
      </c>
      <c r="W652">
        <v>2.3807894056462402</v>
      </c>
      <c r="X652" t="s">
        <v>31</v>
      </c>
      <c r="Y652" t="s">
        <v>60</v>
      </c>
      <c r="Z652">
        <v>574.25566749999996</v>
      </c>
    </row>
    <row r="653" spans="1:26" x14ac:dyDescent="0.3">
      <c r="A653" t="s">
        <v>24</v>
      </c>
      <c r="B653" t="s">
        <v>709</v>
      </c>
      <c r="C653">
        <v>30.583173457664099</v>
      </c>
      <c r="D653">
        <v>72</v>
      </c>
      <c r="E653">
        <v>268</v>
      </c>
      <c r="F653">
        <v>7376.6614379885996</v>
      </c>
      <c r="G653" t="s">
        <v>35</v>
      </c>
      <c r="H653">
        <v>14</v>
      </c>
      <c r="I653">
        <v>23</v>
      </c>
      <c r="J653">
        <v>90</v>
      </c>
      <c r="K653">
        <v>4</v>
      </c>
      <c r="L653" t="s">
        <v>36</v>
      </c>
      <c r="M653">
        <v>11.467674127800899</v>
      </c>
      <c r="N653" t="s">
        <v>28</v>
      </c>
      <c r="O653" t="s">
        <v>29</v>
      </c>
      <c r="P653">
        <f>VLOOKUP(O653, Coordinates!$A$2:$C$6, 2, FALSE)</f>
        <v>29.760400000000001</v>
      </c>
      <c r="Q653">
        <f>VLOOKUP(O653, Coordinates!$A$2:$C$6, 3, FALSE)</f>
        <v>-95.369799999999998</v>
      </c>
      <c r="R653">
        <v>18</v>
      </c>
      <c r="S653">
        <v>517</v>
      </c>
      <c r="T653">
        <v>29</v>
      </c>
      <c r="U653">
        <v>90.114907572667903</v>
      </c>
      <c r="V653" t="s">
        <v>55</v>
      </c>
      <c r="W653">
        <v>0.249282156416201</v>
      </c>
      <c r="X653" t="s">
        <v>52</v>
      </c>
      <c r="Y653" t="s">
        <v>41</v>
      </c>
      <c r="Z653">
        <v>937.40751172718797</v>
      </c>
    </row>
    <row r="654" spans="1:26" x14ac:dyDescent="0.3">
      <c r="A654" t="s">
        <v>33</v>
      </c>
      <c r="B654" t="s">
        <v>710</v>
      </c>
      <c r="C654">
        <v>65.598323803045204</v>
      </c>
      <c r="D654">
        <v>30</v>
      </c>
      <c r="E654">
        <v>760</v>
      </c>
      <c r="F654">
        <v>4617.5673215369698</v>
      </c>
      <c r="G654" t="s">
        <v>48</v>
      </c>
      <c r="H654">
        <v>77</v>
      </c>
      <c r="I654">
        <v>14</v>
      </c>
      <c r="J654">
        <v>39</v>
      </c>
      <c r="K654">
        <v>3</v>
      </c>
      <c r="L654" t="s">
        <v>44</v>
      </c>
      <c r="M654">
        <v>13.5427718635143</v>
      </c>
      <c r="N654" t="s">
        <v>28</v>
      </c>
      <c r="O654" t="s">
        <v>29</v>
      </c>
      <c r="P654">
        <f>VLOOKUP(O654, Coordinates!$A$2:$C$6, 2, FALSE)</f>
        <v>29.760400000000001</v>
      </c>
      <c r="Q654">
        <f>VLOOKUP(O654, Coordinates!$A$2:$C$6, 3, FALSE)</f>
        <v>-95.369799999999998</v>
      </c>
      <c r="R654">
        <v>4</v>
      </c>
      <c r="S654">
        <v>158</v>
      </c>
      <c r="T654">
        <v>10</v>
      </c>
      <c r="U654">
        <v>64.975951812184604</v>
      </c>
      <c r="V654" t="s">
        <v>30</v>
      </c>
      <c r="W654">
        <v>4.4157619338977296</v>
      </c>
      <c r="X654" t="s">
        <v>52</v>
      </c>
      <c r="Y654" t="s">
        <v>60</v>
      </c>
      <c r="Z654">
        <v>851.21910983238797</v>
      </c>
    </row>
    <row r="655" spans="1:26" x14ac:dyDescent="0.3">
      <c r="A655" t="s">
        <v>61</v>
      </c>
      <c r="B655" t="s">
        <v>711</v>
      </c>
      <c r="C655">
        <v>75.393218776084893</v>
      </c>
      <c r="D655">
        <v>44</v>
      </c>
      <c r="E655">
        <v>7</v>
      </c>
      <c r="F655">
        <v>8611.7039049318591</v>
      </c>
      <c r="G655" t="s">
        <v>54</v>
      </c>
      <c r="H655">
        <v>47</v>
      </c>
      <c r="I655">
        <v>4</v>
      </c>
      <c r="J655">
        <v>19</v>
      </c>
      <c r="K655">
        <v>4</v>
      </c>
      <c r="L655" t="s">
        <v>36</v>
      </c>
      <c r="M655">
        <v>13.076377185691699</v>
      </c>
      <c r="N655" t="s">
        <v>45</v>
      </c>
      <c r="O655" t="s">
        <v>38</v>
      </c>
      <c r="P655">
        <f>VLOOKUP(O655, Coordinates!$A$2:$C$6, 2, FALSE)</f>
        <v>25.761700000000001</v>
      </c>
      <c r="Q655">
        <f>VLOOKUP(O655, Coordinates!$A$2:$C$6, 3, FALSE)</f>
        <v>-80.191800000000001</v>
      </c>
      <c r="R655">
        <v>29</v>
      </c>
      <c r="S655">
        <v>227</v>
      </c>
      <c r="T655">
        <v>6</v>
      </c>
      <c r="U655">
        <v>90.655002053643798</v>
      </c>
      <c r="V655" t="s">
        <v>39</v>
      </c>
      <c r="W655">
        <v>4.0397117690000002</v>
      </c>
      <c r="X655" t="s">
        <v>46</v>
      </c>
      <c r="Y655" t="s">
        <v>60</v>
      </c>
      <c r="Z655">
        <v>521.60114733161197</v>
      </c>
    </row>
    <row r="656" spans="1:26" x14ac:dyDescent="0.3">
      <c r="A656" t="s">
        <v>42</v>
      </c>
      <c r="B656" t="s">
        <v>712</v>
      </c>
      <c r="C656">
        <v>55.349194678009702</v>
      </c>
      <c r="D656">
        <v>53</v>
      </c>
      <c r="E656">
        <v>641</v>
      </c>
      <c r="F656">
        <v>4116.39445709137</v>
      </c>
      <c r="G656" t="s">
        <v>35</v>
      </c>
      <c r="H656">
        <v>13</v>
      </c>
      <c r="I656">
        <v>21</v>
      </c>
      <c r="J656">
        <v>70</v>
      </c>
      <c r="K656">
        <v>7</v>
      </c>
      <c r="L656" t="s">
        <v>27</v>
      </c>
      <c r="M656">
        <v>3.1652190025967402</v>
      </c>
      <c r="N656" t="s">
        <v>37</v>
      </c>
      <c r="O656" t="s">
        <v>58</v>
      </c>
      <c r="P656">
        <f>VLOOKUP(O656, Coordinates!$A$2:$C$6, 2, FALSE)</f>
        <v>34.052199999999999</v>
      </c>
      <c r="Q656">
        <f>VLOOKUP(O656, Coordinates!$A$2:$C$6, 3, FALSE)</f>
        <v>-118.2437</v>
      </c>
      <c r="R656">
        <v>4</v>
      </c>
      <c r="S656">
        <v>916</v>
      </c>
      <c r="T656">
        <v>27</v>
      </c>
      <c r="U656">
        <v>60.118911994829702</v>
      </c>
      <c r="V656" t="s">
        <v>55</v>
      </c>
      <c r="W656">
        <v>1.46498090057707</v>
      </c>
      <c r="X656" t="s">
        <v>52</v>
      </c>
      <c r="Y656" t="s">
        <v>60</v>
      </c>
      <c r="Z656">
        <v>615.80699898917806</v>
      </c>
    </row>
    <row r="657" spans="1:26" x14ac:dyDescent="0.3">
      <c r="A657" t="s">
        <v>61</v>
      </c>
      <c r="B657" t="s">
        <v>713</v>
      </c>
      <c r="C657">
        <v>83.756684591821596</v>
      </c>
      <c r="D657">
        <v>10</v>
      </c>
      <c r="E657">
        <v>272</v>
      </c>
      <c r="F657">
        <v>6891.5907416391601</v>
      </c>
      <c r="G657" t="s">
        <v>48</v>
      </c>
      <c r="H657">
        <v>2</v>
      </c>
      <c r="I657">
        <v>29</v>
      </c>
      <c r="J657">
        <v>72</v>
      </c>
      <c r="K657">
        <v>9</v>
      </c>
      <c r="L657" t="s">
        <v>36</v>
      </c>
      <c r="M657">
        <v>7.8324654507929496</v>
      </c>
      <c r="N657" t="s">
        <v>28</v>
      </c>
      <c r="O657" t="s">
        <v>29</v>
      </c>
      <c r="P657">
        <f>VLOOKUP(O657, Coordinates!$A$2:$C$6, 2, FALSE)</f>
        <v>29.760400000000001</v>
      </c>
      <c r="Q657">
        <f>VLOOKUP(O657, Coordinates!$A$2:$C$6, 3, FALSE)</f>
        <v>-95.369799999999998</v>
      </c>
      <c r="R657">
        <v>10</v>
      </c>
      <c r="S657">
        <v>873</v>
      </c>
      <c r="T657">
        <v>7</v>
      </c>
      <c r="U657">
        <v>76.000597790741395</v>
      </c>
      <c r="V657" t="s">
        <v>30</v>
      </c>
      <c r="W657">
        <v>3.4350242404434099</v>
      </c>
      <c r="X657" t="s">
        <v>52</v>
      </c>
      <c r="Y657" t="s">
        <v>32</v>
      </c>
      <c r="Z657">
        <v>741.07911126805504</v>
      </c>
    </row>
    <row r="658" spans="1:26" x14ac:dyDescent="0.3">
      <c r="A658" t="s">
        <v>42</v>
      </c>
      <c r="B658" t="s">
        <v>714</v>
      </c>
      <c r="C658">
        <v>99.170006539695095</v>
      </c>
      <c r="D658">
        <v>87</v>
      </c>
      <c r="E658">
        <v>600</v>
      </c>
      <c r="F658">
        <v>7383.8286532313496</v>
      </c>
      <c r="G658" t="s">
        <v>54</v>
      </c>
      <c r="H658">
        <v>49</v>
      </c>
      <c r="I658">
        <v>14</v>
      </c>
      <c r="J658">
        <v>45</v>
      </c>
      <c r="K658">
        <v>9</v>
      </c>
      <c r="L658" t="s">
        <v>36</v>
      </c>
      <c r="M658">
        <v>7.6957608119999996</v>
      </c>
      <c r="N658" t="s">
        <v>37</v>
      </c>
      <c r="O658" t="s">
        <v>38</v>
      </c>
      <c r="P658">
        <f>VLOOKUP(O658, Coordinates!$A$2:$C$6, 2, FALSE)</f>
        <v>25.761700000000001</v>
      </c>
      <c r="Q658">
        <f>VLOOKUP(O658, Coordinates!$A$2:$C$6, 3, FALSE)</f>
        <v>-80.191800000000001</v>
      </c>
      <c r="R658">
        <v>20</v>
      </c>
      <c r="S658">
        <v>879</v>
      </c>
      <c r="T658">
        <v>19</v>
      </c>
      <c r="U658">
        <v>50.800509884466699</v>
      </c>
      <c r="V658" t="s">
        <v>30</v>
      </c>
      <c r="W658">
        <v>4.0211824848997004</v>
      </c>
      <c r="X658" t="s">
        <v>52</v>
      </c>
      <c r="Y658" t="s">
        <v>41</v>
      </c>
      <c r="Z658">
        <v>570.41207667509502</v>
      </c>
    </row>
    <row r="659" spans="1:26" x14ac:dyDescent="0.3">
      <c r="A659" t="s">
        <v>49</v>
      </c>
      <c r="B659" t="s">
        <v>715</v>
      </c>
      <c r="C659">
        <v>82.901199766338806</v>
      </c>
      <c r="D659">
        <v>52</v>
      </c>
      <c r="E659">
        <v>20</v>
      </c>
      <c r="F659">
        <v>6275.6411867950701</v>
      </c>
      <c r="G659" t="s">
        <v>54</v>
      </c>
      <c r="H659">
        <v>92</v>
      </c>
      <c r="I659">
        <v>10</v>
      </c>
      <c r="J659">
        <v>63</v>
      </c>
      <c r="K659">
        <v>10</v>
      </c>
      <c r="L659" t="s">
        <v>36</v>
      </c>
      <c r="M659">
        <v>13.582318866570899</v>
      </c>
      <c r="N659" t="s">
        <v>45</v>
      </c>
      <c r="O659" t="s">
        <v>38</v>
      </c>
      <c r="P659">
        <f>VLOOKUP(O659, Coordinates!$A$2:$C$6, 2, FALSE)</f>
        <v>25.761700000000001</v>
      </c>
      <c r="Q659">
        <f>VLOOKUP(O659, Coordinates!$A$2:$C$6, 3, FALSE)</f>
        <v>-80.191800000000001</v>
      </c>
      <c r="R659">
        <v>28</v>
      </c>
      <c r="S659">
        <v>640</v>
      </c>
      <c r="T659">
        <v>14</v>
      </c>
      <c r="U659">
        <v>57.1711525897596</v>
      </c>
      <c r="V659" t="s">
        <v>39</v>
      </c>
      <c r="W659">
        <v>4.04810624391079</v>
      </c>
      <c r="X659" t="s">
        <v>40</v>
      </c>
      <c r="Y659" t="s">
        <v>32</v>
      </c>
      <c r="Z659">
        <v>188.603848836119</v>
      </c>
    </row>
    <row r="660" spans="1:26" x14ac:dyDescent="0.3">
      <c r="A660" t="s">
        <v>42</v>
      </c>
      <c r="B660" t="s">
        <v>716</v>
      </c>
      <c r="C660">
        <v>71.013825499216097</v>
      </c>
      <c r="D660">
        <v>49</v>
      </c>
      <c r="E660">
        <v>338</v>
      </c>
      <c r="F660">
        <v>4215.1777135312204</v>
      </c>
      <c r="G660" t="s">
        <v>26</v>
      </c>
      <c r="H660">
        <v>53</v>
      </c>
      <c r="I660">
        <v>22</v>
      </c>
      <c r="J660">
        <v>74</v>
      </c>
      <c r="K660">
        <v>1</v>
      </c>
      <c r="L660" t="s">
        <v>36</v>
      </c>
      <c r="M660">
        <v>1.0271223279161299</v>
      </c>
      <c r="N660" t="s">
        <v>51</v>
      </c>
      <c r="O660" t="s">
        <v>38</v>
      </c>
      <c r="P660">
        <f>VLOOKUP(O660, Coordinates!$A$2:$C$6, 2, FALSE)</f>
        <v>25.761700000000001</v>
      </c>
      <c r="Q660">
        <f>VLOOKUP(O660, Coordinates!$A$2:$C$6, 3, FALSE)</f>
        <v>-80.191800000000001</v>
      </c>
      <c r="R660">
        <v>4</v>
      </c>
      <c r="S660">
        <v>432</v>
      </c>
      <c r="T660">
        <v>25</v>
      </c>
      <c r="U660">
        <v>72.556757087939005</v>
      </c>
      <c r="V660" t="s">
        <v>39</v>
      </c>
      <c r="W660">
        <v>1.01247340955261</v>
      </c>
      <c r="X660" t="s">
        <v>46</v>
      </c>
      <c r="Y660" t="s">
        <v>60</v>
      </c>
      <c r="Z660">
        <v>417.46310869149897</v>
      </c>
    </row>
    <row r="661" spans="1:26" x14ac:dyDescent="0.3">
      <c r="A661" t="s">
        <v>33</v>
      </c>
      <c r="B661" t="s">
        <v>717</v>
      </c>
      <c r="C661">
        <v>55.586806446528897</v>
      </c>
      <c r="D661">
        <v>11</v>
      </c>
      <c r="E661">
        <v>468</v>
      </c>
      <c r="F661">
        <v>6193.4800754218904</v>
      </c>
      <c r="G661" t="s">
        <v>35</v>
      </c>
      <c r="H661">
        <v>5</v>
      </c>
      <c r="I661">
        <v>30</v>
      </c>
      <c r="J661">
        <v>91</v>
      </c>
      <c r="K661">
        <v>10</v>
      </c>
      <c r="L661" t="s">
        <v>44</v>
      </c>
      <c r="M661">
        <v>11.341989526776899</v>
      </c>
      <c r="N661" t="s">
        <v>28</v>
      </c>
      <c r="O661" t="s">
        <v>29</v>
      </c>
      <c r="P661">
        <f>VLOOKUP(O661, Coordinates!$A$2:$C$6, 2, FALSE)</f>
        <v>29.760400000000001</v>
      </c>
      <c r="Q661">
        <f>VLOOKUP(O661, Coordinates!$A$2:$C$6, 3, FALSE)</f>
        <v>-95.369799999999998</v>
      </c>
      <c r="R661">
        <v>16</v>
      </c>
      <c r="S661">
        <v>991</v>
      </c>
      <c r="T661">
        <v>27</v>
      </c>
      <c r="U661">
        <v>83.116450454625706</v>
      </c>
      <c r="V661" t="s">
        <v>30</v>
      </c>
      <c r="W661">
        <v>0.551442100732218</v>
      </c>
      <c r="X661" t="s">
        <v>40</v>
      </c>
      <c r="Y661" t="s">
        <v>41</v>
      </c>
      <c r="Z661">
        <v>142.85104647281699</v>
      </c>
    </row>
    <row r="662" spans="1:26" x14ac:dyDescent="0.3">
      <c r="A662" t="s">
        <v>82</v>
      </c>
      <c r="B662" t="s">
        <v>718</v>
      </c>
      <c r="C662">
        <v>47.641041809097203</v>
      </c>
      <c r="D662">
        <v>66</v>
      </c>
      <c r="E662">
        <v>63</v>
      </c>
      <c r="F662">
        <v>4080.3903351077101</v>
      </c>
      <c r="G662" t="s">
        <v>26</v>
      </c>
      <c r="H662">
        <v>48</v>
      </c>
      <c r="I662">
        <v>30</v>
      </c>
      <c r="J662">
        <v>13</v>
      </c>
      <c r="K662">
        <v>1</v>
      </c>
      <c r="L662" t="s">
        <v>27</v>
      </c>
      <c r="M662">
        <v>9.6609812316477104</v>
      </c>
      <c r="N662" t="s">
        <v>57</v>
      </c>
      <c r="O662" t="s">
        <v>67</v>
      </c>
      <c r="P662">
        <f>VLOOKUP(O662, Coordinates!$A$2:$C$6, 2, FALSE)</f>
        <v>40.712800000000001</v>
      </c>
      <c r="Q662">
        <f>VLOOKUP(O662, Coordinates!$A$2:$C$6, 3, FALSE)</f>
        <v>-74.006</v>
      </c>
      <c r="R662">
        <v>30</v>
      </c>
      <c r="S662">
        <v>381</v>
      </c>
      <c r="T662">
        <v>30</v>
      </c>
      <c r="U662">
        <v>69.3506247872904</v>
      </c>
      <c r="V662" t="s">
        <v>30</v>
      </c>
      <c r="W662">
        <v>4.2994984851669296</v>
      </c>
      <c r="X662" t="s">
        <v>31</v>
      </c>
      <c r="Y662" t="s">
        <v>41</v>
      </c>
      <c r="Z662">
        <v>702.87882069723696</v>
      </c>
    </row>
    <row r="663" spans="1:26" x14ac:dyDescent="0.3">
      <c r="A663" t="s">
        <v>42</v>
      </c>
      <c r="B663" t="s">
        <v>719</v>
      </c>
      <c r="C663">
        <v>13.017276151731499</v>
      </c>
      <c r="D663">
        <v>58</v>
      </c>
      <c r="E663">
        <v>181</v>
      </c>
      <c r="F663">
        <v>1754.8636469681001</v>
      </c>
      <c r="G663" t="s">
        <v>54</v>
      </c>
      <c r="H663">
        <v>22</v>
      </c>
      <c r="I663">
        <v>28</v>
      </c>
      <c r="J663">
        <v>64</v>
      </c>
      <c r="K663">
        <v>9</v>
      </c>
      <c r="L663" t="s">
        <v>36</v>
      </c>
      <c r="M663">
        <v>13.902000624471899</v>
      </c>
      <c r="N663" t="s">
        <v>45</v>
      </c>
      <c r="O663" t="s">
        <v>38</v>
      </c>
      <c r="P663">
        <f>VLOOKUP(O663, Coordinates!$A$2:$C$6, 2, FALSE)</f>
        <v>25.761700000000001</v>
      </c>
      <c r="Q663">
        <f>VLOOKUP(O663, Coordinates!$A$2:$C$6, 3, FALSE)</f>
        <v>-80.191800000000001</v>
      </c>
      <c r="R663">
        <v>29</v>
      </c>
      <c r="S663">
        <v>679</v>
      </c>
      <c r="T663">
        <v>30</v>
      </c>
      <c r="U663">
        <v>97.974279450108298</v>
      </c>
      <c r="V663" t="s">
        <v>39</v>
      </c>
      <c r="W663">
        <v>4.7101184012799697</v>
      </c>
      <c r="X663" t="s">
        <v>31</v>
      </c>
      <c r="Y663" t="s">
        <v>32</v>
      </c>
      <c r="Z663">
        <v>403.41140587642002</v>
      </c>
    </row>
    <row r="664" spans="1:26" x14ac:dyDescent="0.3">
      <c r="A664" t="s">
        <v>42</v>
      </c>
      <c r="B664" t="s">
        <v>720</v>
      </c>
      <c r="D664">
        <v>90</v>
      </c>
      <c r="E664">
        <v>67</v>
      </c>
      <c r="F664">
        <v>9935.2358039999999</v>
      </c>
      <c r="G664" t="s">
        <v>26</v>
      </c>
      <c r="H664">
        <v>91</v>
      </c>
      <c r="I664">
        <v>16</v>
      </c>
      <c r="J664">
        <v>63</v>
      </c>
      <c r="K664">
        <v>4</v>
      </c>
      <c r="L664" t="s">
        <v>27</v>
      </c>
      <c r="M664">
        <v>7.3968429046443296</v>
      </c>
      <c r="N664" t="s">
        <v>51</v>
      </c>
      <c r="O664" t="s">
        <v>58</v>
      </c>
      <c r="P664">
        <f>VLOOKUP(O664, Coordinates!$A$2:$C$6, 2, FALSE)</f>
        <v>34.052199999999999</v>
      </c>
      <c r="Q664">
        <f>VLOOKUP(O664, Coordinates!$A$2:$C$6, 3, FALSE)</f>
        <v>-118.2437</v>
      </c>
      <c r="R664">
        <v>10</v>
      </c>
      <c r="S664">
        <v>306</v>
      </c>
      <c r="T664">
        <v>11</v>
      </c>
      <c r="U664">
        <v>83.784032901845407</v>
      </c>
      <c r="V664" t="s">
        <v>55</v>
      </c>
      <c r="W664">
        <v>0.100412153387488</v>
      </c>
      <c r="X664" t="s">
        <v>46</v>
      </c>
      <c r="Y664" t="s">
        <v>32</v>
      </c>
      <c r="Z664">
        <v>764.526424405792</v>
      </c>
    </row>
    <row r="665" spans="1:26" x14ac:dyDescent="0.3">
      <c r="A665" t="s">
        <v>82</v>
      </c>
      <c r="B665" t="s">
        <v>721</v>
      </c>
      <c r="C665">
        <v>91.462790494302695</v>
      </c>
      <c r="D665">
        <v>36</v>
      </c>
      <c r="E665">
        <v>962</v>
      </c>
      <c r="F665">
        <v>2144.6420826925901</v>
      </c>
      <c r="G665" t="s">
        <v>26</v>
      </c>
      <c r="H665">
        <v>77</v>
      </c>
      <c r="I665">
        <v>11</v>
      </c>
      <c r="J665">
        <v>100</v>
      </c>
      <c r="K665">
        <v>3</v>
      </c>
      <c r="L665" t="s">
        <v>44</v>
      </c>
      <c r="M665">
        <v>10.207411498257001</v>
      </c>
      <c r="N665" t="s">
        <v>57</v>
      </c>
      <c r="O665" t="s">
        <v>29</v>
      </c>
      <c r="P665">
        <f>VLOOKUP(O665, Coordinates!$A$2:$C$6, 2, FALSE)</f>
        <v>29.760400000000001</v>
      </c>
      <c r="Q665">
        <f>VLOOKUP(O665, Coordinates!$A$2:$C$6, 3, FALSE)</f>
        <v>-95.369799999999998</v>
      </c>
      <c r="R665">
        <v>25</v>
      </c>
      <c r="S665">
        <v>371</v>
      </c>
      <c r="T665">
        <v>2</v>
      </c>
      <c r="U665">
        <v>79.944418414708693</v>
      </c>
      <c r="V665" t="s">
        <v>55</v>
      </c>
      <c r="W665">
        <v>3.21451054077126</v>
      </c>
      <c r="X665" t="s">
        <v>31</v>
      </c>
      <c r="Y665" t="s">
        <v>41</v>
      </c>
      <c r="Z665">
        <v>486.73914770600402</v>
      </c>
    </row>
    <row r="666" spans="1:26" x14ac:dyDescent="0.3">
      <c r="A666" t="s">
        <v>33</v>
      </c>
      <c r="B666" t="s">
        <v>722</v>
      </c>
      <c r="C666">
        <v>81.762149841122493</v>
      </c>
      <c r="D666">
        <v>33</v>
      </c>
      <c r="E666">
        <v>565</v>
      </c>
      <c r="F666">
        <v>1651.1354545245099</v>
      </c>
      <c r="G666" t="s">
        <v>48</v>
      </c>
      <c r="H666">
        <v>77</v>
      </c>
      <c r="I666">
        <v>22</v>
      </c>
      <c r="J666">
        <v>98</v>
      </c>
      <c r="K666">
        <v>9</v>
      </c>
      <c r="L666" t="s">
        <v>27</v>
      </c>
      <c r="M666">
        <v>14.618458425901499</v>
      </c>
      <c r="N666" t="s">
        <v>57</v>
      </c>
      <c r="O666" t="s">
        <v>29</v>
      </c>
      <c r="P666">
        <f>VLOOKUP(O666, Coordinates!$A$2:$C$6, 2, FALSE)</f>
        <v>29.760400000000001</v>
      </c>
      <c r="Q666">
        <f>VLOOKUP(O666, Coordinates!$A$2:$C$6, 3, FALSE)</f>
        <v>-95.369799999999998</v>
      </c>
      <c r="R666">
        <v>11</v>
      </c>
      <c r="S666">
        <v>408</v>
      </c>
      <c r="T666">
        <v>1</v>
      </c>
      <c r="U666">
        <v>86.059142108292207</v>
      </c>
      <c r="V666" t="s">
        <v>30</v>
      </c>
      <c r="W666">
        <v>0.76442664932156401</v>
      </c>
      <c r="X666" t="s">
        <v>40</v>
      </c>
      <c r="Y666" t="s">
        <v>32</v>
      </c>
      <c r="Z666">
        <v>141.02949457528101</v>
      </c>
    </row>
    <row r="667" spans="1:26" x14ac:dyDescent="0.3">
      <c r="A667" t="s">
        <v>61</v>
      </c>
      <c r="B667" t="s">
        <v>723</v>
      </c>
      <c r="C667">
        <v>25.524879676110199</v>
      </c>
      <c r="D667">
        <v>47</v>
      </c>
      <c r="E667">
        <v>311</v>
      </c>
      <c r="F667">
        <v>8906.7767428644001</v>
      </c>
      <c r="G667" t="s">
        <v>26</v>
      </c>
      <c r="H667">
        <v>19</v>
      </c>
      <c r="I667">
        <v>29</v>
      </c>
      <c r="J667">
        <v>73</v>
      </c>
      <c r="K667">
        <v>5</v>
      </c>
      <c r="L667" t="s">
        <v>44</v>
      </c>
      <c r="M667">
        <v>11.4146526808227</v>
      </c>
      <c r="N667" t="s">
        <v>28</v>
      </c>
      <c r="O667" t="s">
        <v>29</v>
      </c>
      <c r="P667">
        <f>VLOOKUP(O667, Coordinates!$A$2:$C$6, 2, FALSE)</f>
        <v>29.760400000000001</v>
      </c>
      <c r="Q667">
        <f>VLOOKUP(O667, Coordinates!$A$2:$C$6, 3, FALSE)</f>
        <v>-95.369799999999998</v>
      </c>
      <c r="R667">
        <v>2</v>
      </c>
      <c r="S667">
        <v>502</v>
      </c>
      <c r="T667">
        <v>26</v>
      </c>
      <c r="U667">
        <v>35.308984188191403</v>
      </c>
      <c r="V667" t="s">
        <v>55</v>
      </c>
      <c r="W667">
        <v>4.9548490988228702</v>
      </c>
      <c r="X667" t="s">
        <v>40</v>
      </c>
      <c r="Y667" t="s">
        <v>32</v>
      </c>
      <c r="Z667">
        <v>441.65443260000001</v>
      </c>
    </row>
    <row r="668" spans="1:26" x14ac:dyDescent="0.3">
      <c r="A668" t="s">
        <v>42</v>
      </c>
      <c r="B668" t="s">
        <v>724</v>
      </c>
      <c r="C668">
        <v>49.327739546235499</v>
      </c>
      <c r="D668">
        <v>13</v>
      </c>
      <c r="E668">
        <v>250</v>
      </c>
      <c r="F668">
        <v>3716.5119480360499</v>
      </c>
      <c r="G668" t="s">
        <v>54</v>
      </c>
      <c r="H668">
        <v>76</v>
      </c>
      <c r="I668">
        <v>25</v>
      </c>
      <c r="J668">
        <v>31</v>
      </c>
      <c r="K668">
        <v>6</v>
      </c>
      <c r="L668" t="s">
        <v>27</v>
      </c>
      <c r="M668">
        <v>1.9433756378167399</v>
      </c>
      <c r="N668" t="s">
        <v>37</v>
      </c>
      <c r="O668" t="s">
        <v>65</v>
      </c>
      <c r="P668">
        <f>VLOOKUP(O668, Coordinates!$A$2:$C$6, 2, FALSE)</f>
        <v>41.878100000000003</v>
      </c>
      <c r="Q668">
        <f>VLOOKUP(O668, Coordinates!$A$2:$C$6, 3, FALSE)</f>
        <v>-87.629800000000003</v>
      </c>
      <c r="R668">
        <v>16</v>
      </c>
      <c r="S668">
        <v>274</v>
      </c>
      <c r="T668">
        <v>10</v>
      </c>
      <c r="U668">
        <v>48.8842438553542</v>
      </c>
      <c r="V668" t="s">
        <v>30</v>
      </c>
      <c r="W668">
        <v>4.3486541589999996</v>
      </c>
      <c r="X668" t="s">
        <v>40</v>
      </c>
      <c r="Y668" t="s">
        <v>60</v>
      </c>
      <c r="Z668">
        <v>296.825103190807</v>
      </c>
    </row>
    <row r="669" spans="1:26" x14ac:dyDescent="0.3">
      <c r="A669" t="s">
        <v>82</v>
      </c>
      <c r="B669" t="s">
        <v>725</v>
      </c>
      <c r="C669">
        <v>82.588704243061699</v>
      </c>
      <c r="D669">
        <v>40</v>
      </c>
      <c r="E669">
        <v>293</v>
      </c>
      <c r="F669">
        <v>6852.6727666615598</v>
      </c>
      <c r="G669" t="s">
        <v>26</v>
      </c>
      <c r="H669">
        <v>90</v>
      </c>
      <c r="I669">
        <v>26</v>
      </c>
      <c r="J669">
        <v>34</v>
      </c>
      <c r="K669">
        <v>1</v>
      </c>
      <c r="L669" t="s">
        <v>27</v>
      </c>
      <c r="M669">
        <v>3.3454697136174398</v>
      </c>
      <c r="N669" t="s">
        <v>45</v>
      </c>
      <c r="O669" t="s">
        <v>38</v>
      </c>
      <c r="P669">
        <f>VLOOKUP(O669, Coordinates!$A$2:$C$6, 2, FALSE)</f>
        <v>25.761700000000001</v>
      </c>
      <c r="Q669">
        <f>VLOOKUP(O669, Coordinates!$A$2:$C$6, 3, FALSE)</f>
        <v>-80.191800000000001</v>
      </c>
      <c r="R669">
        <v>25</v>
      </c>
      <c r="S669">
        <v>317</v>
      </c>
      <c r="T669">
        <v>12</v>
      </c>
      <c r="U669">
        <v>60.801662655513098</v>
      </c>
      <c r="V669" t="s">
        <v>55</v>
      </c>
      <c r="W669">
        <v>3.9644352199094399</v>
      </c>
      <c r="X669" t="s">
        <v>40</v>
      </c>
      <c r="Y669" t="s">
        <v>41</v>
      </c>
      <c r="Z669">
        <v>292.86167571572003</v>
      </c>
    </row>
    <row r="670" spans="1:26" x14ac:dyDescent="0.3">
      <c r="A670" t="s">
        <v>49</v>
      </c>
      <c r="B670" t="s">
        <v>726</v>
      </c>
      <c r="C670">
        <v>11.4015327046246</v>
      </c>
      <c r="D670">
        <v>89</v>
      </c>
      <c r="E670">
        <v>802</v>
      </c>
      <c r="F670">
        <v>3961.05156696009</v>
      </c>
      <c r="G670" t="s">
        <v>35</v>
      </c>
      <c r="H670">
        <v>59</v>
      </c>
      <c r="I670">
        <v>14</v>
      </c>
      <c r="J670">
        <v>90</v>
      </c>
      <c r="K670">
        <v>1</v>
      </c>
      <c r="L670" t="s">
        <v>36</v>
      </c>
      <c r="M670">
        <v>12.500315441436401</v>
      </c>
      <c r="N670" t="s">
        <v>57</v>
      </c>
      <c r="O670" t="s">
        <v>67</v>
      </c>
      <c r="P670">
        <f>VLOOKUP(O670, Coordinates!$A$2:$C$6, 2, FALSE)</f>
        <v>40.712800000000001</v>
      </c>
      <c r="Q670">
        <f>VLOOKUP(O670, Coordinates!$A$2:$C$6, 3, FALSE)</f>
        <v>-74.006</v>
      </c>
      <c r="R670">
        <v>19</v>
      </c>
      <c r="S670">
        <v>771</v>
      </c>
      <c r="T670">
        <v>9</v>
      </c>
      <c r="U670">
        <v>51.614768659841701</v>
      </c>
      <c r="V670" t="s">
        <v>30</v>
      </c>
      <c r="W670">
        <v>4.1693282130427098</v>
      </c>
      <c r="X670" t="s">
        <v>46</v>
      </c>
      <c r="Y670" t="s">
        <v>60</v>
      </c>
      <c r="Z670">
        <v>439.84885229521598</v>
      </c>
    </row>
    <row r="671" spans="1:26" x14ac:dyDescent="0.3">
      <c r="A671" t="s">
        <v>82</v>
      </c>
      <c r="B671" t="s">
        <v>727</v>
      </c>
      <c r="C671">
        <v>41.802295638522601</v>
      </c>
      <c r="D671">
        <v>68</v>
      </c>
      <c r="E671">
        <v>959</v>
      </c>
      <c r="F671">
        <v>4523.0884370000003</v>
      </c>
      <c r="G671" t="s">
        <v>48</v>
      </c>
      <c r="H671">
        <v>98</v>
      </c>
      <c r="I671">
        <v>14</v>
      </c>
      <c r="J671">
        <v>68</v>
      </c>
      <c r="K671">
        <v>7</v>
      </c>
      <c r="L671" t="s">
        <v>27</v>
      </c>
      <c r="M671">
        <v>5.6871375736312197</v>
      </c>
      <c r="N671" t="s">
        <v>28</v>
      </c>
      <c r="O671" t="s">
        <v>29</v>
      </c>
      <c r="P671">
        <f>VLOOKUP(O671, Coordinates!$A$2:$C$6, 2, FALSE)</f>
        <v>29.760400000000001</v>
      </c>
      <c r="Q671">
        <f>VLOOKUP(O671, Coordinates!$A$2:$C$6, 3, FALSE)</f>
        <v>-95.369799999999998</v>
      </c>
      <c r="R671">
        <v>12</v>
      </c>
      <c r="S671">
        <v>425</v>
      </c>
      <c r="T671">
        <v>23</v>
      </c>
      <c r="U671">
        <v>86.271203640167101</v>
      </c>
      <c r="V671" t="s">
        <v>39</v>
      </c>
      <c r="W671">
        <v>2.3526785038434799</v>
      </c>
      <c r="X671" t="s">
        <v>52</v>
      </c>
      <c r="Y671" t="s">
        <v>60</v>
      </c>
      <c r="Z671">
        <v>980.49367929836296</v>
      </c>
    </row>
    <row r="672" spans="1:26" x14ac:dyDescent="0.3">
      <c r="A672" t="s">
        <v>49</v>
      </c>
      <c r="B672" t="s">
        <v>728</v>
      </c>
      <c r="C672">
        <v>85.924917503025</v>
      </c>
      <c r="D672">
        <v>42</v>
      </c>
      <c r="E672">
        <v>336</v>
      </c>
      <c r="F672">
        <v>3359.0167481511598</v>
      </c>
      <c r="G672" t="s">
        <v>54</v>
      </c>
      <c r="H672">
        <v>44</v>
      </c>
      <c r="I672">
        <v>2</v>
      </c>
      <c r="J672">
        <v>66</v>
      </c>
      <c r="K672">
        <v>10</v>
      </c>
      <c r="L672" t="s">
        <v>36</v>
      </c>
      <c r="M672">
        <v>10.882853548375801</v>
      </c>
      <c r="N672" t="s">
        <v>51</v>
      </c>
      <c r="O672" t="s">
        <v>65</v>
      </c>
      <c r="P672">
        <f>VLOOKUP(O672, Coordinates!$A$2:$C$6, 2, FALSE)</f>
        <v>41.878100000000003</v>
      </c>
      <c r="Q672">
        <f>VLOOKUP(O672, Coordinates!$A$2:$C$6, 3, FALSE)</f>
        <v>-87.629800000000003</v>
      </c>
      <c r="R672">
        <v>4</v>
      </c>
      <c r="S672">
        <v>855</v>
      </c>
      <c r="T672">
        <v>26</v>
      </c>
      <c r="U672">
        <v>12.436166591130799</v>
      </c>
      <c r="V672" t="s">
        <v>30</v>
      </c>
      <c r="W672">
        <v>3.94243122231217</v>
      </c>
      <c r="X672" t="s">
        <v>31</v>
      </c>
      <c r="Y672" t="s">
        <v>41</v>
      </c>
      <c r="Z672">
        <v>964.06232988587703</v>
      </c>
    </row>
    <row r="673" spans="1:26" x14ac:dyDescent="0.3">
      <c r="A673" t="s">
        <v>33</v>
      </c>
      <c r="B673" t="s">
        <v>729</v>
      </c>
      <c r="C673">
        <v>43.3702970961617</v>
      </c>
      <c r="D673">
        <v>19</v>
      </c>
      <c r="E673">
        <v>531</v>
      </c>
      <c r="F673">
        <v>4087.39605213709</v>
      </c>
      <c r="G673" t="s">
        <v>26</v>
      </c>
      <c r="H673">
        <v>60</v>
      </c>
      <c r="I673">
        <v>22</v>
      </c>
      <c r="J673">
        <v>63</v>
      </c>
      <c r="K673">
        <v>8</v>
      </c>
      <c r="L673" t="s">
        <v>36</v>
      </c>
      <c r="M673">
        <v>10.7975322668135</v>
      </c>
      <c r="N673" t="s">
        <v>57</v>
      </c>
      <c r="O673" t="s">
        <v>29</v>
      </c>
      <c r="P673">
        <f>VLOOKUP(O673, Coordinates!$A$2:$C$6, 2, FALSE)</f>
        <v>29.760400000000001</v>
      </c>
      <c r="Q673">
        <f>VLOOKUP(O673, Coordinates!$A$2:$C$6, 3, FALSE)</f>
        <v>-95.369799999999998</v>
      </c>
      <c r="R673">
        <v>17</v>
      </c>
      <c r="S673">
        <v>352</v>
      </c>
      <c r="T673">
        <v>29</v>
      </c>
      <c r="U673">
        <v>28.825787550953802</v>
      </c>
      <c r="V673" t="s">
        <v>30</v>
      </c>
      <c r="W673">
        <v>3.2326677619857498</v>
      </c>
      <c r="X673" t="s">
        <v>46</v>
      </c>
      <c r="Y673" t="s">
        <v>41</v>
      </c>
      <c r="Z673">
        <v>823.10880585929999</v>
      </c>
    </row>
    <row r="674" spans="1:26" x14ac:dyDescent="0.3">
      <c r="A674" t="s">
        <v>61</v>
      </c>
      <c r="B674" t="s">
        <v>730</v>
      </c>
      <c r="C674">
        <v>12.373391249486801</v>
      </c>
      <c r="D674">
        <v>82</v>
      </c>
      <c r="E674">
        <v>854</v>
      </c>
      <c r="F674">
        <v>4696.3036052788802</v>
      </c>
      <c r="G674" t="s">
        <v>35</v>
      </c>
      <c r="H674">
        <v>55</v>
      </c>
      <c r="I674">
        <v>13</v>
      </c>
      <c r="J674">
        <v>53</v>
      </c>
      <c r="K674">
        <v>8</v>
      </c>
      <c r="L674" t="s">
        <v>27</v>
      </c>
      <c r="M674">
        <v>14.911807327434801</v>
      </c>
      <c r="N674" t="s">
        <v>51</v>
      </c>
      <c r="O674" t="s">
        <v>29</v>
      </c>
      <c r="P674">
        <f>VLOOKUP(O674, Coordinates!$A$2:$C$6, 2, FALSE)</f>
        <v>29.760400000000001</v>
      </c>
      <c r="Q674">
        <f>VLOOKUP(O674, Coordinates!$A$2:$C$6, 3, FALSE)</f>
        <v>-95.369799999999998</v>
      </c>
      <c r="R674">
        <v>12</v>
      </c>
      <c r="S674">
        <v>553</v>
      </c>
      <c r="T674">
        <v>11</v>
      </c>
      <c r="U674">
        <v>89.353588690166902</v>
      </c>
      <c r="V674" t="s">
        <v>30</v>
      </c>
      <c r="W674">
        <v>0.143223239848279</v>
      </c>
      <c r="X674" t="s">
        <v>52</v>
      </c>
      <c r="Y674" t="s">
        <v>60</v>
      </c>
      <c r="Z674">
        <v>320.92052526263598</v>
      </c>
    </row>
    <row r="675" spans="1:26" x14ac:dyDescent="0.3">
      <c r="A675" t="s">
        <v>82</v>
      </c>
      <c r="B675" t="s">
        <v>731</v>
      </c>
      <c r="C675">
        <v>56.540765010563803</v>
      </c>
      <c r="D675">
        <v>94</v>
      </c>
      <c r="E675">
        <v>259</v>
      </c>
      <c r="F675">
        <v>7483.7446218310797</v>
      </c>
      <c r="G675" t="s">
        <v>54</v>
      </c>
      <c r="H675">
        <v>1</v>
      </c>
      <c r="I675">
        <v>3</v>
      </c>
      <c r="J675">
        <v>61</v>
      </c>
      <c r="K675">
        <v>7</v>
      </c>
      <c r="L675" t="s">
        <v>36</v>
      </c>
      <c r="M675">
        <v>7.5782181309087697</v>
      </c>
      <c r="N675" t="s">
        <v>45</v>
      </c>
      <c r="O675" t="s">
        <v>38</v>
      </c>
      <c r="P675">
        <f>VLOOKUP(O675, Coordinates!$A$2:$C$6, 2, FALSE)</f>
        <v>25.761700000000001</v>
      </c>
      <c r="Q675">
        <f>VLOOKUP(O675, Coordinates!$A$2:$C$6, 3, FALSE)</f>
        <v>-80.191800000000001</v>
      </c>
      <c r="R675">
        <v>28</v>
      </c>
      <c r="S675">
        <v>288</v>
      </c>
      <c r="T675">
        <v>1</v>
      </c>
      <c r="U675">
        <v>15.319012390927</v>
      </c>
      <c r="V675" t="s">
        <v>39</v>
      </c>
      <c r="W675">
        <v>4.8409755452210401</v>
      </c>
      <c r="X675" t="s">
        <v>46</v>
      </c>
      <c r="Y675" t="s">
        <v>41</v>
      </c>
      <c r="Z675">
        <v>787.53619314851596</v>
      </c>
    </row>
    <row r="676" spans="1:26" x14ac:dyDescent="0.3">
      <c r="A676" t="s">
        <v>24</v>
      </c>
      <c r="B676" t="s">
        <v>732</v>
      </c>
      <c r="C676">
        <v>37.942090768704297</v>
      </c>
      <c r="D676">
        <v>19</v>
      </c>
      <c r="E676">
        <v>608</v>
      </c>
      <c r="F676">
        <v>20761.912068635</v>
      </c>
      <c r="G676" t="s">
        <v>26</v>
      </c>
      <c r="H676">
        <v>44</v>
      </c>
      <c r="I676">
        <v>30</v>
      </c>
      <c r="J676">
        <v>85</v>
      </c>
      <c r="K676">
        <v>9</v>
      </c>
      <c r="L676" t="s">
        <v>27</v>
      </c>
      <c r="M676">
        <v>11.3296530470829</v>
      </c>
      <c r="N676" t="s">
        <v>28</v>
      </c>
      <c r="O676" t="s">
        <v>65</v>
      </c>
      <c r="P676">
        <f>VLOOKUP(O676, Coordinates!$A$2:$C$6, 2, FALSE)</f>
        <v>41.878100000000003</v>
      </c>
      <c r="Q676">
        <f>VLOOKUP(O676, Coordinates!$A$2:$C$6, 3, FALSE)</f>
        <v>-87.629800000000003</v>
      </c>
      <c r="R676">
        <v>3</v>
      </c>
      <c r="S676">
        <v>872</v>
      </c>
      <c r="T676">
        <v>20</v>
      </c>
      <c r="U676">
        <v>85.655936589999996</v>
      </c>
      <c r="V676" t="s">
        <v>55</v>
      </c>
      <c r="W676">
        <v>4.3045978909834304</v>
      </c>
      <c r="X676" t="s">
        <v>31</v>
      </c>
      <c r="Y676" t="s">
        <v>60</v>
      </c>
      <c r="Z676">
        <v>113.827103681563</v>
      </c>
    </row>
    <row r="677" spans="1:26" x14ac:dyDescent="0.3">
      <c r="A677" t="s">
        <v>24</v>
      </c>
      <c r="B677" t="s">
        <v>733</v>
      </c>
      <c r="C677">
        <v>22.505301449746199</v>
      </c>
      <c r="D677">
        <v>58</v>
      </c>
      <c r="E677">
        <v>514</v>
      </c>
      <c r="F677">
        <v>10410.9524506526</v>
      </c>
      <c r="G677" t="s">
        <v>48</v>
      </c>
      <c r="H677">
        <v>39</v>
      </c>
      <c r="I677">
        <v>18</v>
      </c>
      <c r="J677">
        <v>25</v>
      </c>
      <c r="K677">
        <v>1</v>
      </c>
      <c r="L677" t="s">
        <v>36</v>
      </c>
      <c r="M677">
        <v>1.68254028200543</v>
      </c>
      <c r="N677" t="s">
        <v>51</v>
      </c>
      <c r="O677" t="s">
        <v>67</v>
      </c>
      <c r="P677">
        <f>VLOOKUP(O677, Coordinates!$A$2:$C$6, 2, FALSE)</f>
        <v>40.712800000000001</v>
      </c>
      <c r="Q677">
        <f>VLOOKUP(O677, Coordinates!$A$2:$C$6, 3, FALSE)</f>
        <v>-74.006</v>
      </c>
      <c r="R677">
        <v>2</v>
      </c>
      <c r="S677">
        <v>542</v>
      </c>
      <c r="T677">
        <v>10</v>
      </c>
      <c r="U677">
        <v>93.788169179999997</v>
      </c>
      <c r="V677" t="s">
        <v>55</v>
      </c>
      <c r="W677">
        <v>4.7670369529999999</v>
      </c>
      <c r="X677" t="s">
        <v>46</v>
      </c>
      <c r="Y677" t="s">
        <v>60</v>
      </c>
      <c r="Z677">
        <v>150.71415094423901</v>
      </c>
    </row>
    <row r="678" spans="1:26" x14ac:dyDescent="0.3">
      <c r="A678" t="s">
        <v>72</v>
      </c>
      <c r="B678" t="s">
        <v>734</v>
      </c>
      <c r="C678">
        <v>34.074524933395097</v>
      </c>
      <c r="D678">
        <v>23</v>
      </c>
      <c r="E678">
        <v>795</v>
      </c>
      <c r="F678">
        <v>24380.3225898442</v>
      </c>
      <c r="G678" t="s">
        <v>26</v>
      </c>
      <c r="H678">
        <v>23</v>
      </c>
      <c r="I678">
        <v>22</v>
      </c>
      <c r="J678">
        <v>25</v>
      </c>
      <c r="K678">
        <v>2</v>
      </c>
      <c r="L678" t="s">
        <v>36</v>
      </c>
      <c r="M678">
        <v>7.4762742897032304</v>
      </c>
      <c r="N678" t="s">
        <v>37</v>
      </c>
      <c r="O678" t="s">
        <v>29</v>
      </c>
      <c r="P678">
        <f>VLOOKUP(O678, Coordinates!$A$2:$C$6, 2, FALSE)</f>
        <v>29.760400000000001</v>
      </c>
      <c r="Q678">
        <f>VLOOKUP(O678, Coordinates!$A$2:$C$6, 3, FALSE)</f>
        <v>-95.369799999999998</v>
      </c>
      <c r="R678">
        <v>26</v>
      </c>
      <c r="S678">
        <v>997</v>
      </c>
      <c r="T678">
        <v>29</v>
      </c>
      <c r="U678">
        <v>87.704801289979599</v>
      </c>
      <c r="V678" t="s">
        <v>55</v>
      </c>
      <c r="W678">
        <v>3.6568296728040699</v>
      </c>
      <c r="X678" t="s">
        <v>31</v>
      </c>
      <c r="Y678" t="s">
        <v>32</v>
      </c>
      <c r="Z678">
        <v>852.15948939064901</v>
      </c>
    </row>
    <row r="679" spans="1:26" x14ac:dyDescent="0.3">
      <c r="A679" t="s">
        <v>42</v>
      </c>
      <c r="B679" t="s">
        <v>735</v>
      </c>
      <c r="C679">
        <v>41.502763913051197</v>
      </c>
      <c r="D679">
        <v>54</v>
      </c>
      <c r="E679">
        <v>722</v>
      </c>
      <c r="F679">
        <v>5527.6149036882498</v>
      </c>
      <c r="G679" t="s">
        <v>54</v>
      </c>
      <c r="H679">
        <v>28</v>
      </c>
      <c r="I679">
        <v>4</v>
      </c>
      <c r="J679">
        <v>90</v>
      </c>
      <c r="K679">
        <v>3</v>
      </c>
      <c r="L679" t="s">
        <v>44</v>
      </c>
      <c r="M679">
        <v>3.61354162743983</v>
      </c>
      <c r="N679" t="s">
        <v>51</v>
      </c>
      <c r="O679" t="s">
        <v>38</v>
      </c>
      <c r="P679">
        <f>VLOOKUP(O679, Coordinates!$A$2:$C$6, 2, FALSE)</f>
        <v>25.761700000000001</v>
      </c>
      <c r="Q679">
        <f>VLOOKUP(O679, Coordinates!$A$2:$C$6, 3, FALSE)</f>
        <v>-80.191800000000001</v>
      </c>
      <c r="R679">
        <v>7</v>
      </c>
      <c r="S679">
        <v>229</v>
      </c>
      <c r="T679">
        <v>19</v>
      </c>
      <c r="U679">
        <v>60.416262655016297</v>
      </c>
      <c r="V679" t="s">
        <v>30</v>
      </c>
      <c r="W679">
        <v>2.06030460830811</v>
      </c>
      <c r="X679" t="s">
        <v>46</v>
      </c>
      <c r="Y679" t="s">
        <v>60</v>
      </c>
      <c r="Z679">
        <v>607.81294140338696</v>
      </c>
    </row>
    <row r="680" spans="1:26" x14ac:dyDescent="0.3">
      <c r="A680" t="s">
        <v>33</v>
      </c>
      <c r="B680" t="s">
        <v>736</v>
      </c>
      <c r="C680">
        <v>47.761719312283503</v>
      </c>
      <c r="D680">
        <v>80</v>
      </c>
      <c r="E680">
        <v>610</v>
      </c>
      <c r="F680">
        <v>6258.0230994854601</v>
      </c>
      <c r="G680" t="s">
        <v>54</v>
      </c>
      <c r="H680">
        <v>66</v>
      </c>
      <c r="I680">
        <v>21</v>
      </c>
      <c r="J680">
        <v>64</v>
      </c>
      <c r="K680">
        <v>10</v>
      </c>
      <c r="L680" t="s">
        <v>44</v>
      </c>
      <c r="M680">
        <v>12.768001723984399</v>
      </c>
      <c r="N680" t="s">
        <v>51</v>
      </c>
      <c r="O680" t="s">
        <v>58</v>
      </c>
      <c r="P680">
        <f>VLOOKUP(O680, Coordinates!$A$2:$C$6, 2, FALSE)</f>
        <v>34.052199999999999</v>
      </c>
      <c r="Q680">
        <f>VLOOKUP(O680, Coordinates!$A$2:$C$6, 3, FALSE)</f>
        <v>-118.2437</v>
      </c>
      <c r="R680">
        <v>6</v>
      </c>
      <c r="S680">
        <v>584</v>
      </c>
      <c r="T680">
        <v>27</v>
      </c>
      <c r="U680">
        <v>95.914423250229703</v>
      </c>
      <c r="V680" t="s">
        <v>30</v>
      </c>
      <c r="W680">
        <v>1.0349261164314101</v>
      </c>
      <c r="X680" t="s">
        <v>46</v>
      </c>
      <c r="Y680" t="s">
        <v>41</v>
      </c>
      <c r="Z680">
        <v>950.21442731272896</v>
      </c>
    </row>
    <row r="681" spans="1:26" x14ac:dyDescent="0.3">
      <c r="A681" t="s">
        <v>82</v>
      </c>
      <c r="B681" t="s">
        <v>737</v>
      </c>
      <c r="C681">
        <v>60.03030361295</v>
      </c>
      <c r="D681">
        <v>65</v>
      </c>
      <c r="E681">
        <v>741</v>
      </c>
      <c r="F681">
        <v>9281.7728746684606</v>
      </c>
      <c r="G681" t="s">
        <v>54</v>
      </c>
      <c r="H681">
        <v>67</v>
      </c>
      <c r="I681">
        <v>21</v>
      </c>
      <c r="J681">
        <v>70</v>
      </c>
      <c r="K681">
        <v>4</v>
      </c>
      <c r="L681" t="s">
        <v>27</v>
      </c>
      <c r="M681">
        <v>12.758716648224899</v>
      </c>
      <c r="N681" t="s">
        <v>28</v>
      </c>
      <c r="O681" t="s">
        <v>29</v>
      </c>
      <c r="P681">
        <f>VLOOKUP(O681, Coordinates!$A$2:$C$6, 2, FALSE)</f>
        <v>29.760400000000001</v>
      </c>
      <c r="Q681">
        <f>VLOOKUP(O681, Coordinates!$A$2:$C$6, 3, FALSE)</f>
        <v>-95.369799999999998</v>
      </c>
      <c r="R681">
        <v>1</v>
      </c>
      <c r="S681">
        <v>102</v>
      </c>
      <c r="T681">
        <v>23</v>
      </c>
      <c r="U681">
        <v>30.508751356567601</v>
      </c>
      <c r="V681" t="s">
        <v>30</v>
      </c>
      <c r="W681">
        <v>0.89998173782934499</v>
      </c>
      <c r="X681" t="s">
        <v>40</v>
      </c>
      <c r="Y681" t="s">
        <v>60</v>
      </c>
      <c r="Z681">
        <v>766.41252387997099</v>
      </c>
    </row>
    <row r="682" spans="1:26" x14ac:dyDescent="0.3">
      <c r="A682" t="s">
        <v>24</v>
      </c>
      <c r="B682" t="s">
        <v>738</v>
      </c>
      <c r="C682">
        <v>22.274251610360601</v>
      </c>
      <c r="D682">
        <v>12</v>
      </c>
      <c r="E682">
        <v>817</v>
      </c>
      <c r="F682">
        <v>16378.257209098199</v>
      </c>
      <c r="G682" t="s">
        <v>35</v>
      </c>
      <c r="H682">
        <v>65</v>
      </c>
      <c r="I682">
        <v>19</v>
      </c>
      <c r="J682">
        <v>88</v>
      </c>
      <c r="K682">
        <v>4</v>
      </c>
      <c r="L682" t="s">
        <v>36</v>
      </c>
      <c r="M682">
        <v>4.30910188987973</v>
      </c>
      <c r="N682" t="s">
        <v>28</v>
      </c>
      <c r="O682" t="s">
        <v>65</v>
      </c>
      <c r="P682">
        <f>VLOOKUP(O682, Coordinates!$A$2:$C$6, 2, FALSE)</f>
        <v>41.878100000000003</v>
      </c>
      <c r="Q682">
        <f>VLOOKUP(O682, Coordinates!$A$2:$C$6, 3, FALSE)</f>
        <v>-87.629800000000003</v>
      </c>
      <c r="R682">
        <v>15</v>
      </c>
      <c r="S682">
        <v>450</v>
      </c>
      <c r="T682">
        <v>21</v>
      </c>
      <c r="U682">
        <v>85.678636080059903</v>
      </c>
      <c r="V682" t="s">
        <v>30</v>
      </c>
      <c r="W682">
        <v>0.72458124193885798</v>
      </c>
      <c r="X682" t="s">
        <v>46</v>
      </c>
      <c r="Y682" t="s">
        <v>60</v>
      </c>
      <c r="Z682">
        <v>202.926685361094</v>
      </c>
    </row>
    <row r="683" spans="1:26" x14ac:dyDescent="0.3">
      <c r="A683" t="s">
        <v>42</v>
      </c>
      <c r="B683" t="s">
        <v>739</v>
      </c>
      <c r="C683">
        <v>14.3929936758603</v>
      </c>
      <c r="D683">
        <v>24</v>
      </c>
      <c r="E683">
        <v>834</v>
      </c>
      <c r="F683">
        <v>6161.49626441694</v>
      </c>
      <c r="G683" t="s">
        <v>26</v>
      </c>
      <c r="H683">
        <v>83</v>
      </c>
      <c r="I683">
        <v>16</v>
      </c>
      <c r="J683">
        <v>86</v>
      </c>
      <c r="K683">
        <v>10</v>
      </c>
      <c r="L683" t="s">
        <v>44</v>
      </c>
      <c r="M683">
        <v>5.4559921436305503</v>
      </c>
      <c r="N683" t="s">
        <v>57</v>
      </c>
      <c r="O683" t="s">
        <v>38</v>
      </c>
      <c r="P683">
        <f>VLOOKUP(O683, Coordinates!$A$2:$C$6, 2, FALSE)</f>
        <v>25.761700000000001</v>
      </c>
      <c r="Q683">
        <f>VLOOKUP(O683, Coordinates!$A$2:$C$6, 3, FALSE)</f>
        <v>-80.191800000000001</v>
      </c>
      <c r="R683">
        <v>27</v>
      </c>
      <c r="S683">
        <v>654</v>
      </c>
      <c r="T683">
        <v>25</v>
      </c>
      <c r="U683">
        <v>35.4622140774323</v>
      </c>
      <c r="V683" t="s">
        <v>30</v>
      </c>
      <c r="W683">
        <v>1.1030482132075801</v>
      </c>
      <c r="X683" t="s">
        <v>46</v>
      </c>
      <c r="Y683" t="s">
        <v>41</v>
      </c>
      <c r="Z683">
        <v>940.60041985667704</v>
      </c>
    </row>
    <row r="684" spans="1:26" x14ac:dyDescent="0.3">
      <c r="A684" t="s">
        <v>24</v>
      </c>
      <c r="B684" t="s">
        <v>740</v>
      </c>
      <c r="C684">
        <v>26.7630836297324</v>
      </c>
      <c r="D684">
        <v>34</v>
      </c>
      <c r="E684">
        <v>467</v>
      </c>
      <c r="F684">
        <v>11248.524049576499</v>
      </c>
      <c r="G684" t="s">
        <v>26</v>
      </c>
      <c r="H684">
        <v>53</v>
      </c>
      <c r="I684">
        <v>28</v>
      </c>
      <c r="J684">
        <v>49</v>
      </c>
      <c r="K684">
        <v>8</v>
      </c>
      <c r="L684" t="s">
        <v>44</v>
      </c>
      <c r="M684">
        <v>10.8346889824449</v>
      </c>
      <c r="N684" t="s">
        <v>51</v>
      </c>
      <c r="O684" t="s">
        <v>65</v>
      </c>
      <c r="P684">
        <f>VLOOKUP(O684, Coordinates!$A$2:$C$6, 2, FALSE)</f>
        <v>41.878100000000003</v>
      </c>
      <c r="Q684">
        <f>VLOOKUP(O684, Coordinates!$A$2:$C$6, 3, FALSE)</f>
        <v>-87.629800000000003</v>
      </c>
      <c r="R684">
        <v>12</v>
      </c>
      <c r="S684">
        <v>232</v>
      </c>
      <c r="T684">
        <v>11</v>
      </c>
      <c r="U684">
        <v>80.888577237207599</v>
      </c>
      <c r="V684" t="s">
        <v>39</v>
      </c>
      <c r="W684">
        <v>2.7531800667369701</v>
      </c>
      <c r="X684" t="s">
        <v>52</v>
      </c>
      <c r="Y684" t="s">
        <v>41</v>
      </c>
      <c r="Z684">
        <v>754.84770600516799</v>
      </c>
    </row>
    <row r="685" spans="1:26" x14ac:dyDescent="0.3">
      <c r="A685" t="s">
        <v>82</v>
      </c>
      <c r="B685" t="s">
        <v>741</v>
      </c>
      <c r="C685">
        <v>6.1694217865271801</v>
      </c>
      <c r="D685">
        <v>53</v>
      </c>
      <c r="E685">
        <v>203</v>
      </c>
      <c r="F685">
        <v>3177.3495530731202</v>
      </c>
      <c r="G685" t="s">
        <v>26</v>
      </c>
      <c r="H685">
        <v>52</v>
      </c>
      <c r="I685">
        <v>4</v>
      </c>
      <c r="J685">
        <v>100</v>
      </c>
      <c r="K685">
        <v>7</v>
      </c>
      <c r="L685" t="s">
        <v>44</v>
      </c>
      <c r="M685">
        <v>11.3357229277717</v>
      </c>
      <c r="N685" t="s">
        <v>51</v>
      </c>
      <c r="O685" t="s">
        <v>29</v>
      </c>
      <c r="P685">
        <f>VLOOKUP(O685, Coordinates!$A$2:$C$6, 2, FALSE)</f>
        <v>29.760400000000001</v>
      </c>
      <c r="Q685">
        <f>VLOOKUP(O685, Coordinates!$A$2:$C$6, 3, FALSE)</f>
        <v>-95.369799999999998</v>
      </c>
      <c r="R685">
        <v>13</v>
      </c>
      <c r="S685">
        <v>789</v>
      </c>
      <c r="T685">
        <v>3</v>
      </c>
      <c r="U685">
        <v>54.8537678289415</v>
      </c>
      <c r="V685" t="s">
        <v>30</v>
      </c>
      <c r="W685">
        <v>3.4187253164392</v>
      </c>
      <c r="X685" t="s">
        <v>40</v>
      </c>
      <c r="Y685" t="s">
        <v>32</v>
      </c>
      <c r="Z685">
        <v>286.451940640403</v>
      </c>
    </row>
    <row r="686" spans="1:26" x14ac:dyDescent="0.3">
      <c r="A686" t="s">
        <v>49</v>
      </c>
      <c r="B686" t="s">
        <v>742</v>
      </c>
      <c r="C686">
        <v>40.154971794054198</v>
      </c>
      <c r="D686">
        <v>8</v>
      </c>
      <c r="E686">
        <v>275</v>
      </c>
      <c r="F686">
        <v>8886.6311367154303</v>
      </c>
      <c r="G686" t="s">
        <v>48</v>
      </c>
      <c r="H686">
        <v>78</v>
      </c>
      <c r="I686">
        <v>19</v>
      </c>
      <c r="J686">
        <v>30</v>
      </c>
      <c r="K686">
        <v>1</v>
      </c>
      <c r="L686" t="s">
        <v>36</v>
      </c>
      <c r="M686">
        <v>10.206842429601201</v>
      </c>
      <c r="N686" t="s">
        <v>28</v>
      </c>
      <c r="O686" t="s">
        <v>29</v>
      </c>
      <c r="P686">
        <f>VLOOKUP(O686, Coordinates!$A$2:$C$6, 2, FALSE)</f>
        <v>29.760400000000001</v>
      </c>
      <c r="Q686">
        <f>VLOOKUP(O686, Coordinates!$A$2:$C$6, 3, FALSE)</f>
        <v>-95.369799999999998</v>
      </c>
      <c r="R686">
        <v>8</v>
      </c>
      <c r="S686">
        <v>593</v>
      </c>
      <c r="T686">
        <v>27</v>
      </c>
      <c r="U686">
        <v>16.4084054730844</v>
      </c>
      <c r="V686" t="s">
        <v>55</v>
      </c>
      <c r="W686">
        <v>1.57028280508134</v>
      </c>
      <c r="X686" t="s">
        <v>31</v>
      </c>
      <c r="Y686" t="s">
        <v>41</v>
      </c>
      <c r="Z686">
        <v>640.57836779108698</v>
      </c>
    </row>
    <row r="687" spans="1:26" x14ac:dyDescent="0.3">
      <c r="A687" t="s">
        <v>82</v>
      </c>
      <c r="B687" t="s">
        <v>743</v>
      </c>
      <c r="C687">
        <v>7.60492944740247</v>
      </c>
      <c r="D687">
        <v>18</v>
      </c>
      <c r="E687">
        <v>750</v>
      </c>
      <c r="F687">
        <v>1171.39068346862</v>
      </c>
      <c r="G687" t="s">
        <v>35</v>
      </c>
      <c r="H687">
        <v>48</v>
      </c>
      <c r="I687">
        <v>23</v>
      </c>
      <c r="J687">
        <v>75</v>
      </c>
      <c r="K687">
        <v>10</v>
      </c>
      <c r="L687" t="s">
        <v>27</v>
      </c>
      <c r="M687">
        <v>14.953724925366201</v>
      </c>
      <c r="N687" t="s">
        <v>37</v>
      </c>
      <c r="O687" t="s">
        <v>58</v>
      </c>
      <c r="P687">
        <f>VLOOKUP(O687, Coordinates!$A$2:$C$6, 2, FALSE)</f>
        <v>34.052199999999999</v>
      </c>
      <c r="Q687">
        <f>VLOOKUP(O687, Coordinates!$A$2:$C$6, 3, FALSE)</f>
        <v>-118.2437</v>
      </c>
      <c r="R687">
        <v>9</v>
      </c>
      <c r="S687">
        <v>365</v>
      </c>
      <c r="T687">
        <v>16</v>
      </c>
      <c r="U687">
        <v>44.587631169395401</v>
      </c>
      <c r="V687" t="s">
        <v>39</v>
      </c>
      <c r="W687">
        <v>2.7437348475393102</v>
      </c>
      <c r="X687" t="s">
        <v>40</v>
      </c>
      <c r="Y687" t="s">
        <v>60</v>
      </c>
      <c r="Z687">
        <v>502.89692543048</v>
      </c>
    </row>
    <row r="688" spans="1:26" x14ac:dyDescent="0.3">
      <c r="A688" t="s">
        <v>72</v>
      </c>
      <c r="B688" t="s">
        <v>744</v>
      </c>
      <c r="C688">
        <v>33.676616385997498</v>
      </c>
      <c r="D688">
        <v>57</v>
      </c>
      <c r="E688">
        <v>562</v>
      </c>
      <c r="F688">
        <v>17033.632568037501</v>
      </c>
      <c r="G688" t="s">
        <v>35</v>
      </c>
      <c r="H688">
        <v>31</v>
      </c>
      <c r="I688">
        <v>15</v>
      </c>
      <c r="J688">
        <v>17</v>
      </c>
      <c r="K688">
        <v>4</v>
      </c>
      <c r="L688" t="s">
        <v>36</v>
      </c>
      <c r="M688">
        <v>13.161564967791501</v>
      </c>
      <c r="N688" t="s">
        <v>28</v>
      </c>
      <c r="O688" t="s">
        <v>65</v>
      </c>
      <c r="P688">
        <f>VLOOKUP(O688, Coordinates!$A$2:$C$6, 2, FALSE)</f>
        <v>41.878100000000003</v>
      </c>
      <c r="Q688">
        <f>VLOOKUP(O688, Coordinates!$A$2:$C$6, 3, FALSE)</f>
        <v>-87.629800000000003</v>
      </c>
      <c r="R688">
        <v>1</v>
      </c>
      <c r="S688">
        <v>123</v>
      </c>
      <c r="T688">
        <v>22</v>
      </c>
      <c r="U688">
        <v>79.729207872993896</v>
      </c>
      <c r="V688" t="s">
        <v>30</v>
      </c>
      <c r="W688">
        <v>1.70626329726925</v>
      </c>
      <c r="X688" t="s">
        <v>46</v>
      </c>
      <c r="Y688" t="s">
        <v>41</v>
      </c>
      <c r="Z688">
        <v>282.12744170000002</v>
      </c>
    </row>
    <row r="689" spans="1:26" x14ac:dyDescent="0.3">
      <c r="A689" t="s">
        <v>82</v>
      </c>
      <c r="B689" t="s">
        <v>745</v>
      </c>
      <c r="C689">
        <v>54.952196892965702</v>
      </c>
      <c r="D689">
        <v>5</v>
      </c>
      <c r="E689">
        <v>68</v>
      </c>
      <c r="F689">
        <v>9398.0189905178704</v>
      </c>
      <c r="G689" t="s">
        <v>48</v>
      </c>
      <c r="H689">
        <v>60</v>
      </c>
      <c r="I689">
        <v>1</v>
      </c>
      <c r="J689">
        <v>80</v>
      </c>
      <c r="K689">
        <v>1</v>
      </c>
      <c r="L689" t="s">
        <v>36</v>
      </c>
      <c r="M689">
        <v>6.83882433053531</v>
      </c>
      <c r="N689" t="s">
        <v>37</v>
      </c>
      <c r="O689" t="s">
        <v>38</v>
      </c>
      <c r="P689">
        <f>VLOOKUP(O689, Coordinates!$A$2:$C$6, 2, FALSE)</f>
        <v>25.761700000000001</v>
      </c>
      <c r="Q689">
        <f>VLOOKUP(O689, Coordinates!$A$2:$C$6, 3, FALSE)</f>
        <v>-80.191800000000001</v>
      </c>
      <c r="R689">
        <v>5</v>
      </c>
      <c r="S689">
        <v>633</v>
      </c>
      <c r="T689">
        <v>10</v>
      </c>
      <c r="U689">
        <v>24.4091400131596</v>
      </c>
      <c r="V689" t="s">
        <v>39</v>
      </c>
      <c r="W689">
        <v>3.4825498683699698</v>
      </c>
      <c r="X689" t="s">
        <v>31</v>
      </c>
      <c r="Y689" t="s">
        <v>41</v>
      </c>
      <c r="Z689">
        <v>899.544438826337</v>
      </c>
    </row>
    <row r="690" spans="1:26" x14ac:dyDescent="0.3">
      <c r="A690" t="s">
        <v>82</v>
      </c>
      <c r="B690" t="s">
        <v>746</v>
      </c>
      <c r="C690">
        <v>53.609731725243599</v>
      </c>
      <c r="D690">
        <v>26</v>
      </c>
      <c r="E690">
        <v>234</v>
      </c>
      <c r="F690">
        <v>6914.7789549999998</v>
      </c>
      <c r="G690" t="s">
        <v>35</v>
      </c>
      <c r="H690">
        <v>41</v>
      </c>
      <c r="I690">
        <v>16</v>
      </c>
      <c r="J690">
        <v>19</v>
      </c>
      <c r="K690">
        <v>5</v>
      </c>
      <c r="L690" t="s">
        <v>44</v>
      </c>
      <c r="M690">
        <v>5.5776741015863696</v>
      </c>
      <c r="N690" t="s">
        <v>28</v>
      </c>
      <c r="O690" t="s">
        <v>58</v>
      </c>
      <c r="P690">
        <f>VLOOKUP(O690, Coordinates!$A$2:$C$6, 2, FALSE)</f>
        <v>34.052199999999999</v>
      </c>
      <c r="Q690">
        <f>VLOOKUP(O690, Coordinates!$A$2:$C$6, 3, FALSE)</f>
        <v>-118.2437</v>
      </c>
      <c r="R690">
        <v>7</v>
      </c>
      <c r="S690">
        <v>956</v>
      </c>
      <c r="T690">
        <v>2</v>
      </c>
      <c r="U690">
        <v>87.471536074741906</v>
      </c>
      <c r="V690" t="s">
        <v>30</v>
      </c>
      <c r="W690">
        <v>4.9424311016012501</v>
      </c>
      <c r="X690" t="s">
        <v>46</v>
      </c>
      <c r="Y690" t="s">
        <v>32</v>
      </c>
      <c r="Z690">
        <v>491.97480334061402</v>
      </c>
    </row>
    <row r="691" spans="1:26" x14ac:dyDescent="0.3">
      <c r="A691" t="s">
        <v>72</v>
      </c>
      <c r="B691" t="s">
        <v>747</v>
      </c>
      <c r="C691">
        <v>31.204621354661199</v>
      </c>
      <c r="D691">
        <v>30</v>
      </c>
      <c r="E691">
        <v>946</v>
      </c>
      <c r="F691">
        <v>26567.6146213586</v>
      </c>
      <c r="G691" t="s">
        <v>48</v>
      </c>
      <c r="H691">
        <v>0</v>
      </c>
      <c r="I691">
        <v>15</v>
      </c>
      <c r="J691">
        <v>66</v>
      </c>
      <c r="K691">
        <v>3</v>
      </c>
      <c r="L691" t="s">
        <v>36</v>
      </c>
      <c r="M691">
        <v>9.3558964719451208</v>
      </c>
      <c r="N691" t="s">
        <v>45</v>
      </c>
      <c r="O691" t="s">
        <v>38</v>
      </c>
      <c r="P691">
        <f>VLOOKUP(O691, Coordinates!$A$2:$C$6, 2, FALSE)</f>
        <v>25.761700000000001</v>
      </c>
      <c r="Q691">
        <f>VLOOKUP(O691, Coordinates!$A$2:$C$6, 3, FALSE)</f>
        <v>-80.191800000000001</v>
      </c>
      <c r="R691">
        <v>29</v>
      </c>
      <c r="S691">
        <v>102</v>
      </c>
      <c r="T691">
        <v>19</v>
      </c>
      <c r="U691">
        <v>79.600675622460599</v>
      </c>
      <c r="V691" t="s">
        <v>39</v>
      </c>
      <c r="W691">
        <v>4.3229623069202097</v>
      </c>
      <c r="X691" t="s">
        <v>40</v>
      </c>
      <c r="Y691" t="s">
        <v>60</v>
      </c>
      <c r="Z691">
        <v>638.95597799999996</v>
      </c>
    </row>
    <row r="692" spans="1:26" x14ac:dyDescent="0.3">
      <c r="A692" t="s">
        <v>33</v>
      </c>
      <c r="B692" t="s">
        <v>748</v>
      </c>
      <c r="C692">
        <v>66.345348459083098</v>
      </c>
      <c r="D692">
        <v>54</v>
      </c>
      <c r="E692">
        <v>956</v>
      </c>
      <c r="F692">
        <v>1403.92914825446</v>
      </c>
      <c r="G692" t="s">
        <v>54</v>
      </c>
      <c r="H692">
        <v>62</v>
      </c>
      <c r="I692">
        <v>16</v>
      </c>
      <c r="J692">
        <v>13</v>
      </c>
      <c r="K692">
        <v>3</v>
      </c>
      <c r="L692" t="s">
        <v>36</v>
      </c>
      <c r="M692">
        <v>12.446908701669001</v>
      </c>
      <c r="N692" t="s">
        <v>51</v>
      </c>
      <c r="O692" t="s">
        <v>29</v>
      </c>
      <c r="P692">
        <f>VLOOKUP(O692, Coordinates!$A$2:$C$6, 2, FALSE)</f>
        <v>29.760400000000001</v>
      </c>
      <c r="Q692">
        <f>VLOOKUP(O692, Coordinates!$A$2:$C$6, 3, FALSE)</f>
        <v>-95.369799999999998</v>
      </c>
      <c r="R692">
        <v>22</v>
      </c>
      <c r="S692">
        <v>769</v>
      </c>
      <c r="T692">
        <v>4</v>
      </c>
      <c r="U692">
        <v>98.372816156231394</v>
      </c>
      <c r="V692" t="s">
        <v>30</v>
      </c>
      <c r="W692">
        <v>0.29515288418826602</v>
      </c>
      <c r="X692" t="s">
        <v>40</v>
      </c>
      <c r="Y692" t="s">
        <v>32</v>
      </c>
      <c r="Z692">
        <v>327.73387184674402</v>
      </c>
    </row>
    <row r="693" spans="1:26" x14ac:dyDescent="0.3">
      <c r="A693" t="s">
        <v>82</v>
      </c>
      <c r="B693" t="s">
        <v>749</v>
      </c>
      <c r="C693">
        <v>9.2539527980000003</v>
      </c>
      <c r="D693">
        <v>13</v>
      </c>
      <c r="E693">
        <v>253</v>
      </c>
      <c r="F693">
        <v>9281.0243200000004</v>
      </c>
      <c r="G693" t="s">
        <v>54</v>
      </c>
      <c r="H693">
        <v>34</v>
      </c>
      <c r="I693">
        <v>22</v>
      </c>
      <c r="J693">
        <v>52</v>
      </c>
      <c r="K693">
        <v>4</v>
      </c>
      <c r="L693" t="s">
        <v>44</v>
      </c>
      <c r="M693">
        <v>7.6548086319999999</v>
      </c>
      <c r="N693" t="s">
        <v>37</v>
      </c>
      <c r="O693" t="s">
        <v>58</v>
      </c>
      <c r="P693">
        <f>VLOOKUP(O693, Coordinates!$A$2:$C$6, 2, FALSE)</f>
        <v>34.052199999999999</v>
      </c>
      <c r="Q693">
        <f>VLOOKUP(O693, Coordinates!$A$2:$C$6, 3, FALSE)</f>
        <v>-118.2437</v>
      </c>
      <c r="R693">
        <v>8</v>
      </c>
      <c r="S693">
        <v>979</v>
      </c>
      <c r="T693">
        <v>16</v>
      </c>
      <c r="U693">
        <v>90.973715413399603</v>
      </c>
      <c r="V693" t="s">
        <v>55</v>
      </c>
      <c r="W693">
        <v>2.3861747891699401</v>
      </c>
      <c r="X693" t="s">
        <v>46</v>
      </c>
      <c r="Y693" t="s">
        <v>32</v>
      </c>
      <c r="Z693">
        <v>412.12445952191501</v>
      </c>
    </row>
    <row r="694" spans="1:26" x14ac:dyDescent="0.3">
      <c r="A694" t="s">
        <v>72</v>
      </c>
      <c r="B694" t="s">
        <v>750</v>
      </c>
      <c r="C694">
        <v>33.565272766550102</v>
      </c>
      <c r="D694">
        <v>83</v>
      </c>
      <c r="E694">
        <v>250</v>
      </c>
      <c r="F694">
        <v>7552.1863724737696</v>
      </c>
      <c r="G694" t="s">
        <v>35</v>
      </c>
      <c r="H694">
        <v>50</v>
      </c>
      <c r="I694">
        <v>20</v>
      </c>
      <c r="J694">
        <v>72</v>
      </c>
      <c r="K694">
        <v>2</v>
      </c>
      <c r="L694" t="s">
        <v>44</v>
      </c>
      <c r="M694">
        <v>11.3276964956429</v>
      </c>
      <c r="N694" t="s">
        <v>45</v>
      </c>
      <c r="O694" t="s">
        <v>38</v>
      </c>
      <c r="P694">
        <f>VLOOKUP(O694, Coordinates!$A$2:$C$6, 2, FALSE)</f>
        <v>25.761700000000001</v>
      </c>
      <c r="Q694">
        <f>VLOOKUP(O694, Coordinates!$A$2:$C$6, 3, FALSE)</f>
        <v>-80.191800000000001</v>
      </c>
      <c r="R694">
        <v>26</v>
      </c>
      <c r="S694">
        <v>526</v>
      </c>
      <c r="T694">
        <v>6</v>
      </c>
      <c r="U694">
        <v>83.142456523399701</v>
      </c>
      <c r="V694" t="s">
        <v>39</v>
      </c>
      <c r="W694">
        <v>4.3792312747466902</v>
      </c>
      <c r="X694" t="s">
        <v>46</v>
      </c>
      <c r="Y694" t="s">
        <v>60</v>
      </c>
      <c r="Z694">
        <v>144.08545469187399</v>
      </c>
    </row>
    <row r="695" spans="1:26" x14ac:dyDescent="0.3">
      <c r="A695" t="s">
        <v>42</v>
      </c>
      <c r="B695" t="s">
        <v>751</v>
      </c>
      <c r="C695">
        <v>94.931221229386793</v>
      </c>
      <c r="D695">
        <v>29</v>
      </c>
      <c r="E695">
        <v>970</v>
      </c>
      <c r="F695">
        <v>1260.97069902353</v>
      </c>
      <c r="G695" t="s">
        <v>54</v>
      </c>
      <c r="H695">
        <v>4</v>
      </c>
      <c r="I695">
        <v>26</v>
      </c>
      <c r="J695">
        <v>52</v>
      </c>
      <c r="K695">
        <v>7</v>
      </c>
      <c r="L695" t="s">
        <v>36</v>
      </c>
      <c r="M695">
        <v>1.2682405530845899</v>
      </c>
      <c r="N695" t="s">
        <v>37</v>
      </c>
      <c r="O695" t="s">
        <v>67</v>
      </c>
      <c r="P695">
        <f>VLOOKUP(O695, Coordinates!$A$2:$C$6, 2, FALSE)</f>
        <v>40.712800000000001</v>
      </c>
      <c r="Q695">
        <f>VLOOKUP(O695, Coordinates!$A$2:$C$6, 3, FALSE)</f>
        <v>-74.006</v>
      </c>
      <c r="R695">
        <v>26</v>
      </c>
      <c r="S695">
        <v>103</v>
      </c>
      <c r="T695">
        <v>11</v>
      </c>
      <c r="U695">
        <v>55.460995510414399</v>
      </c>
      <c r="V695" t="s">
        <v>39</v>
      </c>
      <c r="W695">
        <v>2.7112080312679101</v>
      </c>
      <c r="X695" t="s">
        <v>46</v>
      </c>
      <c r="Y695" t="s">
        <v>41</v>
      </c>
      <c r="Z695">
        <v>534.89289935353997</v>
      </c>
    </row>
    <row r="696" spans="1:26" x14ac:dyDescent="0.3">
      <c r="A696" t="s">
        <v>49</v>
      </c>
      <c r="B696" t="s">
        <v>752</v>
      </c>
      <c r="C696">
        <v>37.27803858</v>
      </c>
      <c r="D696">
        <v>3</v>
      </c>
      <c r="E696">
        <v>591</v>
      </c>
      <c r="F696">
        <v>7208.38964195885</v>
      </c>
      <c r="G696" t="s">
        <v>54</v>
      </c>
      <c r="H696">
        <v>44</v>
      </c>
      <c r="I696">
        <v>17</v>
      </c>
      <c r="J696">
        <v>76</v>
      </c>
      <c r="K696">
        <v>4</v>
      </c>
      <c r="L696" t="s">
        <v>44</v>
      </c>
      <c r="M696">
        <v>13.9617615161734</v>
      </c>
      <c r="N696" t="s">
        <v>57</v>
      </c>
      <c r="O696" t="s">
        <v>67</v>
      </c>
      <c r="P696">
        <f>VLOOKUP(O696, Coordinates!$A$2:$C$6, 2, FALSE)</f>
        <v>40.712800000000001</v>
      </c>
      <c r="Q696">
        <f>VLOOKUP(O696, Coordinates!$A$2:$C$6, 3, FALSE)</f>
        <v>-74.006</v>
      </c>
      <c r="R696">
        <v>10</v>
      </c>
      <c r="S696">
        <v>718</v>
      </c>
      <c r="T696">
        <v>17</v>
      </c>
      <c r="U696">
        <v>64.1623724529897</v>
      </c>
      <c r="V696" t="s">
        <v>30</v>
      </c>
      <c r="W696">
        <v>4.7553151490000003</v>
      </c>
      <c r="X696" t="s">
        <v>52</v>
      </c>
      <c r="Y696" t="s">
        <v>60</v>
      </c>
      <c r="Z696">
        <v>410.36146643937002</v>
      </c>
    </row>
    <row r="697" spans="1:26" x14ac:dyDescent="0.3">
      <c r="A697" t="s">
        <v>49</v>
      </c>
      <c r="B697" t="s">
        <v>753</v>
      </c>
      <c r="C697">
        <v>54.137741262861503</v>
      </c>
      <c r="D697">
        <v>90</v>
      </c>
      <c r="E697">
        <v>161</v>
      </c>
      <c r="F697">
        <v>5336.5352821863198</v>
      </c>
      <c r="G697" t="s">
        <v>54</v>
      </c>
      <c r="H697">
        <v>76</v>
      </c>
      <c r="I697">
        <v>5</v>
      </c>
      <c r="J697">
        <v>91</v>
      </c>
      <c r="K697">
        <v>5</v>
      </c>
      <c r="L697" t="s">
        <v>27</v>
      </c>
      <c r="M697">
        <v>11.833686185216299</v>
      </c>
      <c r="N697" t="s">
        <v>57</v>
      </c>
      <c r="O697" t="s">
        <v>58</v>
      </c>
      <c r="P697">
        <f>VLOOKUP(O697, Coordinates!$A$2:$C$6, 2, FALSE)</f>
        <v>34.052199999999999</v>
      </c>
      <c r="Q697">
        <f>VLOOKUP(O697, Coordinates!$A$2:$C$6, 3, FALSE)</f>
        <v>-118.2437</v>
      </c>
      <c r="R697">
        <v>29</v>
      </c>
      <c r="S697">
        <v>907</v>
      </c>
      <c r="T697">
        <v>15</v>
      </c>
      <c r="U697">
        <v>83.706445259999995</v>
      </c>
      <c r="V697" t="s">
        <v>30</v>
      </c>
      <c r="W697">
        <v>0.27385839602105599</v>
      </c>
      <c r="X697" t="s">
        <v>40</v>
      </c>
      <c r="Y697" t="s">
        <v>32</v>
      </c>
      <c r="Z697">
        <v>396.46339396372201</v>
      </c>
    </row>
    <row r="698" spans="1:26" x14ac:dyDescent="0.3">
      <c r="A698" t="s">
        <v>82</v>
      </c>
      <c r="B698" t="s">
        <v>754</v>
      </c>
      <c r="C698">
        <v>40.996476415587303</v>
      </c>
      <c r="D698">
        <v>58</v>
      </c>
      <c r="E698">
        <v>739</v>
      </c>
      <c r="G698" t="s">
        <v>26</v>
      </c>
      <c r="H698">
        <v>64</v>
      </c>
      <c r="I698">
        <v>30</v>
      </c>
      <c r="J698">
        <v>60</v>
      </c>
      <c r="K698">
        <v>2</v>
      </c>
      <c r="L698" t="s">
        <v>27</v>
      </c>
      <c r="M698">
        <v>6.5186612146978602</v>
      </c>
      <c r="N698" t="s">
        <v>51</v>
      </c>
      <c r="O698" t="s">
        <v>58</v>
      </c>
      <c r="P698">
        <f>VLOOKUP(O698, Coordinates!$A$2:$C$6, 2, FALSE)</f>
        <v>34.052199999999999</v>
      </c>
      <c r="Q698">
        <f>VLOOKUP(O698, Coordinates!$A$2:$C$6, 3, FALSE)</f>
        <v>-118.2437</v>
      </c>
      <c r="R698">
        <v>8</v>
      </c>
      <c r="S698">
        <v>883</v>
      </c>
      <c r="T698">
        <v>22</v>
      </c>
      <c r="U698">
        <v>89.707847468625502</v>
      </c>
      <c r="V698" t="s">
        <v>30</v>
      </c>
      <c r="W698">
        <v>1.45577771647839</v>
      </c>
      <c r="X698" t="s">
        <v>52</v>
      </c>
      <c r="Y698" t="s">
        <v>32</v>
      </c>
      <c r="Z698">
        <v>900.94896177323005</v>
      </c>
    </row>
    <row r="699" spans="1:26" x14ac:dyDescent="0.3">
      <c r="A699" t="s">
        <v>33</v>
      </c>
      <c r="B699" t="s">
        <v>755</v>
      </c>
      <c r="C699">
        <v>5.6374870788856901</v>
      </c>
      <c r="D699">
        <v>76</v>
      </c>
      <c r="E699">
        <v>706</v>
      </c>
      <c r="F699">
        <v>2928.4462837923302</v>
      </c>
      <c r="G699" t="s">
        <v>54</v>
      </c>
      <c r="H699">
        <v>13</v>
      </c>
      <c r="I699">
        <v>5</v>
      </c>
      <c r="J699">
        <v>65</v>
      </c>
      <c r="K699">
        <v>6</v>
      </c>
      <c r="L699" t="s">
        <v>27</v>
      </c>
      <c r="M699">
        <v>6.3761725572700803</v>
      </c>
      <c r="N699" t="s">
        <v>45</v>
      </c>
      <c r="O699" t="s">
        <v>38</v>
      </c>
      <c r="P699">
        <f>VLOOKUP(O699, Coordinates!$A$2:$C$6, 2, FALSE)</f>
        <v>25.761700000000001</v>
      </c>
      <c r="Q699">
        <f>VLOOKUP(O699, Coordinates!$A$2:$C$6, 3, FALSE)</f>
        <v>-80.191800000000001</v>
      </c>
      <c r="R699">
        <v>26</v>
      </c>
      <c r="S699">
        <v>602</v>
      </c>
      <c r="T699">
        <v>4</v>
      </c>
      <c r="U699">
        <v>66.161621903994003</v>
      </c>
      <c r="V699" t="s">
        <v>39</v>
      </c>
      <c r="W699">
        <v>4.7105113219068002</v>
      </c>
      <c r="X699" t="s">
        <v>40</v>
      </c>
      <c r="Y699" t="s">
        <v>60</v>
      </c>
      <c r="Z699">
        <v>733.48290839380797</v>
      </c>
    </row>
    <row r="700" spans="1:26" x14ac:dyDescent="0.3">
      <c r="A700" t="s">
        <v>33</v>
      </c>
      <c r="B700" t="s">
        <v>756</v>
      </c>
      <c r="C700">
        <v>41.658077775035999</v>
      </c>
      <c r="D700">
        <v>2</v>
      </c>
      <c r="E700">
        <v>989</v>
      </c>
      <c r="F700">
        <v>1580.41612410261</v>
      </c>
      <c r="G700" t="s">
        <v>26</v>
      </c>
      <c r="H700">
        <v>92</v>
      </c>
      <c r="I700">
        <v>26</v>
      </c>
      <c r="J700">
        <v>52</v>
      </c>
      <c r="K700">
        <v>9</v>
      </c>
      <c r="L700" t="s">
        <v>27</v>
      </c>
      <c r="M700">
        <v>2.4404153084790701</v>
      </c>
      <c r="N700" t="s">
        <v>45</v>
      </c>
      <c r="O700" t="s">
        <v>38</v>
      </c>
      <c r="P700">
        <f>VLOOKUP(O700, Coordinates!$A$2:$C$6, 2, FALSE)</f>
        <v>25.761700000000001</v>
      </c>
      <c r="Q700">
        <f>VLOOKUP(O700, Coordinates!$A$2:$C$6, 3, FALSE)</f>
        <v>-80.191800000000001</v>
      </c>
      <c r="R700">
        <v>27</v>
      </c>
      <c r="S700">
        <v>331</v>
      </c>
      <c r="T700">
        <v>24</v>
      </c>
      <c r="U700">
        <v>13.1620782827993</v>
      </c>
      <c r="V700" t="s">
        <v>55</v>
      </c>
      <c r="W700">
        <v>3.7018628459428702</v>
      </c>
      <c r="X700" t="s">
        <v>40</v>
      </c>
      <c r="Y700" t="s">
        <v>32</v>
      </c>
      <c r="Z700">
        <v>511.56057384822299</v>
      </c>
    </row>
    <row r="701" spans="1:26" x14ac:dyDescent="0.3">
      <c r="A701" t="s">
        <v>42</v>
      </c>
      <c r="B701" t="s">
        <v>757</v>
      </c>
      <c r="C701">
        <v>80.213424629827898</v>
      </c>
      <c r="D701">
        <v>75</v>
      </c>
      <c r="E701">
        <v>568</v>
      </c>
      <c r="F701">
        <v>6168.6418573771598</v>
      </c>
      <c r="G701" t="s">
        <v>48</v>
      </c>
      <c r="H701">
        <v>2</v>
      </c>
      <c r="I701">
        <v>7</v>
      </c>
      <c r="J701">
        <v>33</v>
      </c>
      <c r="K701">
        <v>8</v>
      </c>
      <c r="L701" t="s">
        <v>27</v>
      </c>
      <c r="M701">
        <v>12.4261521343553</v>
      </c>
      <c r="N701" t="s">
        <v>57</v>
      </c>
      <c r="O701" t="s">
        <v>38</v>
      </c>
      <c r="P701">
        <f>VLOOKUP(O701, Coordinates!$A$2:$C$6, 2, FALSE)</f>
        <v>25.761700000000001</v>
      </c>
      <c r="Q701">
        <f>VLOOKUP(O701, Coordinates!$A$2:$C$6, 3, FALSE)</f>
        <v>-80.191800000000001</v>
      </c>
      <c r="R701">
        <v>12</v>
      </c>
      <c r="S701">
        <v>972</v>
      </c>
      <c r="T701">
        <v>25</v>
      </c>
      <c r="U701">
        <v>53.314880456631599</v>
      </c>
      <c r="V701" t="s">
        <v>55</v>
      </c>
      <c r="W701">
        <v>2.6189653424200299</v>
      </c>
      <c r="X701" t="s">
        <v>31</v>
      </c>
      <c r="Y701" t="s">
        <v>41</v>
      </c>
      <c r="Z701">
        <v>-50</v>
      </c>
    </row>
    <row r="702" spans="1:26" x14ac:dyDescent="0.3">
      <c r="A702" t="s">
        <v>82</v>
      </c>
      <c r="B702" t="s">
        <v>758</v>
      </c>
      <c r="C702">
        <v>61.618940007430702</v>
      </c>
      <c r="D702">
        <v>28</v>
      </c>
      <c r="E702">
        <v>954</v>
      </c>
      <c r="F702">
        <v>6598.2653132680798</v>
      </c>
      <c r="G702" t="s">
        <v>48</v>
      </c>
      <c r="H702">
        <v>23</v>
      </c>
      <c r="I702">
        <v>13</v>
      </c>
      <c r="J702">
        <v>43</v>
      </c>
      <c r="K702">
        <v>8</v>
      </c>
      <c r="L702" t="s">
        <v>44</v>
      </c>
      <c r="M702">
        <v>11.7608131296005</v>
      </c>
      <c r="N702" t="s">
        <v>51</v>
      </c>
      <c r="O702" t="s">
        <v>67</v>
      </c>
      <c r="P702">
        <f>VLOOKUP(O702, Coordinates!$A$2:$C$6, 2, FALSE)</f>
        <v>40.712800000000001</v>
      </c>
      <c r="Q702">
        <f>VLOOKUP(O702, Coordinates!$A$2:$C$6, 3, FALSE)</f>
        <v>-74.006</v>
      </c>
      <c r="R702">
        <v>22</v>
      </c>
      <c r="S702">
        <v>849</v>
      </c>
      <c r="T702">
        <v>8</v>
      </c>
      <c r="U702">
        <v>89.632318260000005</v>
      </c>
      <c r="V702" t="s">
        <v>30</v>
      </c>
      <c r="W702">
        <v>0.69172105676502804</v>
      </c>
      <c r="X702" t="s">
        <v>31</v>
      </c>
      <c r="Y702" t="s">
        <v>41</v>
      </c>
      <c r="Z702">
        <v>975.92626401056998</v>
      </c>
    </row>
    <row r="703" spans="1:26" x14ac:dyDescent="0.3">
      <c r="A703" t="s">
        <v>49</v>
      </c>
      <c r="B703" t="s">
        <v>759</v>
      </c>
      <c r="C703">
        <v>14.61969188844</v>
      </c>
      <c r="D703">
        <v>82</v>
      </c>
      <c r="E703">
        <v>92</v>
      </c>
      <c r="F703">
        <v>5551.6806851989904</v>
      </c>
      <c r="G703" t="s">
        <v>48</v>
      </c>
      <c r="H703">
        <v>64</v>
      </c>
      <c r="I703">
        <v>12</v>
      </c>
      <c r="J703">
        <v>68</v>
      </c>
      <c r="K703">
        <v>2</v>
      </c>
      <c r="L703" t="s">
        <v>44</v>
      </c>
      <c r="M703">
        <v>9.8234959054986195</v>
      </c>
      <c r="N703" t="s">
        <v>57</v>
      </c>
      <c r="O703" t="s">
        <v>67</v>
      </c>
      <c r="P703">
        <f>VLOOKUP(O703, Coordinates!$A$2:$C$6, 2, FALSE)</f>
        <v>40.712800000000001</v>
      </c>
      <c r="Q703">
        <f>VLOOKUP(O703, Coordinates!$A$2:$C$6, 3, FALSE)</f>
        <v>-74.006</v>
      </c>
      <c r="R703">
        <v>22</v>
      </c>
      <c r="S703">
        <v>171</v>
      </c>
      <c r="T703">
        <v>24</v>
      </c>
      <c r="U703">
        <v>74.268064228983306</v>
      </c>
      <c r="V703" t="s">
        <v>30</v>
      </c>
      <c r="W703">
        <v>1.4279663170000001</v>
      </c>
      <c r="X703" t="s">
        <v>40</v>
      </c>
      <c r="Y703" t="s">
        <v>60</v>
      </c>
      <c r="Z703">
        <v>167.28876156176699</v>
      </c>
    </row>
    <row r="704" spans="1:26" x14ac:dyDescent="0.3">
      <c r="A704" t="s">
        <v>33</v>
      </c>
      <c r="B704" t="s">
        <v>760</v>
      </c>
      <c r="C704">
        <v>85.478251520909495</v>
      </c>
      <c r="D704">
        <v>77</v>
      </c>
      <c r="E704">
        <v>317</v>
      </c>
      <c r="F704">
        <v>8353.9191970235297</v>
      </c>
      <c r="G704" t="s">
        <v>48</v>
      </c>
      <c r="H704">
        <v>47</v>
      </c>
      <c r="I704">
        <v>4</v>
      </c>
      <c r="J704">
        <v>11</v>
      </c>
      <c r="K704">
        <v>4</v>
      </c>
      <c r="L704" t="s">
        <v>27</v>
      </c>
      <c r="M704">
        <v>2.4203906100164798</v>
      </c>
      <c r="N704" t="s">
        <v>45</v>
      </c>
      <c r="O704" t="s">
        <v>38</v>
      </c>
      <c r="P704">
        <f>VLOOKUP(O704, Coordinates!$A$2:$C$6, 2, FALSE)</f>
        <v>25.761700000000001</v>
      </c>
      <c r="Q704">
        <f>VLOOKUP(O704, Coordinates!$A$2:$C$6, 3, FALSE)</f>
        <v>-80.191800000000001</v>
      </c>
      <c r="R704">
        <v>28</v>
      </c>
      <c r="S704">
        <v>187</v>
      </c>
      <c r="T704">
        <v>29</v>
      </c>
      <c r="U704">
        <v>88.312774730000001</v>
      </c>
      <c r="V704" t="s">
        <v>55</v>
      </c>
      <c r="W704">
        <v>3.5269124318528799</v>
      </c>
      <c r="X704" t="s">
        <v>31</v>
      </c>
      <c r="Y704" t="s">
        <v>60</v>
      </c>
      <c r="Z704">
        <v>222.49543166630701</v>
      </c>
    </row>
    <row r="705" spans="1:26" x14ac:dyDescent="0.3">
      <c r="A705" t="s">
        <v>82</v>
      </c>
      <c r="B705" t="s">
        <v>761</v>
      </c>
      <c r="C705">
        <v>55.453107764098</v>
      </c>
      <c r="D705">
        <v>86</v>
      </c>
      <c r="E705">
        <v>855</v>
      </c>
      <c r="F705">
        <v>8749.0793917721203</v>
      </c>
      <c r="G705" t="s">
        <v>48</v>
      </c>
      <c r="H705">
        <v>9</v>
      </c>
      <c r="I705">
        <v>30</v>
      </c>
      <c r="J705">
        <v>11</v>
      </c>
      <c r="K705">
        <v>8</v>
      </c>
      <c r="L705" t="s">
        <v>27</v>
      </c>
      <c r="M705">
        <v>4.6727791189189896</v>
      </c>
      <c r="N705" t="s">
        <v>37</v>
      </c>
      <c r="O705" t="s">
        <v>29</v>
      </c>
      <c r="P705">
        <f>VLOOKUP(O705, Coordinates!$A$2:$C$6, 2, FALSE)</f>
        <v>29.760400000000001</v>
      </c>
      <c r="Q705">
        <f>VLOOKUP(O705, Coordinates!$A$2:$C$6, 3, FALSE)</f>
        <v>-95.369799999999998</v>
      </c>
      <c r="R705">
        <v>3</v>
      </c>
      <c r="S705">
        <v>627</v>
      </c>
      <c r="T705">
        <v>29</v>
      </c>
      <c r="U705">
        <v>70.667181075043601</v>
      </c>
      <c r="V705" t="s">
        <v>30</v>
      </c>
      <c r="W705">
        <v>4.9806449062682399</v>
      </c>
      <c r="X705" t="s">
        <v>40</v>
      </c>
      <c r="Y705" t="s">
        <v>41</v>
      </c>
      <c r="Z705">
        <v>343.289385334342</v>
      </c>
    </row>
    <row r="706" spans="1:26" x14ac:dyDescent="0.3">
      <c r="A706" t="s">
        <v>24</v>
      </c>
      <c r="B706" t="s">
        <v>762</v>
      </c>
      <c r="C706">
        <v>39.267159779196803</v>
      </c>
      <c r="D706">
        <v>76</v>
      </c>
      <c r="E706">
        <v>70</v>
      </c>
      <c r="F706">
        <v>2473.8310660893999</v>
      </c>
      <c r="G706" t="s">
        <v>54</v>
      </c>
      <c r="H706">
        <v>12</v>
      </c>
      <c r="I706">
        <v>25</v>
      </c>
      <c r="J706">
        <v>19</v>
      </c>
      <c r="K706">
        <v>1</v>
      </c>
      <c r="L706" t="s">
        <v>27</v>
      </c>
      <c r="M706">
        <v>7.4248026257046504</v>
      </c>
      <c r="N706" t="s">
        <v>45</v>
      </c>
      <c r="O706" t="s">
        <v>38</v>
      </c>
      <c r="P706">
        <f>VLOOKUP(O706, Coordinates!$A$2:$C$6, 2, FALSE)</f>
        <v>25.761700000000001</v>
      </c>
      <c r="Q706">
        <f>VLOOKUP(O706, Coordinates!$A$2:$C$6, 3, FALSE)</f>
        <v>-80.191800000000001</v>
      </c>
      <c r="R706">
        <v>25</v>
      </c>
      <c r="S706">
        <v>985</v>
      </c>
      <c r="T706">
        <v>18</v>
      </c>
      <c r="U706">
        <v>78.427428336158002</v>
      </c>
      <c r="V706" t="s">
        <v>39</v>
      </c>
      <c r="W706">
        <v>3.5849220132327999</v>
      </c>
      <c r="X706" t="s">
        <v>40</v>
      </c>
      <c r="Y706" t="s">
        <v>60</v>
      </c>
      <c r="Z706">
        <v>959.07551979303298</v>
      </c>
    </row>
    <row r="707" spans="1:26" x14ac:dyDescent="0.3">
      <c r="A707" t="s">
        <v>33</v>
      </c>
      <c r="B707" t="s">
        <v>763</v>
      </c>
      <c r="C707">
        <v>60.1210442845777</v>
      </c>
      <c r="D707">
        <v>2</v>
      </c>
      <c r="E707">
        <v>666</v>
      </c>
      <c r="F707">
        <v>1114.8083173668699</v>
      </c>
      <c r="G707" t="s">
        <v>54</v>
      </c>
      <c r="H707">
        <v>99</v>
      </c>
      <c r="I707">
        <v>4</v>
      </c>
      <c r="J707">
        <v>32</v>
      </c>
      <c r="K707">
        <v>9</v>
      </c>
      <c r="L707" t="s">
        <v>44</v>
      </c>
      <c r="M707">
        <v>4.72360721269916</v>
      </c>
      <c r="N707" t="s">
        <v>51</v>
      </c>
      <c r="O707" t="s">
        <v>58</v>
      </c>
      <c r="P707">
        <f>VLOOKUP(O707, Coordinates!$A$2:$C$6, 2, FALSE)</f>
        <v>34.052199999999999</v>
      </c>
      <c r="Q707">
        <f>VLOOKUP(O707, Coordinates!$A$2:$C$6, 3, FALSE)</f>
        <v>-118.2437</v>
      </c>
      <c r="R707">
        <v>5</v>
      </c>
      <c r="S707">
        <v>702</v>
      </c>
      <c r="T707">
        <v>14</v>
      </c>
      <c r="U707">
        <v>97.120599058594905</v>
      </c>
      <c r="V707" t="s">
        <v>30</v>
      </c>
      <c r="W707">
        <v>0.78413048669847596</v>
      </c>
      <c r="X707" t="s">
        <v>46</v>
      </c>
      <c r="Y707" t="s">
        <v>41</v>
      </c>
      <c r="Z707">
        <v>868.89364526337602</v>
      </c>
    </row>
    <row r="708" spans="1:26" x14ac:dyDescent="0.3">
      <c r="A708" t="s">
        <v>72</v>
      </c>
      <c r="B708" t="s">
        <v>764</v>
      </c>
      <c r="C708">
        <v>39.392199822809303</v>
      </c>
      <c r="D708">
        <v>7</v>
      </c>
      <c r="E708">
        <v>24</v>
      </c>
      <c r="F708">
        <v>850.87151619999997</v>
      </c>
      <c r="G708" t="s">
        <v>54</v>
      </c>
      <c r="H708">
        <v>72</v>
      </c>
      <c r="I708">
        <v>23</v>
      </c>
      <c r="J708">
        <v>24</v>
      </c>
      <c r="K708">
        <v>3</v>
      </c>
      <c r="L708" t="s">
        <v>44</v>
      </c>
      <c r="M708">
        <v>7.0756349241406502</v>
      </c>
      <c r="N708" t="s">
        <v>45</v>
      </c>
      <c r="O708" t="s">
        <v>38</v>
      </c>
      <c r="P708">
        <f>VLOOKUP(O708, Coordinates!$A$2:$C$6, 2, FALSE)</f>
        <v>25.761700000000001</v>
      </c>
      <c r="Q708">
        <f>VLOOKUP(O708, Coordinates!$A$2:$C$6, 3, FALSE)</f>
        <v>-80.191800000000001</v>
      </c>
      <c r="R708">
        <v>30</v>
      </c>
      <c r="S708">
        <v>549</v>
      </c>
      <c r="T708">
        <v>26</v>
      </c>
      <c r="U708">
        <v>91.884196099999997</v>
      </c>
      <c r="V708" t="s">
        <v>39</v>
      </c>
      <c r="W708">
        <v>3.5459953013624999</v>
      </c>
      <c r="X708" t="s">
        <v>31</v>
      </c>
      <c r="Y708" t="s">
        <v>41</v>
      </c>
      <c r="Z708">
        <v>542.28368978518904</v>
      </c>
    </row>
    <row r="709" spans="1:26" x14ac:dyDescent="0.3">
      <c r="A709" t="s">
        <v>24</v>
      </c>
      <c r="B709" t="s">
        <v>765</v>
      </c>
      <c r="C709">
        <v>38.297378128697098</v>
      </c>
      <c r="D709">
        <v>26</v>
      </c>
      <c r="E709">
        <v>37</v>
      </c>
      <c r="F709">
        <v>1275.3026916856099</v>
      </c>
      <c r="G709" t="s">
        <v>48</v>
      </c>
      <c r="H709">
        <v>13</v>
      </c>
      <c r="I709">
        <v>21</v>
      </c>
      <c r="J709">
        <v>85</v>
      </c>
      <c r="K709">
        <v>8</v>
      </c>
      <c r="L709" t="s">
        <v>36</v>
      </c>
      <c r="M709">
        <v>4.1634055689271303</v>
      </c>
      <c r="N709" t="s">
        <v>28</v>
      </c>
      <c r="O709" t="s">
        <v>65</v>
      </c>
      <c r="P709">
        <f>VLOOKUP(O709, Coordinates!$A$2:$C$6, 2, FALSE)</f>
        <v>41.878100000000003</v>
      </c>
      <c r="Q709">
        <f>VLOOKUP(O709, Coordinates!$A$2:$C$6, 3, FALSE)</f>
        <v>-87.629800000000003</v>
      </c>
      <c r="R709">
        <v>25</v>
      </c>
      <c r="S709">
        <v>538</v>
      </c>
      <c r="T709">
        <v>2</v>
      </c>
      <c r="U709">
        <v>91.103947992625294</v>
      </c>
      <c r="V709" t="s">
        <v>39</v>
      </c>
      <c r="W709">
        <v>1.5509318861653201</v>
      </c>
      <c r="X709" t="s">
        <v>52</v>
      </c>
      <c r="Y709" t="s">
        <v>41</v>
      </c>
      <c r="Z709">
        <v>785.04825617255301</v>
      </c>
    </row>
    <row r="710" spans="1:26" x14ac:dyDescent="0.3">
      <c r="A710" t="s">
        <v>33</v>
      </c>
      <c r="B710" t="s">
        <v>766</v>
      </c>
      <c r="C710">
        <v>20.899174648169598</v>
      </c>
      <c r="D710">
        <v>90</v>
      </c>
      <c r="E710">
        <v>844</v>
      </c>
      <c r="F710">
        <v>6090.01734903748</v>
      </c>
      <c r="G710" t="s">
        <v>48</v>
      </c>
      <c r="H710">
        <v>99</v>
      </c>
      <c r="I710">
        <v>21</v>
      </c>
      <c r="J710">
        <v>26</v>
      </c>
      <c r="K710">
        <v>6</v>
      </c>
      <c r="L710" t="s">
        <v>36</v>
      </c>
      <c r="M710">
        <v>5.8944070532842296</v>
      </c>
      <c r="N710" t="s">
        <v>45</v>
      </c>
      <c r="O710" t="s">
        <v>38</v>
      </c>
      <c r="P710">
        <f>VLOOKUP(O710, Coordinates!$A$2:$C$6, 2, FALSE)</f>
        <v>25.761700000000001</v>
      </c>
      <c r="Q710">
        <f>VLOOKUP(O710, Coordinates!$A$2:$C$6, 3, FALSE)</f>
        <v>-80.191800000000001</v>
      </c>
      <c r="R710">
        <v>27</v>
      </c>
      <c r="S710">
        <v>631</v>
      </c>
      <c r="T710">
        <v>16</v>
      </c>
      <c r="U710">
        <v>20.1422050159373</v>
      </c>
      <c r="V710" t="s">
        <v>39</v>
      </c>
      <c r="W710">
        <v>4.5498423198915301</v>
      </c>
      <c r="X710" t="s">
        <v>52</v>
      </c>
      <c r="Y710" t="s">
        <v>41</v>
      </c>
      <c r="Z710">
        <v>936.267070344545</v>
      </c>
    </row>
    <row r="711" spans="1:26" x14ac:dyDescent="0.3">
      <c r="A711" t="s">
        <v>49</v>
      </c>
      <c r="B711" t="s">
        <v>767</v>
      </c>
      <c r="C711">
        <v>97.3423993671761</v>
      </c>
      <c r="D711">
        <v>88</v>
      </c>
      <c r="E711">
        <v>797</v>
      </c>
      <c r="F711">
        <v>6841.725418</v>
      </c>
      <c r="G711" t="s">
        <v>26</v>
      </c>
      <c r="H711">
        <v>9</v>
      </c>
      <c r="I711">
        <v>6</v>
      </c>
      <c r="J711">
        <v>91</v>
      </c>
      <c r="K711">
        <v>7</v>
      </c>
      <c r="L711" t="s">
        <v>36</v>
      </c>
      <c r="M711">
        <v>10.1321563703527</v>
      </c>
      <c r="N711" t="s">
        <v>28</v>
      </c>
      <c r="O711" t="s">
        <v>58</v>
      </c>
      <c r="P711">
        <f>VLOOKUP(O711, Coordinates!$A$2:$C$6, 2, FALSE)</f>
        <v>34.052199999999999</v>
      </c>
      <c r="Q711">
        <f>VLOOKUP(O711, Coordinates!$A$2:$C$6, 3, FALSE)</f>
        <v>-118.2437</v>
      </c>
      <c r="R711">
        <v>21</v>
      </c>
      <c r="S711">
        <v>534</v>
      </c>
      <c r="T711">
        <v>22</v>
      </c>
      <c r="U711">
        <v>58.517065042931797</v>
      </c>
      <c r="V711" t="s">
        <v>39</v>
      </c>
      <c r="W711">
        <v>2.3335515139999998</v>
      </c>
      <c r="X711" t="s">
        <v>31</v>
      </c>
      <c r="Y711" t="s">
        <v>60</v>
      </c>
      <c r="Z711">
        <v>644.58100834228605</v>
      </c>
    </row>
    <row r="712" spans="1:26" x14ac:dyDescent="0.3">
      <c r="A712" t="s">
        <v>61</v>
      </c>
      <c r="B712" t="s">
        <v>768</v>
      </c>
      <c r="C712">
        <v>26.7062409417032</v>
      </c>
      <c r="D712">
        <v>76</v>
      </c>
      <c r="E712">
        <v>562</v>
      </c>
      <c r="F712">
        <v>4152.1295289436903</v>
      </c>
      <c r="G712" t="s">
        <v>35</v>
      </c>
      <c r="H712">
        <v>39</v>
      </c>
      <c r="I712">
        <v>24</v>
      </c>
      <c r="J712">
        <v>23</v>
      </c>
      <c r="K712">
        <v>2</v>
      </c>
      <c r="L712" t="s">
        <v>36</v>
      </c>
      <c r="M712">
        <v>13.4930551309157</v>
      </c>
      <c r="N712" t="s">
        <v>57</v>
      </c>
      <c r="O712" t="s">
        <v>58</v>
      </c>
      <c r="P712">
        <f>VLOOKUP(O712, Coordinates!$A$2:$C$6, 2, FALSE)</f>
        <v>34.052199999999999</v>
      </c>
      <c r="Q712">
        <f>VLOOKUP(O712, Coordinates!$A$2:$C$6, 3, FALSE)</f>
        <v>-118.2437</v>
      </c>
      <c r="R712">
        <v>16</v>
      </c>
      <c r="S712">
        <v>823</v>
      </c>
      <c r="T712">
        <v>15</v>
      </c>
      <c r="U712">
        <v>78.13457511</v>
      </c>
      <c r="V712" t="s">
        <v>55</v>
      </c>
      <c r="W712">
        <v>3.4474496085626098</v>
      </c>
      <c r="X712" t="s">
        <v>40</v>
      </c>
      <c r="Y712" t="s">
        <v>41</v>
      </c>
      <c r="Z712">
        <v>-50</v>
      </c>
    </row>
    <row r="713" spans="1:26" x14ac:dyDescent="0.3">
      <c r="A713" t="s">
        <v>24</v>
      </c>
      <c r="B713" t="s">
        <v>769</v>
      </c>
      <c r="C713">
        <v>29.896602333351399</v>
      </c>
      <c r="D713">
        <v>16</v>
      </c>
      <c r="E713">
        <v>77</v>
      </c>
      <c r="F713">
        <v>2071.8345417012501</v>
      </c>
      <c r="G713" t="s">
        <v>54</v>
      </c>
      <c r="H713">
        <v>22</v>
      </c>
      <c r="I713">
        <v>15</v>
      </c>
      <c r="J713">
        <v>90</v>
      </c>
      <c r="K713">
        <v>1</v>
      </c>
      <c r="L713" t="s">
        <v>44</v>
      </c>
      <c r="M713">
        <v>6.3904295372595499</v>
      </c>
      <c r="N713" t="s">
        <v>28</v>
      </c>
      <c r="O713" t="s">
        <v>38</v>
      </c>
      <c r="P713">
        <f>VLOOKUP(O713, Coordinates!$A$2:$C$6, 2, FALSE)</f>
        <v>25.761700000000001</v>
      </c>
      <c r="Q713">
        <f>VLOOKUP(O713, Coordinates!$A$2:$C$6, 3, FALSE)</f>
        <v>-80.191800000000001</v>
      </c>
      <c r="R713">
        <v>22</v>
      </c>
      <c r="S713">
        <v>183</v>
      </c>
      <c r="T713">
        <v>21</v>
      </c>
      <c r="U713">
        <v>89.576952879999993</v>
      </c>
      <c r="V713" t="s">
        <v>30</v>
      </c>
      <c r="W713">
        <v>4.5714535443375803</v>
      </c>
      <c r="X713" t="s">
        <v>52</v>
      </c>
      <c r="Y713" t="s">
        <v>41</v>
      </c>
      <c r="Z713">
        <v>986.95778505432099</v>
      </c>
    </row>
    <row r="714" spans="1:26" x14ac:dyDescent="0.3">
      <c r="A714" t="s">
        <v>42</v>
      </c>
      <c r="B714" t="s">
        <v>770</v>
      </c>
      <c r="C714">
        <v>55.531707119804999</v>
      </c>
      <c r="D714">
        <v>23</v>
      </c>
      <c r="E714">
        <v>870</v>
      </c>
      <c r="F714">
        <v>2205.7738007480302</v>
      </c>
      <c r="G714" t="s">
        <v>35</v>
      </c>
      <c r="H714">
        <v>98</v>
      </c>
      <c r="I714">
        <v>21</v>
      </c>
      <c r="J714">
        <v>88</v>
      </c>
      <c r="K714">
        <v>6</v>
      </c>
      <c r="L714" t="s">
        <v>44</v>
      </c>
      <c r="M714">
        <v>10.686715236250601</v>
      </c>
      <c r="N714" t="s">
        <v>45</v>
      </c>
      <c r="O714" t="s">
        <v>38</v>
      </c>
      <c r="P714">
        <f>VLOOKUP(O714, Coordinates!$A$2:$C$6, 2, FALSE)</f>
        <v>25.761700000000001</v>
      </c>
      <c r="Q714">
        <f>VLOOKUP(O714, Coordinates!$A$2:$C$6, 3, FALSE)</f>
        <v>-80.191800000000001</v>
      </c>
      <c r="R714">
        <v>28</v>
      </c>
      <c r="S714">
        <v>438</v>
      </c>
      <c r="T714">
        <v>6</v>
      </c>
      <c r="U714">
        <v>22.274394718891699</v>
      </c>
      <c r="V714" t="s">
        <v>39</v>
      </c>
      <c r="W714">
        <v>3.8674566305554698</v>
      </c>
      <c r="X714" t="s">
        <v>31</v>
      </c>
      <c r="Y714" t="s">
        <v>32</v>
      </c>
      <c r="Z714">
        <v>123.54636262969601</v>
      </c>
    </row>
    <row r="715" spans="1:26" x14ac:dyDescent="0.3">
      <c r="A715" t="s">
        <v>42</v>
      </c>
      <c r="B715" t="s">
        <v>771</v>
      </c>
      <c r="C715">
        <v>17.899959471073998</v>
      </c>
      <c r="D715">
        <v>40</v>
      </c>
      <c r="E715">
        <v>829</v>
      </c>
      <c r="F715">
        <v>7043.6062655293299</v>
      </c>
      <c r="G715" t="s">
        <v>48</v>
      </c>
      <c r="H715">
        <v>54</v>
      </c>
      <c r="I715">
        <v>19</v>
      </c>
      <c r="J715">
        <v>85</v>
      </c>
      <c r="K715">
        <v>3</v>
      </c>
      <c r="L715" t="s">
        <v>44</v>
      </c>
      <c r="M715">
        <v>2.88710320935528</v>
      </c>
      <c r="N715" t="s">
        <v>45</v>
      </c>
      <c r="O715" t="s">
        <v>38</v>
      </c>
      <c r="P715">
        <f>VLOOKUP(O715, Coordinates!$A$2:$C$6, 2, FALSE)</f>
        <v>25.761700000000001</v>
      </c>
      <c r="Q715">
        <f>VLOOKUP(O715, Coordinates!$A$2:$C$6, 3, FALSE)</f>
        <v>-80.191800000000001</v>
      </c>
      <c r="R715">
        <v>26</v>
      </c>
      <c r="S715">
        <v>225</v>
      </c>
      <c r="T715">
        <v>9</v>
      </c>
      <c r="U715">
        <v>55.950048890321902</v>
      </c>
      <c r="V715" t="s">
        <v>39</v>
      </c>
      <c r="W715">
        <v>4.7861331627840604</v>
      </c>
      <c r="X715" t="s">
        <v>52</v>
      </c>
      <c r="Y715" t="s">
        <v>32</v>
      </c>
      <c r="Z715">
        <v>848.95584980187198</v>
      </c>
    </row>
    <row r="716" spans="1:26" x14ac:dyDescent="0.3">
      <c r="A716" t="s">
        <v>49</v>
      </c>
      <c r="B716" t="s">
        <v>772</v>
      </c>
      <c r="C716">
        <v>14.4337092616008</v>
      </c>
      <c r="D716">
        <v>60</v>
      </c>
      <c r="E716">
        <v>347</v>
      </c>
      <c r="F716">
        <v>1039.2362196092199</v>
      </c>
      <c r="G716" t="s">
        <v>48</v>
      </c>
      <c r="H716">
        <v>62</v>
      </c>
      <c r="I716">
        <v>6</v>
      </c>
      <c r="J716">
        <v>25</v>
      </c>
      <c r="K716">
        <v>4</v>
      </c>
      <c r="L716" t="s">
        <v>44</v>
      </c>
      <c r="M716">
        <v>8.57145169</v>
      </c>
      <c r="N716" t="s">
        <v>45</v>
      </c>
      <c r="O716" t="s">
        <v>38</v>
      </c>
      <c r="P716">
        <f>VLOOKUP(O716, Coordinates!$A$2:$C$6, 2, FALSE)</f>
        <v>25.761700000000001</v>
      </c>
      <c r="Q716">
        <f>VLOOKUP(O716, Coordinates!$A$2:$C$6, 3, FALSE)</f>
        <v>-80.191800000000001</v>
      </c>
      <c r="R716">
        <v>25</v>
      </c>
      <c r="S716">
        <v>662</v>
      </c>
      <c r="T716">
        <v>12</v>
      </c>
      <c r="U716">
        <v>40.380952259707499</v>
      </c>
      <c r="V716" t="s">
        <v>39</v>
      </c>
      <c r="W716">
        <v>4.8243125258301101</v>
      </c>
      <c r="X716" t="s">
        <v>46</v>
      </c>
      <c r="Y716" t="s">
        <v>32</v>
      </c>
      <c r="Z716">
        <v>349.68683741918801</v>
      </c>
    </row>
    <row r="717" spans="1:26" x14ac:dyDescent="0.3">
      <c r="A717" t="s">
        <v>33</v>
      </c>
      <c r="B717" t="s">
        <v>773</v>
      </c>
      <c r="C717">
        <v>24.842086717045198</v>
      </c>
      <c r="D717">
        <v>73</v>
      </c>
      <c r="E717">
        <v>137</v>
      </c>
      <c r="F717">
        <v>9321.8599486466192</v>
      </c>
      <c r="G717" t="s">
        <v>48</v>
      </c>
      <c r="H717">
        <v>70</v>
      </c>
      <c r="I717">
        <v>30</v>
      </c>
      <c r="J717">
        <v>41</v>
      </c>
      <c r="K717">
        <v>9</v>
      </c>
      <c r="L717" t="s">
        <v>27</v>
      </c>
      <c r="M717">
        <v>13.903859157763099</v>
      </c>
      <c r="N717" t="s">
        <v>51</v>
      </c>
      <c r="O717" t="s">
        <v>65</v>
      </c>
      <c r="P717">
        <f>VLOOKUP(O717, Coordinates!$A$2:$C$6, 2, FALSE)</f>
        <v>41.878100000000003</v>
      </c>
      <c r="Q717">
        <f>VLOOKUP(O717, Coordinates!$A$2:$C$6, 3, FALSE)</f>
        <v>-87.629800000000003</v>
      </c>
      <c r="R717">
        <v>20</v>
      </c>
      <c r="S717">
        <v>117</v>
      </c>
      <c r="T717">
        <v>10</v>
      </c>
      <c r="U717">
        <v>41.659475999619197</v>
      </c>
      <c r="V717" t="s">
        <v>30</v>
      </c>
      <c r="W717">
        <v>1.8680484075898101</v>
      </c>
      <c r="X717" t="s">
        <v>40</v>
      </c>
      <c r="Y717" t="s">
        <v>32</v>
      </c>
      <c r="Z717">
        <v>835.70663140645104</v>
      </c>
    </row>
    <row r="718" spans="1:26" x14ac:dyDescent="0.3">
      <c r="A718" t="s">
        <v>82</v>
      </c>
      <c r="B718" t="s">
        <v>774</v>
      </c>
      <c r="C718">
        <v>92.935546349999996</v>
      </c>
      <c r="D718">
        <v>32</v>
      </c>
      <c r="E718">
        <v>59</v>
      </c>
      <c r="F718">
        <v>2012.5371991428201</v>
      </c>
      <c r="G718" t="s">
        <v>35</v>
      </c>
      <c r="H718">
        <v>41</v>
      </c>
      <c r="I718">
        <v>12</v>
      </c>
      <c r="J718">
        <v>32</v>
      </c>
      <c r="K718">
        <v>3</v>
      </c>
      <c r="L718" t="s">
        <v>36</v>
      </c>
      <c r="M718">
        <v>1.3911012624033601</v>
      </c>
      <c r="N718" t="s">
        <v>57</v>
      </c>
      <c r="O718" t="s">
        <v>65</v>
      </c>
      <c r="P718">
        <f>VLOOKUP(O718, Coordinates!$A$2:$C$6, 2, FALSE)</f>
        <v>41.878100000000003</v>
      </c>
      <c r="Q718">
        <f>VLOOKUP(O718, Coordinates!$A$2:$C$6, 3, FALSE)</f>
        <v>-87.629800000000003</v>
      </c>
      <c r="R718">
        <v>14</v>
      </c>
      <c r="S718">
        <v>948</v>
      </c>
      <c r="T718">
        <v>7</v>
      </c>
      <c r="U718">
        <v>68.04869832</v>
      </c>
      <c r="V718" t="s">
        <v>39</v>
      </c>
      <c r="W718">
        <v>0.56831350300000005</v>
      </c>
      <c r="X718" t="s">
        <v>46</v>
      </c>
      <c r="Y718" t="s">
        <v>60</v>
      </c>
      <c r="Z718">
        <v>245.950190439968</v>
      </c>
    </row>
    <row r="719" spans="1:26" x14ac:dyDescent="0.3">
      <c r="A719" t="s">
        <v>33</v>
      </c>
      <c r="B719" t="s">
        <v>775</v>
      </c>
      <c r="C719">
        <v>44.344271311181501</v>
      </c>
      <c r="D719">
        <v>15</v>
      </c>
      <c r="E719">
        <v>65</v>
      </c>
      <c r="F719">
        <v>1853.95807132817</v>
      </c>
      <c r="G719" t="s">
        <v>26</v>
      </c>
      <c r="H719">
        <v>98</v>
      </c>
      <c r="I719">
        <v>14</v>
      </c>
      <c r="J719">
        <v>43</v>
      </c>
      <c r="K719">
        <v>2</v>
      </c>
      <c r="L719" t="s">
        <v>44</v>
      </c>
      <c r="M719">
        <v>4.7458030640000004</v>
      </c>
      <c r="N719" t="s">
        <v>28</v>
      </c>
      <c r="O719" t="s">
        <v>65</v>
      </c>
      <c r="P719">
        <f>VLOOKUP(O719, Coordinates!$A$2:$C$6, 2, FALSE)</f>
        <v>41.878100000000003</v>
      </c>
      <c r="Q719">
        <f>VLOOKUP(O719, Coordinates!$A$2:$C$6, 3, FALSE)</f>
        <v>-87.629800000000003</v>
      </c>
      <c r="R719">
        <v>20</v>
      </c>
      <c r="S719">
        <v>964</v>
      </c>
      <c r="T719">
        <v>5</v>
      </c>
      <c r="U719">
        <v>89.704728930655307</v>
      </c>
      <c r="V719" t="s">
        <v>30</v>
      </c>
      <c r="W719">
        <v>4.1095558539144497</v>
      </c>
      <c r="X719" t="s">
        <v>52</v>
      </c>
      <c r="Y719" t="s">
        <v>32</v>
      </c>
      <c r="Z719">
        <v>412.1365735</v>
      </c>
    </row>
    <row r="720" spans="1:26" x14ac:dyDescent="0.3">
      <c r="A720" t="s">
        <v>49</v>
      </c>
      <c r="B720" t="s">
        <v>776</v>
      </c>
      <c r="C720">
        <v>42.566255459326797</v>
      </c>
      <c r="D720">
        <v>13</v>
      </c>
      <c r="E720">
        <v>861</v>
      </c>
      <c r="F720">
        <v>3997.0686974701898</v>
      </c>
      <c r="G720" t="s">
        <v>48</v>
      </c>
      <c r="H720">
        <v>65</v>
      </c>
      <c r="I720">
        <v>18</v>
      </c>
      <c r="J720">
        <v>25</v>
      </c>
      <c r="K720">
        <v>2</v>
      </c>
      <c r="L720" t="s">
        <v>44</v>
      </c>
      <c r="M720">
        <v>2.8549094720000001</v>
      </c>
      <c r="N720" t="s">
        <v>37</v>
      </c>
      <c r="O720" t="s">
        <v>29</v>
      </c>
      <c r="P720">
        <f>VLOOKUP(O720, Coordinates!$A$2:$C$6, 2, FALSE)</f>
        <v>29.760400000000001</v>
      </c>
      <c r="Q720">
        <f>VLOOKUP(O720, Coordinates!$A$2:$C$6, 3, FALSE)</f>
        <v>-95.369799999999998</v>
      </c>
      <c r="R720">
        <v>24</v>
      </c>
      <c r="S720">
        <v>728</v>
      </c>
      <c r="T720">
        <v>26</v>
      </c>
      <c r="U720">
        <v>60.273255777007897</v>
      </c>
      <c r="V720" t="s">
        <v>55</v>
      </c>
      <c r="W720">
        <v>3.5054790471911899</v>
      </c>
      <c r="X720" t="s">
        <v>40</v>
      </c>
      <c r="Y720" t="s">
        <v>32</v>
      </c>
      <c r="Z720">
        <v>150.37419417565599</v>
      </c>
    </row>
    <row r="721" spans="1:26" x14ac:dyDescent="0.3">
      <c r="A721" t="s">
        <v>42</v>
      </c>
      <c r="B721" t="s">
        <v>777</v>
      </c>
      <c r="C721">
        <v>34.754594801666499</v>
      </c>
      <c r="D721">
        <v>5</v>
      </c>
      <c r="E721">
        <v>524</v>
      </c>
      <c r="F721">
        <v>4362.0965743517199</v>
      </c>
      <c r="G721" t="s">
        <v>26</v>
      </c>
      <c r="H721">
        <v>78</v>
      </c>
      <c r="I721">
        <v>28</v>
      </c>
      <c r="J721">
        <v>43</v>
      </c>
      <c r="K721">
        <v>2</v>
      </c>
      <c r="L721" t="s">
        <v>36</v>
      </c>
      <c r="M721">
        <v>8.4637007129497999</v>
      </c>
      <c r="N721" t="s">
        <v>28</v>
      </c>
      <c r="O721" t="s">
        <v>65</v>
      </c>
      <c r="P721">
        <f>VLOOKUP(O721, Coordinates!$A$2:$C$6, 2, FALSE)</f>
        <v>41.878100000000003</v>
      </c>
      <c r="Q721">
        <f>VLOOKUP(O721, Coordinates!$A$2:$C$6, 3, FALSE)</f>
        <v>-87.629800000000003</v>
      </c>
      <c r="R721">
        <v>5</v>
      </c>
      <c r="S721">
        <v>735</v>
      </c>
      <c r="T721">
        <v>23</v>
      </c>
      <c r="U721">
        <v>71.884225970000003</v>
      </c>
      <c r="V721" t="s">
        <v>30</v>
      </c>
      <c r="W721">
        <v>1.06356102417025</v>
      </c>
      <c r="X721" t="s">
        <v>40</v>
      </c>
      <c r="Y721" t="s">
        <v>32</v>
      </c>
      <c r="Z721">
        <v>279.66003047592801</v>
      </c>
    </row>
    <row r="722" spans="1:26" x14ac:dyDescent="0.3">
      <c r="A722" t="s">
        <v>33</v>
      </c>
      <c r="B722" t="s">
        <v>778</v>
      </c>
      <c r="C722">
        <v>18.970875803825798</v>
      </c>
      <c r="D722">
        <v>75</v>
      </c>
      <c r="E722">
        <v>276</v>
      </c>
      <c r="F722">
        <v>2928.7006509059001</v>
      </c>
      <c r="G722" t="s">
        <v>26</v>
      </c>
      <c r="H722">
        <v>72</v>
      </c>
      <c r="I722">
        <v>12</v>
      </c>
      <c r="J722">
        <v>80</v>
      </c>
      <c r="K722">
        <v>6</v>
      </c>
      <c r="L722" t="s">
        <v>44</v>
      </c>
      <c r="M722">
        <v>10.514994496998501</v>
      </c>
      <c r="N722" t="s">
        <v>45</v>
      </c>
      <c r="O722" t="s">
        <v>38</v>
      </c>
      <c r="P722">
        <f>VLOOKUP(O722, Coordinates!$A$2:$C$6, 2, FALSE)</f>
        <v>25.761700000000001</v>
      </c>
      <c r="Q722">
        <f>VLOOKUP(O722, Coordinates!$A$2:$C$6, 3, FALSE)</f>
        <v>-80.191800000000001</v>
      </c>
      <c r="R722">
        <v>26</v>
      </c>
      <c r="S722">
        <v>639</v>
      </c>
      <c r="T722">
        <v>8</v>
      </c>
      <c r="U722">
        <v>69.395229236911703</v>
      </c>
      <c r="V722" t="s">
        <v>39</v>
      </c>
      <c r="W722">
        <v>4.03413045968058</v>
      </c>
      <c r="X722" t="s">
        <v>40</v>
      </c>
      <c r="Y722" t="s">
        <v>60</v>
      </c>
      <c r="Z722">
        <v>642.51310274937396</v>
      </c>
    </row>
    <row r="723" spans="1:26" x14ac:dyDescent="0.3">
      <c r="A723" t="s">
        <v>42</v>
      </c>
      <c r="B723" t="s">
        <v>779</v>
      </c>
      <c r="C723">
        <v>51.345863733278598</v>
      </c>
      <c r="D723">
        <v>74</v>
      </c>
      <c r="E723">
        <v>989</v>
      </c>
      <c r="F723">
        <v>6266.09494834412</v>
      </c>
      <c r="G723" t="s">
        <v>54</v>
      </c>
      <c r="H723">
        <v>5</v>
      </c>
      <c r="I723">
        <v>23</v>
      </c>
      <c r="J723">
        <v>42</v>
      </c>
      <c r="K723">
        <v>2</v>
      </c>
      <c r="L723" t="s">
        <v>27</v>
      </c>
      <c r="M723">
        <v>1.80890868888353</v>
      </c>
      <c r="N723" t="s">
        <v>37</v>
      </c>
      <c r="O723" t="s">
        <v>67</v>
      </c>
      <c r="P723">
        <f>VLOOKUP(O723, Coordinates!$A$2:$C$6, 2, FALSE)</f>
        <v>40.712800000000001</v>
      </c>
      <c r="Q723">
        <f>VLOOKUP(O723, Coordinates!$A$2:$C$6, 3, FALSE)</f>
        <v>-74.006</v>
      </c>
      <c r="R723">
        <v>30</v>
      </c>
      <c r="S723">
        <v>444</v>
      </c>
      <c r="T723">
        <v>27</v>
      </c>
      <c r="U723">
        <v>59.603157330000002</v>
      </c>
      <c r="V723" t="s">
        <v>39</v>
      </c>
      <c r="W723">
        <v>2.8899610324494298</v>
      </c>
      <c r="X723" t="s">
        <v>31</v>
      </c>
      <c r="Y723" t="s">
        <v>41</v>
      </c>
      <c r="Z723">
        <v>785.35185071686703</v>
      </c>
    </row>
    <row r="724" spans="1:26" x14ac:dyDescent="0.3">
      <c r="A724" t="s">
        <v>24</v>
      </c>
      <c r="B724" t="s">
        <v>780</v>
      </c>
      <c r="C724">
        <v>26.820833459999999</v>
      </c>
      <c r="D724">
        <v>52</v>
      </c>
      <c r="E724">
        <v>180</v>
      </c>
      <c r="F724">
        <v>4344.9750210300699</v>
      </c>
      <c r="G724" t="s">
        <v>35</v>
      </c>
      <c r="H724">
        <v>80</v>
      </c>
      <c r="I724">
        <v>24</v>
      </c>
      <c r="J724">
        <v>77</v>
      </c>
      <c r="K724">
        <v>7</v>
      </c>
      <c r="L724" t="s">
        <v>44</v>
      </c>
      <c r="M724">
        <v>1.9839818889677101</v>
      </c>
      <c r="N724" t="s">
        <v>37</v>
      </c>
      <c r="O724" t="s">
        <v>67</v>
      </c>
      <c r="P724">
        <f>VLOOKUP(O724, Coordinates!$A$2:$C$6, 2, FALSE)</f>
        <v>40.712800000000001</v>
      </c>
      <c r="Q724">
        <f>VLOOKUP(O724, Coordinates!$A$2:$C$6, 3, FALSE)</f>
        <v>-74.006</v>
      </c>
      <c r="R724">
        <v>11</v>
      </c>
      <c r="S724">
        <v>567</v>
      </c>
      <c r="T724">
        <v>12</v>
      </c>
      <c r="U724">
        <v>75.975015377021293</v>
      </c>
      <c r="V724" t="s">
        <v>30</v>
      </c>
      <c r="W724">
        <v>0.84927043300000005</v>
      </c>
      <c r="X724" t="s">
        <v>31</v>
      </c>
      <c r="Y724" t="s">
        <v>32</v>
      </c>
      <c r="Z724">
        <v>920.10411484888004</v>
      </c>
    </row>
    <row r="725" spans="1:26" x14ac:dyDescent="0.3">
      <c r="A725" t="s">
        <v>82</v>
      </c>
      <c r="B725" t="s">
        <v>781</v>
      </c>
      <c r="C725">
        <v>84.370622456321101</v>
      </c>
      <c r="D725">
        <v>77</v>
      </c>
      <c r="E725">
        <v>632</v>
      </c>
      <c r="F725">
        <v>1307.58030136978</v>
      </c>
      <c r="G725" t="s">
        <v>48</v>
      </c>
      <c r="H725">
        <v>51</v>
      </c>
      <c r="I725">
        <v>15</v>
      </c>
      <c r="J725">
        <v>52</v>
      </c>
      <c r="K725">
        <v>7</v>
      </c>
      <c r="L725" t="s">
        <v>36</v>
      </c>
      <c r="M725">
        <v>13.1748086984846</v>
      </c>
      <c r="N725" t="s">
        <v>28</v>
      </c>
      <c r="O725" t="s">
        <v>67</v>
      </c>
      <c r="P725">
        <f>VLOOKUP(O725, Coordinates!$A$2:$C$6, 2, FALSE)</f>
        <v>40.712800000000001</v>
      </c>
      <c r="Q725">
        <f>VLOOKUP(O725, Coordinates!$A$2:$C$6, 3, FALSE)</f>
        <v>-74.006</v>
      </c>
      <c r="R725">
        <v>21</v>
      </c>
      <c r="S725">
        <v>240</v>
      </c>
      <c r="T725">
        <v>1</v>
      </c>
      <c r="U725">
        <v>44.0014766419214</v>
      </c>
      <c r="V725" t="s">
        <v>30</v>
      </c>
      <c r="W725">
        <v>3.5745641331477902</v>
      </c>
      <c r="X725" t="s">
        <v>40</v>
      </c>
      <c r="Y725" t="s">
        <v>41</v>
      </c>
      <c r="Z725">
        <v>207.716983082929</v>
      </c>
    </row>
    <row r="726" spans="1:26" x14ac:dyDescent="0.3">
      <c r="A726" t="s">
        <v>24</v>
      </c>
      <c r="B726" t="s">
        <v>782</v>
      </c>
      <c r="C726">
        <v>25.591846177550401</v>
      </c>
      <c r="D726">
        <v>41</v>
      </c>
      <c r="E726">
        <v>321</v>
      </c>
      <c r="F726">
        <v>7393.4843606943296</v>
      </c>
      <c r="G726" t="s">
        <v>26</v>
      </c>
      <c r="H726">
        <v>17</v>
      </c>
      <c r="I726">
        <v>19</v>
      </c>
      <c r="J726">
        <v>73</v>
      </c>
      <c r="K726">
        <v>7</v>
      </c>
      <c r="L726" t="s">
        <v>27</v>
      </c>
      <c r="M726">
        <v>7.3872640799451101</v>
      </c>
      <c r="N726" t="s">
        <v>28</v>
      </c>
      <c r="O726" t="s">
        <v>58</v>
      </c>
      <c r="P726">
        <f>VLOOKUP(O726, Coordinates!$A$2:$C$6, 2, FALSE)</f>
        <v>34.052199999999999</v>
      </c>
      <c r="Q726">
        <f>VLOOKUP(O726, Coordinates!$A$2:$C$6, 3, FALSE)</f>
        <v>-118.2437</v>
      </c>
      <c r="R726">
        <v>9</v>
      </c>
      <c r="S726">
        <v>105</v>
      </c>
      <c r="T726">
        <v>10</v>
      </c>
      <c r="U726">
        <v>76.438117410130602</v>
      </c>
      <c r="V726" t="s">
        <v>55</v>
      </c>
      <c r="W726">
        <v>3.4494137069717801</v>
      </c>
      <c r="X726" t="s">
        <v>40</v>
      </c>
      <c r="Y726" t="s">
        <v>32</v>
      </c>
      <c r="Z726">
        <v>226.51556706340901</v>
      </c>
    </row>
    <row r="727" spans="1:26" x14ac:dyDescent="0.3">
      <c r="A727" t="s">
        <v>42</v>
      </c>
      <c r="B727" t="s">
        <v>783</v>
      </c>
      <c r="C727">
        <v>40.6063389392706</v>
      </c>
      <c r="D727">
        <v>53</v>
      </c>
      <c r="E727">
        <v>787</v>
      </c>
      <c r="F727">
        <v>8293.8962221585298</v>
      </c>
      <c r="G727" t="s">
        <v>35</v>
      </c>
      <c r="H727">
        <v>78</v>
      </c>
      <c r="I727">
        <v>28</v>
      </c>
      <c r="J727">
        <v>80</v>
      </c>
      <c r="K727">
        <v>2</v>
      </c>
      <c r="L727" t="s">
        <v>27</v>
      </c>
      <c r="M727">
        <v>7.4813223950000003</v>
      </c>
      <c r="N727" t="s">
        <v>28</v>
      </c>
      <c r="O727" t="s">
        <v>65</v>
      </c>
      <c r="P727">
        <f>VLOOKUP(O727, Coordinates!$A$2:$C$6, 2, FALSE)</f>
        <v>41.878100000000003</v>
      </c>
      <c r="Q727">
        <f>VLOOKUP(O727, Coordinates!$A$2:$C$6, 3, FALSE)</f>
        <v>-87.629800000000003</v>
      </c>
      <c r="R727">
        <v>20</v>
      </c>
      <c r="S727">
        <v>768</v>
      </c>
      <c r="T727">
        <v>11</v>
      </c>
      <c r="U727">
        <v>92.574828683384894</v>
      </c>
      <c r="V727" t="s">
        <v>39</v>
      </c>
      <c r="W727">
        <v>4.4356330625581402</v>
      </c>
      <c r="X727" t="s">
        <v>40</v>
      </c>
      <c r="Y727" t="s">
        <v>60</v>
      </c>
      <c r="Z727">
        <v>944.89799615750496</v>
      </c>
    </row>
    <row r="728" spans="1:26" x14ac:dyDescent="0.3">
      <c r="A728" t="s">
        <v>42</v>
      </c>
      <c r="B728" t="s">
        <v>784</v>
      </c>
      <c r="C728">
        <v>50.030610705899797</v>
      </c>
      <c r="D728">
        <v>50</v>
      </c>
      <c r="E728">
        <v>709</v>
      </c>
      <c r="F728">
        <v>7207.3138137568103</v>
      </c>
      <c r="G728" t="s">
        <v>35</v>
      </c>
      <c r="H728">
        <v>17</v>
      </c>
      <c r="I728">
        <v>8</v>
      </c>
      <c r="J728">
        <v>27</v>
      </c>
      <c r="K728">
        <v>7</v>
      </c>
      <c r="L728" t="s">
        <v>36</v>
      </c>
      <c r="M728">
        <v>14.2241255294136</v>
      </c>
      <c r="N728" t="s">
        <v>28</v>
      </c>
      <c r="O728" t="s">
        <v>38</v>
      </c>
      <c r="P728">
        <f>VLOOKUP(O728, Coordinates!$A$2:$C$6, 2, FALSE)</f>
        <v>25.761700000000001</v>
      </c>
      <c r="Q728">
        <f>VLOOKUP(O728, Coordinates!$A$2:$C$6, 3, FALSE)</f>
        <v>-80.191800000000001</v>
      </c>
      <c r="R728">
        <v>7</v>
      </c>
      <c r="S728">
        <v>717</v>
      </c>
      <c r="T728">
        <v>27</v>
      </c>
      <c r="U728">
        <v>84.395680345939795</v>
      </c>
      <c r="V728" t="s">
        <v>55</v>
      </c>
      <c r="W728">
        <v>2.8363648221409701</v>
      </c>
      <c r="X728" t="s">
        <v>46</v>
      </c>
      <c r="Y728" t="s">
        <v>60</v>
      </c>
      <c r="Z728">
        <v>789.37719339067803</v>
      </c>
    </row>
    <row r="729" spans="1:26" x14ac:dyDescent="0.3">
      <c r="A729" t="s">
        <v>61</v>
      </c>
      <c r="B729" t="s">
        <v>785</v>
      </c>
      <c r="C729">
        <v>47.192132749999999</v>
      </c>
      <c r="D729">
        <v>15</v>
      </c>
      <c r="E729">
        <v>666</v>
      </c>
      <c r="F729">
        <v>7523.8376822189202</v>
      </c>
      <c r="G729" t="s">
        <v>48</v>
      </c>
      <c r="H729">
        <v>23</v>
      </c>
      <c r="I729">
        <v>9</v>
      </c>
      <c r="J729">
        <v>77</v>
      </c>
      <c r="K729">
        <v>10</v>
      </c>
      <c r="L729" t="s">
        <v>36</v>
      </c>
      <c r="M729">
        <v>5.4829345437090398</v>
      </c>
      <c r="N729" t="s">
        <v>57</v>
      </c>
      <c r="O729" t="s">
        <v>38</v>
      </c>
      <c r="P729">
        <f>VLOOKUP(O729, Coordinates!$A$2:$C$6, 2, FALSE)</f>
        <v>25.761700000000001</v>
      </c>
      <c r="Q729">
        <f>VLOOKUP(O729, Coordinates!$A$2:$C$6, 3, FALSE)</f>
        <v>-80.191800000000001</v>
      </c>
      <c r="R729">
        <v>5</v>
      </c>
      <c r="S729">
        <v>730</v>
      </c>
      <c r="T729">
        <v>23</v>
      </c>
      <c r="U729">
        <v>62.1412635566098</v>
      </c>
      <c r="V729" t="s">
        <v>30</v>
      </c>
      <c r="W729">
        <v>2.8715651534781799</v>
      </c>
      <c r="X729" t="s">
        <v>46</v>
      </c>
      <c r="Y729" t="s">
        <v>60</v>
      </c>
      <c r="Z729">
        <v>585.77631041332302</v>
      </c>
    </row>
    <row r="730" spans="1:26" x14ac:dyDescent="0.3">
      <c r="A730" t="s">
        <v>61</v>
      </c>
      <c r="B730" t="s">
        <v>786</v>
      </c>
      <c r="C730">
        <v>99.511507440635498</v>
      </c>
      <c r="D730">
        <v>7</v>
      </c>
      <c r="E730">
        <v>135</v>
      </c>
      <c r="F730">
        <v>7283.0523167517104</v>
      </c>
      <c r="H730">
        <v>22</v>
      </c>
      <c r="I730">
        <v>5</v>
      </c>
      <c r="J730">
        <v>70</v>
      </c>
      <c r="K730">
        <v>8</v>
      </c>
      <c r="L730" t="s">
        <v>27</v>
      </c>
      <c r="M730">
        <v>13.558331058459</v>
      </c>
      <c r="N730" t="s">
        <v>51</v>
      </c>
      <c r="O730" t="s">
        <v>38</v>
      </c>
      <c r="P730">
        <f>VLOOKUP(O730, Coordinates!$A$2:$C$6, 2, FALSE)</f>
        <v>25.761700000000001</v>
      </c>
      <c r="Q730">
        <f>VLOOKUP(O730, Coordinates!$A$2:$C$6, 3, FALSE)</f>
        <v>-80.191800000000001</v>
      </c>
      <c r="R730">
        <v>29</v>
      </c>
      <c r="S730">
        <v>748</v>
      </c>
      <c r="T730">
        <v>20</v>
      </c>
      <c r="U730">
        <v>92.101912387677999</v>
      </c>
      <c r="V730" t="s">
        <v>55</v>
      </c>
      <c r="W730">
        <v>3.0969367798465002</v>
      </c>
      <c r="X730" t="s">
        <v>52</v>
      </c>
      <c r="Y730" t="s">
        <v>41</v>
      </c>
      <c r="Z730">
        <v>529.05300867298502</v>
      </c>
    </row>
    <row r="731" spans="1:26" x14ac:dyDescent="0.3">
      <c r="A731" t="s">
        <v>24</v>
      </c>
      <c r="B731" t="s">
        <v>787</v>
      </c>
      <c r="C731">
        <v>31.513785114952899</v>
      </c>
      <c r="D731">
        <v>40</v>
      </c>
      <c r="E731">
        <v>106</v>
      </c>
      <c r="F731">
        <v>3006.4150999665098</v>
      </c>
      <c r="G731" t="s">
        <v>54</v>
      </c>
      <c r="H731">
        <v>11</v>
      </c>
      <c r="I731">
        <v>5</v>
      </c>
      <c r="J731">
        <v>84</v>
      </c>
      <c r="K731">
        <v>8</v>
      </c>
      <c r="L731" t="s">
        <v>44</v>
      </c>
      <c r="M731">
        <v>14.639566424067599</v>
      </c>
      <c r="N731" t="s">
        <v>51</v>
      </c>
      <c r="O731" t="s">
        <v>29</v>
      </c>
      <c r="P731">
        <f>VLOOKUP(O731, Coordinates!$A$2:$C$6, 2, FALSE)</f>
        <v>29.760400000000001</v>
      </c>
      <c r="Q731">
        <f>VLOOKUP(O731, Coordinates!$A$2:$C$6, 3, FALSE)</f>
        <v>-95.369799999999998</v>
      </c>
      <c r="R731">
        <v>15</v>
      </c>
      <c r="S731">
        <v>640</v>
      </c>
      <c r="T731">
        <v>5</v>
      </c>
      <c r="U731">
        <v>87.728505644527203</v>
      </c>
      <c r="V731" t="s">
        <v>30</v>
      </c>
      <c r="W731">
        <v>1.36891630690953</v>
      </c>
      <c r="X731" t="s">
        <v>40</v>
      </c>
      <c r="Y731" t="s">
        <v>60</v>
      </c>
      <c r="Z731">
        <v>241.94432825920401</v>
      </c>
    </row>
    <row r="732" spans="1:26" x14ac:dyDescent="0.3">
      <c r="A732" t="s">
        <v>72</v>
      </c>
      <c r="B732" t="s">
        <v>788</v>
      </c>
      <c r="C732">
        <v>29.071581265673899</v>
      </c>
      <c r="D732">
        <v>28</v>
      </c>
      <c r="E732">
        <v>314</v>
      </c>
      <c r="F732">
        <v>8215.6288656794604</v>
      </c>
      <c r="H732">
        <v>22</v>
      </c>
      <c r="I732">
        <v>6</v>
      </c>
      <c r="J732">
        <v>29</v>
      </c>
      <c r="K732">
        <v>2</v>
      </c>
      <c r="L732" t="s">
        <v>36</v>
      </c>
      <c r="M732">
        <v>4.3837187671060196</v>
      </c>
      <c r="N732" t="s">
        <v>28</v>
      </c>
      <c r="O732" t="s">
        <v>67</v>
      </c>
      <c r="P732">
        <f>VLOOKUP(O732, Coordinates!$A$2:$C$6, 2, FALSE)</f>
        <v>40.712800000000001</v>
      </c>
      <c r="Q732">
        <f>VLOOKUP(O732, Coordinates!$A$2:$C$6, 3, FALSE)</f>
        <v>-74.006</v>
      </c>
      <c r="R732">
        <v>25</v>
      </c>
      <c r="S732">
        <v>777</v>
      </c>
      <c r="T732">
        <v>13</v>
      </c>
      <c r="U732">
        <v>89.979365544622794</v>
      </c>
      <c r="V732" t="s">
        <v>30</v>
      </c>
      <c r="W732">
        <v>3.7930292563900099</v>
      </c>
      <c r="X732" t="s">
        <v>40</v>
      </c>
      <c r="Y732" t="s">
        <v>41</v>
      </c>
      <c r="Z732">
        <v>441.37120454439298</v>
      </c>
    </row>
    <row r="733" spans="1:26" x14ac:dyDescent="0.3">
      <c r="A733" t="s">
        <v>24</v>
      </c>
      <c r="B733" t="s">
        <v>789</v>
      </c>
      <c r="C733">
        <v>39.890493848655701</v>
      </c>
      <c r="D733">
        <v>32</v>
      </c>
      <c r="E733">
        <v>786</v>
      </c>
      <c r="F733">
        <v>28218.535348539001</v>
      </c>
      <c r="G733" t="s">
        <v>54</v>
      </c>
      <c r="H733">
        <v>20</v>
      </c>
      <c r="I733">
        <v>23</v>
      </c>
      <c r="J733">
        <v>20</v>
      </c>
      <c r="K733">
        <v>5</v>
      </c>
      <c r="L733" t="s">
        <v>27</v>
      </c>
      <c r="M733">
        <v>8.1965438890000009</v>
      </c>
      <c r="N733" t="s">
        <v>51</v>
      </c>
      <c r="O733" t="s">
        <v>67</v>
      </c>
      <c r="P733">
        <f>VLOOKUP(O733, Coordinates!$A$2:$C$6, 2, FALSE)</f>
        <v>40.712800000000001</v>
      </c>
      <c r="Q733">
        <f>VLOOKUP(O733, Coordinates!$A$2:$C$6, 3, FALSE)</f>
        <v>-74.006</v>
      </c>
      <c r="R733">
        <v>13</v>
      </c>
      <c r="S733">
        <v>164</v>
      </c>
      <c r="T733">
        <v>18</v>
      </c>
      <c r="U733">
        <v>75.534318817309398</v>
      </c>
      <c r="V733" t="s">
        <v>30</v>
      </c>
      <c r="W733">
        <v>3.3124963063131498</v>
      </c>
      <c r="X733" t="s">
        <v>46</v>
      </c>
      <c r="Y733" t="s">
        <v>60</v>
      </c>
      <c r="Z733">
        <v>435.34429388359803</v>
      </c>
    </row>
    <row r="734" spans="1:26" x14ac:dyDescent="0.3">
      <c r="A734" t="s">
        <v>61</v>
      </c>
      <c r="B734" t="s">
        <v>790</v>
      </c>
      <c r="C734">
        <v>19.400507822638499</v>
      </c>
      <c r="D734">
        <v>99</v>
      </c>
      <c r="E734">
        <v>296</v>
      </c>
      <c r="F734">
        <v>8486.0677016664304</v>
      </c>
      <c r="G734" t="s">
        <v>54</v>
      </c>
      <c r="H734">
        <v>63</v>
      </c>
      <c r="I734">
        <v>3</v>
      </c>
      <c r="J734">
        <v>88</v>
      </c>
      <c r="K734">
        <v>6</v>
      </c>
      <c r="L734" t="s">
        <v>36</v>
      </c>
      <c r="M734">
        <v>8.4809861406036102</v>
      </c>
      <c r="N734" t="s">
        <v>28</v>
      </c>
      <c r="O734" t="s">
        <v>67</v>
      </c>
      <c r="P734">
        <f>VLOOKUP(O734, Coordinates!$A$2:$C$6, 2, FALSE)</f>
        <v>40.712800000000001</v>
      </c>
      <c r="Q734">
        <f>VLOOKUP(O734, Coordinates!$A$2:$C$6, 3, FALSE)</f>
        <v>-74.006</v>
      </c>
      <c r="R734">
        <v>12</v>
      </c>
      <c r="S734">
        <v>155</v>
      </c>
      <c r="T734">
        <v>10</v>
      </c>
      <c r="U734">
        <v>74.575273398750497</v>
      </c>
      <c r="V734" t="s">
        <v>30</v>
      </c>
      <c r="W734">
        <v>4.1957281273045499</v>
      </c>
      <c r="X734" t="s">
        <v>52</v>
      </c>
      <c r="Y734" t="s">
        <v>32</v>
      </c>
      <c r="Z734">
        <v>683.51184536767403</v>
      </c>
    </row>
    <row r="735" spans="1:26" x14ac:dyDescent="0.3">
      <c r="A735" t="s">
        <v>42</v>
      </c>
      <c r="B735" t="s">
        <v>791</v>
      </c>
      <c r="C735">
        <v>7.9390762494774796</v>
      </c>
      <c r="D735">
        <v>15</v>
      </c>
      <c r="E735">
        <v>726</v>
      </c>
      <c r="F735">
        <v>9824.2371800000001</v>
      </c>
      <c r="G735" t="s">
        <v>54</v>
      </c>
      <c r="H735">
        <v>89</v>
      </c>
      <c r="I735">
        <v>5</v>
      </c>
      <c r="J735">
        <v>55</v>
      </c>
      <c r="K735">
        <v>9</v>
      </c>
      <c r="L735" t="s">
        <v>44</v>
      </c>
      <c r="M735">
        <v>13.126353565088801</v>
      </c>
      <c r="N735" t="s">
        <v>28</v>
      </c>
      <c r="O735" t="s">
        <v>29</v>
      </c>
      <c r="P735">
        <f>VLOOKUP(O735, Coordinates!$A$2:$C$6, 2, FALSE)</f>
        <v>29.760400000000001</v>
      </c>
      <c r="Q735">
        <f>VLOOKUP(O735, Coordinates!$A$2:$C$6, 3, FALSE)</f>
        <v>-95.369799999999998</v>
      </c>
      <c r="R735">
        <v>24</v>
      </c>
      <c r="S735">
        <v>897</v>
      </c>
      <c r="T735">
        <v>21</v>
      </c>
      <c r="U735">
        <v>64.830204993115103</v>
      </c>
      <c r="V735" t="s">
        <v>30</v>
      </c>
      <c r="W735">
        <v>3.8429300249999998</v>
      </c>
      <c r="X735" t="s">
        <v>52</v>
      </c>
      <c r="Y735" t="s">
        <v>32</v>
      </c>
      <c r="Z735">
        <v>639.01446243423402</v>
      </c>
    </row>
    <row r="736" spans="1:26" x14ac:dyDescent="0.3">
      <c r="A736" t="s">
        <v>49</v>
      </c>
      <c r="B736" t="s">
        <v>792</v>
      </c>
      <c r="C736">
        <v>97.220504599338497</v>
      </c>
      <c r="D736">
        <v>100</v>
      </c>
      <c r="E736">
        <v>499</v>
      </c>
      <c r="F736">
        <v>5444.6231326740499</v>
      </c>
      <c r="G736" t="s">
        <v>35</v>
      </c>
      <c r="H736">
        <v>71</v>
      </c>
      <c r="I736">
        <v>1</v>
      </c>
      <c r="J736">
        <v>73</v>
      </c>
      <c r="K736">
        <v>6</v>
      </c>
      <c r="L736" t="s">
        <v>44</v>
      </c>
      <c r="M736">
        <v>5.2547139093455</v>
      </c>
      <c r="N736" t="s">
        <v>28</v>
      </c>
      <c r="O736" t="s">
        <v>65</v>
      </c>
      <c r="P736">
        <f>VLOOKUP(O736, Coordinates!$A$2:$C$6, 2, FALSE)</f>
        <v>41.878100000000003</v>
      </c>
      <c r="Q736">
        <f>VLOOKUP(O736, Coordinates!$A$2:$C$6, 3, FALSE)</f>
        <v>-87.629800000000003</v>
      </c>
      <c r="R736">
        <v>15</v>
      </c>
      <c r="S736">
        <v>981</v>
      </c>
      <c r="T736">
        <v>25</v>
      </c>
      <c r="U736">
        <v>76.044757405114595</v>
      </c>
      <c r="V736" t="s">
        <v>30</v>
      </c>
      <c r="W736">
        <v>3.1928611525203099</v>
      </c>
      <c r="X736" t="s">
        <v>40</v>
      </c>
      <c r="Y736" t="s">
        <v>32</v>
      </c>
      <c r="Z736">
        <v>153.73992688327999</v>
      </c>
    </row>
    <row r="737" spans="1:26" x14ac:dyDescent="0.3">
      <c r="A737" t="s">
        <v>24</v>
      </c>
      <c r="B737" t="s">
        <v>793</v>
      </c>
      <c r="C737">
        <v>30.711504520112701</v>
      </c>
      <c r="D737">
        <v>85</v>
      </c>
      <c r="E737">
        <v>365</v>
      </c>
      <c r="F737">
        <v>10088.729234857001</v>
      </c>
      <c r="G737" t="s">
        <v>48</v>
      </c>
      <c r="H737">
        <v>93</v>
      </c>
      <c r="I737">
        <v>11</v>
      </c>
      <c r="J737">
        <v>90</v>
      </c>
      <c r="K737">
        <v>10</v>
      </c>
      <c r="L737" t="s">
        <v>27</v>
      </c>
      <c r="M737">
        <v>12.172594206947799</v>
      </c>
      <c r="N737" t="s">
        <v>57</v>
      </c>
      <c r="O737" t="s">
        <v>58</v>
      </c>
      <c r="P737">
        <f>VLOOKUP(O737, Coordinates!$A$2:$C$6, 2, FALSE)</f>
        <v>34.052199999999999</v>
      </c>
      <c r="Q737">
        <f>VLOOKUP(O737, Coordinates!$A$2:$C$6, 3, FALSE)</f>
        <v>-118.2437</v>
      </c>
      <c r="R737">
        <v>24</v>
      </c>
      <c r="S737">
        <v>195</v>
      </c>
      <c r="T737">
        <v>17</v>
      </c>
      <c r="U737">
        <v>80.810004394969297</v>
      </c>
      <c r="V737" t="s">
        <v>55</v>
      </c>
      <c r="W737">
        <v>0.80446075454799404</v>
      </c>
      <c r="X737" t="s">
        <v>31</v>
      </c>
      <c r="Y737" t="s">
        <v>32</v>
      </c>
      <c r="Z737">
        <v>863.63212556476697</v>
      </c>
    </row>
    <row r="738" spans="1:26" x14ac:dyDescent="0.3">
      <c r="A738" t="s">
        <v>42</v>
      </c>
      <c r="B738" t="s">
        <v>794</v>
      </c>
      <c r="C738">
        <v>98.110354279307799</v>
      </c>
      <c r="D738">
        <v>70</v>
      </c>
      <c r="E738">
        <v>342</v>
      </c>
      <c r="F738">
        <v>2260.4033092080599</v>
      </c>
      <c r="G738" t="s">
        <v>35</v>
      </c>
      <c r="H738">
        <v>33</v>
      </c>
      <c r="I738">
        <v>26</v>
      </c>
      <c r="J738">
        <v>85</v>
      </c>
      <c r="K738">
        <v>6</v>
      </c>
      <c r="L738" t="s">
        <v>44</v>
      </c>
      <c r="M738">
        <v>14.5941034778921</v>
      </c>
      <c r="N738" t="s">
        <v>45</v>
      </c>
      <c r="O738" t="s">
        <v>38</v>
      </c>
      <c r="P738">
        <f>VLOOKUP(O738, Coordinates!$A$2:$C$6, 2, FALSE)</f>
        <v>25.761700000000001</v>
      </c>
      <c r="Q738">
        <f>VLOOKUP(O738, Coordinates!$A$2:$C$6, 3, FALSE)</f>
        <v>-80.191800000000001</v>
      </c>
      <c r="R738">
        <v>28</v>
      </c>
      <c r="S738">
        <v>988</v>
      </c>
      <c r="T738">
        <v>19</v>
      </c>
      <c r="U738">
        <v>72.532816429999997</v>
      </c>
      <c r="V738" t="s">
        <v>55</v>
      </c>
      <c r="W738">
        <v>3.7922380344458499</v>
      </c>
      <c r="X738" t="s">
        <v>52</v>
      </c>
      <c r="Y738" t="s">
        <v>41</v>
      </c>
      <c r="Z738">
        <v>943.79295705477</v>
      </c>
    </row>
    <row r="739" spans="1:26" x14ac:dyDescent="0.3">
      <c r="A739" t="s">
        <v>49</v>
      </c>
      <c r="B739" t="s">
        <v>795</v>
      </c>
      <c r="C739">
        <v>50.398452562113</v>
      </c>
      <c r="D739">
        <v>65</v>
      </c>
      <c r="E739">
        <v>583</v>
      </c>
      <c r="F739">
        <v>3898.7251778463901</v>
      </c>
      <c r="G739" t="s">
        <v>35</v>
      </c>
      <c r="H739">
        <v>1</v>
      </c>
      <c r="I739">
        <v>21</v>
      </c>
      <c r="J739">
        <v>37</v>
      </c>
      <c r="K739">
        <v>10</v>
      </c>
      <c r="L739" t="s">
        <v>44</v>
      </c>
      <c r="M739">
        <v>12.764713138420101</v>
      </c>
      <c r="N739" t="s">
        <v>51</v>
      </c>
      <c r="O739" t="s">
        <v>65</v>
      </c>
      <c r="P739">
        <f>VLOOKUP(O739, Coordinates!$A$2:$C$6, 2, FALSE)</f>
        <v>41.878100000000003</v>
      </c>
      <c r="Q739">
        <f>VLOOKUP(O739, Coordinates!$A$2:$C$6, 3, FALSE)</f>
        <v>-87.629800000000003</v>
      </c>
      <c r="R739">
        <v>26</v>
      </c>
      <c r="S739">
        <v>314</v>
      </c>
      <c r="T739">
        <v>4</v>
      </c>
      <c r="U739">
        <v>46.884566372894803</v>
      </c>
      <c r="V739" t="s">
        <v>55</v>
      </c>
      <c r="W739">
        <v>1.8360609069157401</v>
      </c>
      <c r="X739" t="s">
        <v>52</v>
      </c>
      <c r="Y739" t="s">
        <v>60</v>
      </c>
      <c r="Z739">
        <v>802.18754349999995</v>
      </c>
    </row>
    <row r="740" spans="1:26" x14ac:dyDescent="0.3">
      <c r="A740" t="s">
        <v>49</v>
      </c>
      <c r="B740" t="s">
        <v>796</v>
      </c>
      <c r="C740">
        <v>55.5644654591527</v>
      </c>
      <c r="D740">
        <v>4</v>
      </c>
      <c r="E740">
        <v>14</v>
      </c>
      <c r="F740">
        <v>6207.2681373365403</v>
      </c>
      <c r="G740" t="s">
        <v>48</v>
      </c>
      <c r="H740">
        <v>68</v>
      </c>
      <c r="I740">
        <v>20</v>
      </c>
      <c r="J740">
        <v>57</v>
      </c>
      <c r="K740">
        <v>10</v>
      </c>
      <c r="L740" t="s">
        <v>44</v>
      </c>
      <c r="M740">
        <v>13.727963968394</v>
      </c>
      <c r="N740" t="s">
        <v>51</v>
      </c>
      <c r="O740" t="s">
        <v>38</v>
      </c>
      <c r="P740">
        <f>VLOOKUP(O740, Coordinates!$A$2:$C$6, 2, FALSE)</f>
        <v>25.761700000000001</v>
      </c>
      <c r="Q740">
        <f>VLOOKUP(O740, Coordinates!$A$2:$C$6, 3, FALSE)</f>
        <v>-80.191800000000001</v>
      </c>
      <c r="R740">
        <v>19</v>
      </c>
      <c r="S740">
        <v>842</v>
      </c>
      <c r="T740">
        <v>9</v>
      </c>
      <c r="U740">
        <v>85.068261667567</v>
      </c>
      <c r="V740" t="s">
        <v>39</v>
      </c>
      <c r="W740">
        <v>4.8214928425838099</v>
      </c>
      <c r="X740" t="s">
        <v>40</v>
      </c>
      <c r="Y740" t="s">
        <v>41</v>
      </c>
      <c r="Z740">
        <v>260.54594179733101</v>
      </c>
    </row>
    <row r="741" spans="1:26" x14ac:dyDescent="0.3">
      <c r="A741" t="s">
        <v>61</v>
      </c>
      <c r="B741" t="s">
        <v>797</v>
      </c>
      <c r="C741">
        <v>20.9920108123173</v>
      </c>
      <c r="D741">
        <v>11</v>
      </c>
      <c r="E741">
        <v>53</v>
      </c>
      <c r="F741">
        <v>1675.8428122478199</v>
      </c>
      <c r="G741" t="s">
        <v>35</v>
      </c>
      <c r="H741">
        <v>30</v>
      </c>
      <c r="I741">
        <v>1</v>
      </c>
      <c r="J741">
        <v>44</v>
      </c>
      <c r="K741">
        <v>6</v>
      </c>
      <c r="L741" t="s">
        <v>36</v>
      </c>
      <c r="M741">
        <v>10.916962148001501</v>
      </c>
      <c r="N741" t="s">
        <v>57</v>
      </c>
      <c r="O741" t="s">
        <v>58</v>
      </c>
      <c r="P741">
        <f>VLOOKUP(O741, Coordinates!$A$2:$C$6, 2, FALSE)</f>
        <v>34.052199999999999</v>
      </c>
      <c r="Q741">
        <f>VLOOKUP(O741, Coordinates!$A$2:$C$6, 3, FALSE)</f>
        <v>-118.2437</v>
      </c>
      <c r="R741">
        <v>25</v>
      </c>
      <c r="S741">
        <v>157</v>
      </c>
      <c r="T741">
        <v>18</v>
      </c>
      <c r="U741">
        <v>81.582915264559503</v>
      </c>
      <c r="V741" t="s">
        <v>55</v>
      </c>
      <c r="W741">
        <v>2.0093540100027298</v>
      </c>
      <c r="X741" t="s">
        <v>40</v>
      </c>
      <c r="Y741" t="s">
        <v>41</v>
      </c>
      <c r="Z741">
        <v>254.951496470238</v>
      </c>
    </row>
    <row r="742" spans="1:26" x14ac:dyDescent="0.3">
      <c r="A742" t="s">
        <v>24</v>
      </c>
      <c r="B742" t="s">
        <v>798</v>
      </c>
      <c r="C742">
        <v>26.579685310056501</v>
      </c>
      <c r="D742">
        <v>26</v>
      </c>
      <c r="E742">
        <v>491</v>
      </c>
      <c r="F742">
        <v>11745.562938514</v>
      </c>
      <c r="G742" t="s">
        <v>26</v>
      </c>
      <c r="H742">
        <v>96</v>
      </c>
      <c r="I742">
        <v>7</v>
      </c>
      <c r="J742">
        <v>17</v>
      </c>
      <c r="K742">
        <v>9</v>
      </c>
      <c r="L742" t="s">
        <v>27</v>
      </c>
      <c r="M742">
        <v>13.655380643880401</v>
      </c>
      <c r="N742" t="s">
        <v>57</v>
      </c>
      <c r="O742" t="s">
        <v>38</v>
      </c>
      <c r="P742">
        <f>VLOOKUP(O742, Coordinates!$A$2:$C$6, 2, FALSE)</f>
        <v>25.761700000000001</v>
      </c>
      <c r="Q742">
        <f>VLOOKUP(O742, Coordinates!$A$2:$C$6, 3, FALSE)</f>
        <v>-80.191800000000001</v>
      </c>
      <c r="R742">
        <v>24</v>
      </c>
      <c r="S742">
        <v>591</v>
      </c>
      <c r="T742">
        <v>16</v>
      </c>
      <c r="U742">
        <v>77.725663782279995</v>
      </c>
      <c r="V742" t="s">
        <v>30</v>
      </c>
      <c r="W742">
        <v>0.729691463415854</v>
      </c>
      <c r="X742" t="s">
        <v>40</v>
      </c>
      <c r="Y742" t="s">
        <v>32</v>
      </c>
      <c r="Z742">
        <v>753.50094864124696</v>
      </c>
    </row>
    <row r="743" spans="1:26" x14ac:dyDescent="0.3">
      <c r="A743" t="s">
        <v>33</v>
      </c>
      <c r="B743" t="s">
        <v>799</v>
      </c>
      <c r="C743">
        <v>84.662175415768601</v>
      </c>
      <c r="D743">
        <v>61</v>
      </c>
      <c r="E743">
        <v>627</v>
      </c>
      <c r="F743">
        <v>4285.7530595595999</v>
      </c>
      <c r="G743" t="s">
        <v>26</v>
      </c>
      <c r="H743">
        <v>67</v>
      </c>
      <c r="I743">
        <v>15</v>
      </c>
      <c r="J743">
        <v>100</v>
      </c>
      <c r="K743">
        <v>10</v>
      </c>
      <c r="L743" t="s">
        <v>27</v>
      </c>
      <c r="M743">
        <v>3.3079088949325799</v>
      </c>
      <c r="N743" t="s">
        <v>28</v>
      </c>
      <c r="O743" t="s">
        <v>65</v>
      </c>
      <c r="P743">
        <f>VLOOKUP(O743, Coordinates!$A$2:$C$6, 2, FALSE)</f>
        <v>41.878100000000003</v>
      </c>
      <c r="Q743">
        <f>VLOOKUP(O743, Coordinates!$A$2:$C$6, 3, FALSE)</f>
        <v>-87.629800000000003</v>
      </c>
      <c r="R743">
        <v>19</v>
      </c>
      <c r="S743">
        <v>504</v>
      </c>
      <c r="T743">
        <v>7</v>
      </c>
      <c r="U743">
        <v>26.546974876297199</v>
      </c>
      <c r="V743" t="s">
        <v>39</v>
      </c>
      <c r="W743">
        <v>4.4241987370000002</v>
      </c>
      <c r="X743" t="s">
        <v>46</v>
      </c>
      <c r="Y743" t="s">
        <v>60</v>
      </c>
      <c r="Z743">
        <v>496.78085434185698</v>
      </c>
    </row>
    <row r="744" spans="1:26" x14ac:dyDescent="0.3">
      <c r="A744" t="s">
        <v>82</v>
      </c>
      <c r="B744" t="s">
        <v>800</v>
      </c>
      <c r="C744">
        <v>38.837636476171397</v>
      </c>
      <c r="D744">
        <v>37</v>
      </c>
      <c r="E744">
        <v>325</v>
      </c>
      <c r="F744">
        <v>9213.2579613233993</v>
      </c>
      <c r="G744" t="s">
        <v>35</v>
      </c>
      <c r="H744">
        <v>69</v>
      </c>
      <c r="I744">
        <v>17</v>
      </c>
      <c r="J744">
        <v>31</v>
      </c>
      <c r="K744">
        <v>7</v>
      </c>
      <c r="L744" t="s">
        <v>27</v>
      </c>
      <c r="M744">
        <v>10.973059810582701</v>
      </c>
      <c r="N744" t="s">
        <v>28</v>
      </c>
      <c r="O744" t="s">
        <v>65</v>
      </c>
      <c r="P744">
        <f>VLOOKUP(O744, Coordinates!$A$2:$C$6, 2, FALSE)</f>
        <v>41.878100000000003</v>
      </c>
      <c r="Q744">
        <f>VLOOKUP(O744, Coordinates!$A$2:$C$6, 3, FALSE)</f>
        <v>-87.629800000000003</v>
      </c>
      <c r="R744">
        <v>10</v>
      </c>
      <c r="S744">
        <v>283</v>
      </c>
      <c r="T744">
        <v>25</v>
      </c>
      <c r="U744">
        <v>74.595854915637901</v>
      </c>
      <c r="V744" t="s">
        <v>30</v>
      </c>
      <c r="W744">
        <v>3.9752937006435198</v>
      </c>
      <c r="X744" t="s">
        <v>40</v>
      </c>
      <c r="Y744" t="s">
        <v>41</v>
      </c>
      <c r="Z744">
        <v>800.92346988720794</v>
      </c>
    </row>
    <row r="745" spans="1:26" x14ac:dyDescent="0.3">
      <c r="A745" t="s">
        <v>61</v>
      </c>
      <c r="B745" t="s">
        <v>801</v>
      </c>
      <c r="C745">
        <v>83.547422510000004</v>
      </c>
      <c r="D745">
        <v>23</v>
      </c>
      <c r="E745">
        <v>735</v>
      </c>
      <c r="F745">
        <v>8024.6962248131904</v>
      </c>
      <c r="G745" t="s">
        <v>54</v>
      </c>
      <c r="H745">
        <v>86</v>
      </c>
      <c r="I745">
        <v>29</v>
      </c>
      <c r="J745">
        <v>33</v>
      </c>
      <c r="K745">
        <v>1</v>
      </c>
      <c r="L745" t="s">
        <v>44</v>
      </c>
      <c r="M745">
        <v>11.2462829696006</v>
      </c>
      <c r="N745" t="s">
        <v>45</v>
      </c>
      <c r="O745" t="s">
        <v>38</v>
      </c>
      <c r="P745">
        <f>VLOOKUP(O745, Coordinates!$A$2:$C$6, 2, FALSE)</f>
        <v>25.761700000000001</v>
      </c>
      <c r="Q745">
        <f>VLOOKUP(O745, Coordinates!$A$2:$C$6, 3, FALSE)</f>
        <v>-80.191800000000001</v>
      </c>
      <c r="R745">
        <v>30</v>
      </c>
      <c r="S745">
        <v>381</v>
      </c>
      <c r="T745">
        <v>12</v>
      </c>
      <c r="U745">
        <v>59.542740525534398</v>
      </c>
      <c r="V745" t="s">
        <v>55</v>
      </c>
      <c r="W745">
        <v>4.248217962</v>
      </c>
      <c r="X745" t="s">
        <v>31</v>
      </c>
      <c r="Y745" t="s">
        <v>41</v>
      </c>
      <c r="Z745">
        <v>167.93111010000001</v>
      </c>
    </row>
    <row r="746" spans="1:26" x14ac:dyDescent="0.3">
      <c r="A746" t="s">
        <v>61</v>
      </c>
      <c r="B746" t="s">
        <v>802</v>
      </c>
      <c r="C746">
        <v>72.356303807268006</v>
      </c>
      <c r="D746">
        <v>93</v>
      </c>
      <c r="E746">
        <v>573</v>
      </c>
      <c r="F746">
        <v>7798.9354530000001</v>
      </c>
      <c r="G746" t="s">
        <v>35</v>
      </c>
      <c r="H746">
        <v>18</v>
      </c>
      <c r="I746">
        <v>8</v>
      </c>
      <c r="J746">
        <v>75</v>
      </c>
      <c r="K746">
        <v>1</v>
      </c>
      <c r="L746" t="s">
        <v>36</v>
      </c>
      <c r="M746">
        <v>7.1485332509918802</v>
      </c>
      <c r="N746" t="s">
        <v>51</v>
      </c>
      <c r="O746" t="s">
        <v>58</v>
      </c>
      <c r="P746">
        <f>VLOOKUP(O746, Coordinates!$A$2:$C$6, 2, FALSE)</f>
        <v>34.052199999999999</v>
      </c>
      <c r="Q746">
        <f>VLOOKUP(O746, Coordinates!$A$2:$C$6, 3, FALSE)</f>
        <v>-118.2437</v>
      </c>
      <c r="R746">
        <v>16</v>
      </c>
      <c r="S746">
        <v>882</v>
      </c>
      <c r="T746">
        <v>26</v>
      </c>
      <c r="U746">
        <v>60.1485319613844</v>
      </c>
      <c r="V746" t="s">
        <v>30</v>
      </c>
      <c r="W746">
        <v>0.44705375365559002</v>
      </c>
      <c r="X746" t="s">
        <v>31</v>
      </c>
      <c r="Y746" t="s">
        <v>41</v>
      </c>
      <c r="Z746">
        <v>744.79284127952303</v>
      </c>
    </row>
    <row r="747" spans="1:26" x14ac:dyDescent="0.3">
      <c r="A747" t="s">
        <v>33</v>
      </c>
      <c r="B747" t="s">
        <v>803</v>
      </c>
      <c r="C747">
        <v>21.831237900827201</v>
      </c>
      <c r="D747">
        <v>85</v>
      </c>
      <c r="E747">
        <v>799</v>
      </c>
      <c r="F747">
        <v>6460.4762180400803</v>
      </c>
      <c r="G747" t="s">
        <v>54</v>
      </c>
      <c r="H747">
        <v>71</v>
      </c>
      <c r="I747">
        <v>30</v>
      </c>
      <c r="J747">
        <v>95</v>
      </c>
      <c r="K747">
        <v>4</v>
      </c>
      <c r="L747" t="s">
        <v>27</v>
      </c>
      <c r="M747">
        <v>2.1163385430107602</v>
      </c>
      <c r="N747" t="s">
        <v>57</v>
      </c>
      <c r="O747" t="s">
        <v>38</v>
      </c>
      <c r="P747">
        <f>VLOOKUP(O747, Coordinates!$A$2:$C$6, 2, FALSE)</f>
        <v>25.761700000000001</v>
      </c>
      <c r="Q747">
        <f>VLOOKUP(O747, Coordinates!$A$2:$C$6, 3, FALSE)</f>
        <v>-80.191800000000001</v>
      </c>
      <c r="R747">
        <v>5</v>
      </c>
      <c r="S747">
        <v>820</v>
      </c>
      <c r="T747">
        <v>4</v>
      </c>
      <c r="U747">
        <v>77.726379111341899</v>
      </c>
      <c r="V747" t="s">
        <v>39</v>
      </c>
      <c r="W747">
        <v>4.3963991652598304</v>
      </c>
      <c r="X747" t="s">
        <v>52</v>
      </c>
      <c r="Y747" t="s">
        <v>41</v>
      </c>
      <c r="Z747">
        <v>481.68636125114</v>
      </c>
    </row>
    <row r="748" spans="1:26" x14ac:dyDescent="0.3">
      <c r="A748" t="s">
        <v>82</v>
      </c>
      <c r="B748" t="s">
        <v>804</v>
      </c>
      <c r="C748">
        <v>53.207404779999997</v>
      </c>
      <c r="D748">
        <v>91</v>
      </c>
      <c r="E748">
        <v>975</v>
      </c>
      <c r="F748">
        <v>6641.0543534666003</v>
      </c>
      <c r="G748" t="s">
        <v>35</v>
      </c>
      <c r="H748">
        <v>12</v>
      </c>
      <c r="I748">
        <v>26</v>
      </c>
      <c r="J748">
        <v>73</v>
      </c>
      <c r="K748">
        <v>2</v>
      </c>
      <c r="L748" t="s">
        <v>36</v>
      </c>
      <c r="M748">
        <v>9.7142124476515797</v>
      </c>
      <c r="N748" t="s">
        <v>45</v>
      </c>
      <c r="O748" t="s">
        <v>38</v>
      </c>
      <c r="P748">
        <f>VLOOKUP(O748, Coordinates!$A$2:$C$6, 2, FALSE)</f>
        <v>25.761700000000001</v>
      </c>
      <c r="Q748">
        <f>VLOOKUP(O748, Coordinates!$A$2:$C$6, 3, FALSE)</f>
        <v>-80.191800000000001</v>
      </c>
      <c r="R748">
        <v>25</v>
      </c>
      <c r="S748">
        <v>262</v>
      </c>
      <c r="T748">
        <v>21</v>
      </c>
      <c r="U748">
        <v>86.947371369999999</v>
      </c>
      <c r="V748" t="s">
        <v>39</v>
      </c>
      <c r="W748">
        <v>4.7237125549999996</v>
      </c>
      <c r="X748" t="s">
        <v>46</v>
      </c>
      <c r="Y748" t="s">
        <v>60</v>
      </c>
      <c r="Z748">
        <v>127.88640242484</v>
      </c>
    </row>
    <row r="749" spans="1:26" x14ac:dyDescent="0.3">
      <c r="A749" t="s">
        <v>42</v>
      </c>
      <c r="B749" t="s">
        <v>805</v>
      </c>
      <c r="C749">
        <v>69.351795539999998</v>
      </c>
      <c r="D749">
        <v>40</v>
      </c>
      <c r="E749">
        <v>629</v>
      </c>
      <c r="G749" t="s">
        <v>26</v>
      </c>
      <c r="H749">
        <v>64</v>
      </c>
      <c r="I749">
        <v>28</v>
      </c>
      <c r="J749">
        <v>74</v>
      </c>
      <c r="K749">
        <v>3</v>
      </c>
      <c r="L749" t="s">
        <v>27</v>
      </c>
      <c r="M749">
        <v>1.72633129198672</v>
      </c>
      <c r="N749" t="s">
        <v>51</v>
      </c>
      <c r="O749" t="s">
        <v>38</v>
      </c>
      <c r="P749">
        <f>VLOOKUP(O749, Coordinates!$A$2:$C$6, 2, FALSE)</f>
        <v>25.761700000000001</v>
      </c>
      <c r="Q749">
        <f>VLOOKUP(O749, Coordinates!$A$2:$C$6, 3, FALSE)</f>
        <v>-80.191800000000001</v>
      </c>
      <c r="R749">
        <v>4</v>
      </c>
      <c r="S749">
        <v>188</v>
      </c>
      <c r="T749">
        <v>28</v>
      </c>
      <c r="U749">
        <v>31.506751054784502</v>
      </c>
      <c r="V749" t="s">
        <v>55</v>
      </c>
      <c r="W749">
        <v>2.3517786813647601</v>
      </c>
      <c r="X749" t="s">
        <v>52</v>
      </c>
      <c r="Y749" t="s">
        <v>32</v>
      </c>
      <c r="Z749">
        <v>590.64216052918005</v>
      </c>
    </row>
    <row r="750" spans="1:26" x14ac:dyDescent="0.3">
      <c r="A750" t="s">
        <v>72</v>
      </c>
      <c r="B750" t="s">
        <v>806</v>
      </c>
      <c r="C750">
        <v>32.719160901525598</v>
      </c>
      <c r="D750">
        <v>77</v>
      </c>
      <c r="E750">
        <v>137</v>
      </c>
      <c r="G750" t="s">
        <v>54</v>
      </c>
      <c r="H750">
        <v>5</v>
      </c>
      <c r="I750">
        <v>2</v>
      </c>
      <c r="J750">
        <v>23</v>
      </c>
      <c r="K750">
        <v>7</v>
      </c>
      <c r="L750" t="s">
        <v>44</v>
      </c>
      <c r="M750">
        <v>6.3536349461916899</v>
      </c>
      <c r="N750" t="s">
        <v>45</v>
      </c>
      <c r="O750" t="s">
        <v>38</v>
      </c>
      <c r="P750">
        <f>VLOOKUP(O750, Coordinates!$A$2:$C$6, 2, FALSE)</f>
        <v>25.761700000000001</v>
      </c>
      <c r="Q750">
        <f>VLOOKUP(O750, Coordinates!$A$2:$C$6, 3, FALSE)</f>
        <v>-80.191800000000001</v>
      </c>
      <c r="R750">
        <v>25</v>
      </c>
      <c r="S750">
        <v>882</v>
      </c>
      <c r="T750">
        <v>12</v>
      </c>
      <c r="U750">
        <v>79.625579684950196</v>
      </c>
      <c r="V750" t="s">
        <v>39</v>
      </c>
      <c r="W750">
        <v>4.5273379606544797</v>
      </c>
      <c r="X750" t="s">
        <v>46</v>
      </c>
      <c r="Y750" t="s">
        <v>32</v>
      </c>
      <c r="Z750">
        <v>729.13226543036899</v>
      </c>
    </row>
    <row r="751" spans="1:26" x14ac:dyDescent="0.3">
      <c r="A751" t="s">
        <v>24</v>
      </c>
      <c r="B751" t="s">
        <v>807</v>
      </c>
      <c r="C751">
        <v>20.874350272829499</v>
      </c>
      <c r="D751">
        <v>23</v>
      </c>
      <c r="E751">
        <v>587</v>
      </c>
      <c r="F751">
        <v>11027.919249135801</v>
      </c>
      <c r="G751" t="s">
        <v>26</v>
      </c>
      <c r="H751">
        <v>70</v>
      </c>
      <c r="I751">
        <v>26</v>
      </c>
      <c r="J751">
        <v>34</v>
      </c>
      <c r="K751">
        <v>7</v>
      </c>
      <c r="L751" t="s">
        <v>27</v>
      </c>
      <c r="M751">
        <v>6.5113832056605201</v>
      </c>
      <c r="N751" t="s">
        <v>45</v>
      </c>
      <c r="O751" t="s">
        <v>38</v>
      </c>
      <c r="P751">
        <f>VLOOKUP(O751, Coordinates!$A$2:$C$6, 2, FALSE)</f>
        <v>25.761700000000001</v>
      </c>
      <c r="Q751">
        <f>VLOOKUP(O751, Coordinates!$A$2:$C$6, 3, FALSE)</f>
        <v>-80.191800000000001</v>
      </c>
      <c r="R751">
        <v>27</v>
      </c>
      <c r="S751">
        <v>196</v>
      </c>
      <c r="T751">
        <v>12</v>
      </c>
      <c r="U751">
        <v>85.367540064113896</v>
      </c>
      <c r="V751" t="s">
        <v>55</v>
      </c>
      <c r="W751">
        <v>3.53861338457921</v>
      </c>
      <c r="X751" t="s">
        <v>40</v>
      </c>
      <c r="Y751" t="s">
        <v>41</v>
      </c>
      <c r="Z751">
        <v>575.41559002429699</v>
      </c>
    </row>
    <row r="752" spans="1:26" x14ac:dyDescent="0.3">
      <c r="A752" t="s">
        <v>72</v>
      </c>
      <c r="B752" t="s">
        <v>808</v>
      </c>
      <c r="C752">
        <v>22.215730445691499</v>
      </c>
      <c r="D752">
        <v>16</v>
      </c>
      <c r="E752">
        <v>87</v>
      </c>
      <c r="F752">
        <v>1739.4916938976401</v>
      </c>
      <c r="G752" t="s">
        <v>35</v>
      </c>
      <c r="H752">
        <v>26</v>
      </c>
      <c r="I752">
        <v>13</v>
      </c>
      <c r="J752">
        <v>12</v>
      </c>
      <c r="K752">
        <v>3</v>
      </c>
      <c r="L752" t="s">
        <v>27</v>
      </c>
      <c r="M752">
        <v>14.984915118486599</v>
      </c>
      <c r="N752" t="s">
        <v>28</v>
      </c>
      <c r="O752" t="s">
        <v>58</v>
      </c>
      <c r="P752">
        <f>VLOOKUP(O752, Coordinates!$A$2:$C$6, 2, FALSE)</f>
        <v>34.052199999999999</v>
      </c>
      <c r="Q752">
        <f>VLOOKUP(O752, Coordinates!$A$2:$C$6, 3, FALSE)</f>
        <v>-118.2437</v>
      </c>
      <c r="R752">
        <v>10</v>
      </c>
      <c r="S752">
        <v>686</v>
      </c>
      <c r="T752">
        <v>26</v>
      </c>
      <c r="U752">
        <v>77.184894040000003</v>
      </c>
      <c r="V752" t="s">
        <v>30</v>
      </c>
      <c r="W752">
        <v>0.66515411926492896</v>
      </c>
      <c r="X752" t="s">
        <v>52</v>
      </c>
      <c r="Y752" t="s">
        <v>60</v>
      </c>
      <c r="Z752">
        <v>210.59194774509899</v>
      </c>
    </row>
    <row r="753" spans="1:26" x14ac:dyDescent="0.3">
      <c r="A753" t="s">
        <v>42</v>
      </c>
      <c r="B753" t="s">
        <v>809</v>
      </c>
      <c r="C753">
        <v>20.6979947920473</v>
      </c>
      <c r="D753">
        <v>94</v>
      </c>
      <c r="E753">
        <v>61</v>
      </c>
      <c r="F753">
        <v>7590.6151068312602</v>
      </c>
      <c r="G753" t="s">
        <v>48</v>
      </c>
      <c r="H753">
        <v>78</v>
      </c>
      <c r="I753">
        <v>12</v>
      </c>
      <c r="J753">
        <v>14</v>
      </c>
      <c r="K753">
        <v>2</v>
      </c>
      <c r="L753" t="s">
        <v>44</v>
      </c>
      <c r="M753">
        <v>5.1972284722075397</v>
      </c>
      <c r="N753" t="s">
        <v>45</v>
      </c>
      <c r="O753" t="s">
        <v>38</v>
      </c>
      <c r="P753">
        <f>VLOOKUP(O753, Coordinates!$A$2:$C$6, 2, FALSE)</f>
        <v>25.761700000000001</v>
      </c>
      <c r="Q753">
        <f>VLOOKUP(O753, Coordinates!$A$2:$C$6, 3, FALSE)</f>
        <v>-80.191800000000001</v>
      </c>
      <c r="R753">
        <v>25</v>
      </c>
      <c r="S753">
        <v>187</v>
      </c>
      <c r="T753">
        <v>4</v>
      </c>
      <c r="U753">
        <v>35.866844950466401</v>
      </c>
      <c r="V753" t="s">
        <v>39</v>
      </c>
      <c r="W753">
        <v>3.5107258291978498</v>
      </c>
      <c r="X753" t="s">
        <v>31</v>
      </c>
      <c r="Y753" t="s">
        <v>60</v>
      </c>
      <c r="Z753">
        <v>834.31820863660005</v>
      </c>
    </row>
    <row r="754" spans="1:26" x14ac:dyDescent="0.3">
      <c r="A754" t="s">
        <v>61</v>
      </c>
      <c r="B754" t="s">
        <v>810</v>
      </c>
      <c r="D754">
        <v>61</v>
      </c>
      <c r="E754">
        <v>380</v>
      </c>
      <c r="F754">
        <v>7992.5174960000004</v>
      </c>
      <c r="G754" t="s">
        <v>54</v>
      </c>
      <c r="H754">
        <v>51</v>
      </c>
      <c r="I754">
        <v>5</v>
      </c>
      <c r="J754">
        <v>74</v>
      </c>
      <c r="K754">
        <v>8</v>
      </c>
      <c r="L754" t="s">
        <v>44</v>
      </c>
      <c r="M754">
        <v>12.486355130931599</v>
      </c>
      <c r="N754" t="s">
        <v>28</v>
      </c>
      <c r="O754" t="s">
        <v>67</v>
      </c>
      <c r="P754">
        <f>VLOOKUP(O754, Coordinates!$A$2:$C$6, 2, FALSE)</f>
        <v>40.712800000000001</v>
      </c>
      <c r="Q754">
        <f>VLOOKUP(O754, Coordinates!$A$2:$C$6, 3, FALSE)</f>
        <v>-74.006</v>
      </c>
      <c r="R754">
        <v>25</v>
      </c>
      <c r="S754">
        <v>617</v>
      </c>
      <c r="T754">
        <v>12</v>
      </c>
      <c r="U754">
        <v>19.373847093776099</v>
      </c>
      <c r="V754" t="s">
        <v>30</v>
      </c>
      <c r="W754">
        <v>3.1830829442378099</v>
      </c>
      <c r="X754" t="s">
        <v>46</v>
      </c>
      <c r="Y754" t="s">
        <v>41</v>
      </c>
      <c r="Z754">
        <v>993.98014081140002</v>
      </c>
    </row>
    <row r="755" spans="1:26" x14ac:dyDescent="0.3">
      <c r="A755" t="s">
        <v>82</v>
      </c>
      <c r="B755" t="s">
        <v>811</v>
      </c>
      <c r="C755">
        <v>99.972811394811799</v>
      </c>
      <c r="D755">
        <v>68</v>
      </c>
      <c r="E755">
        <v>353</v>
      </c>
      <c r="F755">
        <v>8852.1653357530595</v>
      </c>
      <c r="G755" t="s">
        <v>54</v>
      </c>
      <c r="H755">
        <v>97</v>
      </c>
      <c r="I755">
        <v>13</v>
      </c>
      <c r="J755">
        <v>63</v>
      </c>
      <c r="K755">
        <v>9</v>
      </c>
      <c r="L755" t="s">
        <v>27</v>
      </c>
      <c r="M755">
        <v>1.7444035930569499</v>
      </c>
      <c r="N755" t="s">
        <v>51</v>
      </c>
      <c r="O755" t="s">
        <v>67</v>
      </c>
      <c r="P755">
        <f>VLOOKUP(O755, Coordinates!$A$2:$C$6, 2, FALSE)</f>
        <v>40.712800000000001</v>
      </c>
      <c r="Q755">
        <f>VLOOKUP(O755, Coordinates!$A$2:$C$6, 3, FALSE)</f>
        <v>-74.006</v>
      </c>
      <c r="R755">
        <v>6</v>
      </c>
      <c r="S755">
        <v>767</v>
      </c>
      <c r="T755">
        <v>23</v>
      </c>
      <c r="U755">
        <v>30.954092849000101</v>
      </c>
      <c r="V755" t="s">
        <v>55</v>
      </c>
      <c r="W755">
        <v>4.4927534886581704</v>
      </c>
      <c r="X755" t="s">
        <v>52</v>
      </c>
      <c r="Y755" t="s">
        <v>60</v>
      </c>
      <c r="Z755">
        <v>929.31388161746099</v>
      </c>
    </row>
    <row r="756" spans="1:26" x14ac:dyDescent="0.3">
      <c r="A756" t="s">
        <v>61</v>
      </c>
      <c r="B756" t="s">
        <v>812</v>
      </c>
      <c r="C756">
        <v>19.299541708024201</v>
      </c>
      <c r="D756">
        <v>80</v>
      </c>
      <c r="E756">
        <v>275</v>
      </c>
      <c r="F756">
        <v>2940.7578645326398</v>
      </c>
      <c r="G756" t="s">
        <v>35</v>
      </c>
      <c r="H756">
        <v>86</v>
      </c>
      <c r="I756">
        <v>6</v>
      </c>
      <c r="J756">
        <v>28</v>
      </c>
      <c r="K756">
        <v>10</v>
      </c>
      <c r="L756" t="s">
        <v>36</v>
      </c>
      <c r="M756">
        <v>8.4167237954017597</v>
      </c>
      <c r="N756" t="s">
        <v>51</v>
      </c>
      <c r="O756" t="s">
        <v>65</v>
      </c>
      <c r="P756">
        <f>VLOOKUP(O756, Coordinates!$A$2:$C$6, 2, FALSE)</f>
        <v>41.878100000000003</v>
      </c>
      <c r="Q756">
        <f>VLOOKUP(O756, Coordinates!$A$2:$C$6, 3, FALSE)</f>
        <v>-87.629800000000003</v>
      </c>
      <c r="R756">
        <v>30</v>
      </c>
      <c r="S756">
        <v>162</v>
      </c>
      <c r="T756">
        <v>8</v>
      </c>
      <c r="U756">
        <v>95.094956261307402</v>
      </c>
      <c r="V756" t="s">
        <v>55</v>
      </c>
      <c r="W756">
        <v>1.3994705083745</v>
      </c>
      <c r="X756" t="s">
        <v>31</v>
      </c>
      <c r="Y756" t="s">
        <v>41</v>
      </c>
      <c r="Z756">
        <v>916.187910708647</v>
      </c>
    </row>
    <row r="757" spans="1:26" x14ac:dyDescent="0.3">
      <c r="A757" t="s">
        <v>49</v>
      </c>
      <c r="B757" t="s">
        <v>813</v>
      </c>
      <c r="C757">
        <v>82.591908361355095</v>
      </c>
      <c r="D757">
        <v>31</v>
      </c>
      <c r="E757">
        <v>487</v>
      </c>
      <c r="F757">
        <v>1754.2374318555401</v>
      </c>
      <c r="G757" t="s">
        <v>35</v>
      </c>
      <c r="H757">
        <v>47</v>
      </c>
      <c r="I757">
        <v>25</v>
      </c>
      <c r="J757">
        <v>63</v>
      </c>
      <c r="K757">
        <v>3</v>
      </c>
      <c r="L757" t="s">
        <v>44</v>
      </c>
      <c r="M757">
        <v>8.5136834997841593</v>
      </c>
      <c r="N757" t="s">
        <v>28</v>
      </c>
      <c r="O757" t="s">
        <v>29</v>
      </c>
      <c r="P757">
        <f>VLOOKUP(O757, Coordinates!$A$2:$C$6, 2, FALSE)</f>
        <v>29.760400000000001</v>
      </c>
      <c r="Q757">
        <f>VLOOKUP(O757, Coordinates!$A$2:$C$6, 3, FALSE)</f>
        <v>-95.369799999999998</v>
      </c>
      <c r="R757">
        <v>29</v>
      </c>
      <c r="S757">
        <v>640</v>
      </c>
      <c r="T757">
        <v>24</v>
      </c>
      <c r="U757">
        <v>51.6231741191692</v>
      </c>
      <c r="V757" t="s">
        <v>30</v>
      </c>
      <c r="W757">
        <v>3.97116942823707</v>
      </c>
      <c r="X757" t="s">
        <v>31</v>
      </c>
      <c r="Y757" t="s">
        <v>32</v>
      </c>
      <c r="Z757">
        <v>280.32620098298401</v>
      </c>
    </row>
    <row r="758" spans="1:26" x14ac:dyDescent="0.3">
      <c r="A758" t="s">
        <v>61</v>
      </c>
      <c r="B758" t="s">
        <v>814</v>
      </c>
      <c r="C758">
        <v>24.694355302818</v>
      </c>
      <c r="D758">
        <v>53</v>
      </c>
      <c r="E758">
        <v>115</v>
      </c>
      <c r="F758">
        <v>5346.04992938738</v>
      </c>
      <c r="G758" t="s">
        <v>54</v>
      </c>
      <c r="H758">
        <v>87</v>
      </c>
      <c r="I758">
        <v>15</v>
      </c>
      <c r="J758">
        <v>85</v>
      </c>
      <c r="K758">
        <v>9</v>
      </c>
      <c r="L758" t="s">
        <v>27</v>
      </c>
      <c r="M758">
        <v>9.8024979447224698</v>
      </c>
      <c r="N758" t="s">
        <v>37</v>
      </c>
      <c r="O758" t="s">
        <v>65</v>
      </c>
      <c r="P758">
        <f>VLOOKUP(O758, Coordinates!$A$2:$C$6, 2, FALSE)</f>
        <v>41.878100000000003</v>
      </c>
      <c r="Q758">
        <f>VLOOKUP(O758, Coordinates!$A$2:$C$6, 3, FALSE)</f>
        <v>-87.629800000000003</v>
      </c>
      <c r="R758">
        <v>11</v>
      </c>
      <c r="S758">
        <v>915</v>
      </c>
      <c r="T758">
        <v>30</v>
      </c>
      <c r="U758">
        <v>47.671641150042198</v>
      </c>
      <c r="V758" t="s">
        <v>30</v>
      </c>
      <c r="W758">
        <v>3.99906451917373</v>
      </c>
      <c r="X758" t="s">
        <v>40</v>
      </c>
      <c r="Y758" t="s">
        <v>32</v>
      </c>
      <c r="Z758">
        <v>528.72884499999998</v>
      </c>
    </row>
    <row r="759" spans="1:26" x14ac:dyDescent="0.3">
      <c r="A759" t="s">
        <v>61</v>
      </c>
      <c r="B759" t="s">
        <v>815</v>
      </c>
      <c r="C759">
        <v>79.326891298708205</v>
      </c>
      <c r="D759">
        <v>25</v>
      </c>
      <c r="E759">
        <v>873</v>
      </c>
      <c r="F759">
        <v>5626.7262605734504</v>
      </c>
      <c r="G759" t="s">
        <v>48</v>
      </c>
      <c r="H759">
        <v>78</v>
      </c>
      <c r="I759">
        <v>30</v>
      </c>
      <c r="J759">
        <v>19</v>
      </c>
      <c r="K759">
        <v>4</v>
      </c>
      <c r="L759" t="s">
        <v>44</v>
      </c>
      <c r="M759">
        <v>12.340072847459099</v>
      </c>
      <c r="N759" t="s">
        <v>45</v>
      </c>
      <c r="O759" t="s">
        <v>38</v>
      </c>
      <c r="P759">
        <f>VLOOKUP(O759, Coordinates!$A$2:$C$6, 2, FALSE)</f>
        <v>25.761700000000001</v>
      </c>
      <c r="Q759">
        <f>VLOOKUP(O759, Coordinates!$A$2:$C$6, 3, FALSE)</f>
        <v>-80.191800000000001</v>
      </c>
      <c r="R759">
        <v>28</v>
      </c>
      <c r="S759">
        <v>290</v>
      </c>
      <c r="T759">
        <v>30</v>
      </c>
      <c r="U759">
        <v>11.1775913860789</v>
      </c>
      <c r="V759" t="s">
        <v>55</v>
      </c>
      <c r="W759">
        <v>3.6707052921965899</v>
      </c>
      <c r="X759" t="s">
        <v>46</v>
      </c>
      <c r="Y759" t="s">
        <v>32</v>
      </c>
      <c r="Z759">
        <v>223.62897151625401</v>
      </c>
    </row>
    <row r="760" spans="1:26" x14ac:dyDescent="0.3">
      <c r="A760" t="s">
        <v>42</v>
      </c>
      <c r="B760" t="s">
        <v>816</v>
      </c>
      <c r="C760">
        <v>74.784902696534203</v>
      </c>
      <c r="D760">
        <v>44</v>
      </c>
      <c r="E760">
        <v>833</v>
      </c>
      <c r="F760">
        <v>8462.6360199999999</v>
      </c>
      <c r="G760" t="s">
        <v>35</v>
      </c>
      <c r="H760">
        <v>6</v>
      </c>
      <c r="I760">
        <v>24</v>
      </c>
      <c r="J760">
        <v>25</v>
      </c>
      <c r="K760">
        <v>10</v>
      </c>
      <c r="L760" t="s">
        <v>36</v>
      </c>
      <c r="M760">
        <v>11.666927344124</v>
      </c>
      <c r="N760" t="s">
        <v>51</v>
      </c>
      <c r="O760" t="s">
        <v>67</v>
      </c>
      <c r="P760">
        <f>VLOOKUP(O760, Coordinates!$A$2:$C$6, 2, FALSE)</f>
        <v>40.712800000000001</v>
      </c>
      <c r="Q760">
        <f>VLOOKUP(O760, Coordinates!$A$2:$C$6, 3, FALSE)</f>
        <v>-74.006</v>
      </c>
      <c r="R760">
        <v>27</v>
      </c>
      <c r="S760">
        <v>815</v>
      </c>
      <c r="T760">
        <v>3</v>
      </c>
      <c r="U760">
        <v>14.5913214629216</v>
      </c>
      <c r="V760" t="s">
        <v>55</v>
      </c>
      <c r="W760">
        <v>8.6165913999999996E-2</v>
      </c>
      <c r="X760" t="s">
        <v>52</v>
      </c>
      <c r="Y760" t="s">
        <v>41</v>
      </c>
      <c r="Z760">
        <v>709.97229052384102</v>
      </c>
    </row>
    <row r="761" spans="1:26" x14ac:dyDescent="0.3">
      <c r="A761" t="s">
        <v>42</v>
      </c>
      <c r="B761" t="s">
        <v>817</v>
      </c>
      <c r="C761">
        <v>33.546491632040997</v>
      </c>
      <c r="D761">
        <v>12</v>
      </c>
      <c r="E761">
        <v>80</v>
      </c>
      <c r="F761">
        <v>4994.0522135410201</v>
      </c>
      <c r="G761" t="s">
        <v>35</v>
      </c>
      <c r="H761">
        <v>67</v>
      </c>
      <c r="I761">
        <v>22</v>
      </c>
      <c r="J761">
        <v>55</v>
      </c>
      <c r="K761">
        <v>6</v>
      </c>
      <c r="L761" t="s">
        <v>27</v>
      </c>
      <c r="M761">
        <v>11.654113796653199</v>
      </c>
      <c r="N761" t="s">
        <v>45</v>
      </c>
      <c r="O761" t="s">
        <v>38</v>
      </c>
      <c r="P761">
        <f>VLOOKUP(O761, Coordinates!$A$2:$C$6, 2, FALSE)</f>
        <v>25.761700000000001</v>
      </c>
      <c r="Q761">
        <f>VLOOKUP(O761, Coordinates!$A$2:$C$6, 3, FALSE)</f>
        <v>-80.191800000000001</v>
      </c>
      <c r="R761">
        <v>30</v>
      </c>
      <c r="S761">
        <v>377</v>
      </c>
      <c r="T761">
        <v>16</v>
      </c>
      <c r="U761">
        <v>70.182633652725102</v>
      </c>
      <c r="V761" t="s">
        <v>39</v>
      </c>
      <c r="W761">
        <v>4.0051607091359402</v>
      </c>
      <c r="X761" t="s">
        <v>31</v>
      </c>
      <c r="Y761" t="s">
        <v>41</v>
      </c>
      <c r="Z761">
        <v>866.72525052260403</v>
      </c>
    </row>
    <row r="762" spans="1:26" x14ac:dyDescent="0.3">
      <c r="A762" t="s">
        <v>42</v>
      </c>
      <c r="B762" t="s">
        <v>818</v>
      </c>
      <c r="C762">
        <v>35.953196168622704</v>
      </c>
      <c r="D762">
        <v>90</v>
      </c>
      <c r="E762">
        <v>162</v>
      </c>
      <c r="F762">
        <v>6137.6772298988099</v>
      </c>
      <c r="G762" t="s">
        <v>35</v>
      </c>
      <c r="H762">
        <v>43</v>
      </c>
      <c r="I762">
        <v>21</v>
      </c>
      <c r="J762">
        <v>38</v>
      </c>
      <c r="K762">
        <v>7</v>
      </c>
      <c r="L762" t="s">
        <v>27</v>
      </c>
      <c r="M762">
        <v>7.0521150805400099</v>
      </c>
      <c r="N762" t="s">
        <v>37</v>
      </c>
      <c r="O762" t="s">
        <v>65</v>
      </c>
      <c r="P762">
        <f>VLOOKUP(O762, Coordinates!$A$2:$C$6, 2, FALSE)</f>
        <v>41.878100000000003</v>
      </c>
      <c r="Q762">
        <f>VLOOKUP(O762, Coordinates!$A$2:$C$6, 3, FALSE)</f>
        <v>-87.629800000000003</v>
      </c>
      <c r="R762">
        <v>14</v>
      </c>
      <c r="S762">
        <v>638</v>
      </c>
      <c r="T762">
        <v>2</v>
      </c>
      <c r="U762">
        <v>63.084436185249601</v>
      </c>
      <c r="V762" t="s">
        <v>30</v>
      </c>
      <c r="W762">
        <v>3.9473944314549199</v>
      </c>
      <c r="X762" t="s">
        <v>46</v>
      </c>
      <c r="Y762" t="s">
        <v>32</v>
      </c>
      <c r="Z762">
        <v>683.53596463685801</v>
      </c>
    </row>
    <row r="763" spans="1:26" x14ac:dyDescent="0.3">
      <c r="A763" t="s">
        <v>72</v>
      </c>
      <c r="B763" t="s">
        <v>819</v>
      </c>
      <c r="C763">
        <v>33.273259494607103</v>
      </c>
      <c r="D763">
        <v>97</v>
      </c>
      <c r="E763">
        <v>536</v>
      </c>
      <c r="F763">
        <v>16051.020380198401</v>
      </c>
      <c r="G763" t="s">
        <v>48</v>
      </c>
      <c r="H763">
        <v>100</v>
      </c>
      <c r="I763">
        <v>22</v>
      </c>
      <c r="J763">
        <v>24</v>
      </c>
      <c r="K763">
        <v>10</v>
      </c>
      <c r="L763" t="s">
        <v>36</v>
      </c>
      <c r="M763">
        <v>11.184600754531299</v>
      </c>
      <c r="N763" t="s">
        <v>45</v>
      </c>
      <c r="O763" t="s">
        <v>38</v>
      </c>
      <c r="P763">
        <f>VLOOKUP(O763, Coordinates!$A$2:$C$6, 2, FALSE)</f>
        <v>25.761700000000001</v>
      </c>
      <c r="Q763">
        <f>VLOOKUP(O763, Coordinates!$A$2:$C$6, 3, FALSE)</f>
        <v>-80.191800000000001</v>
      </c>
      <c r="R763">
        <v>30</v>
      </c>
      <c r="S763">
        <v>184</v>
      </c>
      <c r="T763">
        <v>6</v>
      </c>
      <c r="U763">
        <v>79.596682623190702</v>
      </c>
      <c r="V763" t="s">
        <v>39</v>
      </c>
      <c r="W763">
        <v>4.3053233152288604</v>
      </c>
      <c r="X763" t="s">
        <v>40</v>
      </c>
      <c r="Y763" t="s">
        <v>41</v>
      </c>
      <c r="Z763">
        <v>334.42736396095199</v>
      </c>
    </row>
    <row r="764" spans="1:26" x14ac:dyDescent="0.3">
      <c r="A764" t="s">
        <v>49</v>
      </c>
      <c r="B764" t="s">
        <v>820</v>
      </c>
      <c r="C764">
        <v>48.83732363</v>
      </c>
      <c r="D764">
        <v>92</v>
      </c>
      <c r="E764">
        <v>937</v>
      </c>
      <c r="F764">
        <v>1343.82505381651</v>
      </c>
      <c r="G764" t="s">
        <v>54</v>
      </c>
      <c r="H764">
        <v>16</v>
      </c>
      <c r="I764">
        <v>30</v>
      </c>
      <c r="J764">
        <v>57</v>
      </c>
      <c r="K764">
        <v>6</v>
      </c>
      <c r="L764" t="s">
        <v>36</v>
      </c>
      <c r="M764">
        <v>7.8784200484877003</v>
      </c>
      <c r="N764" t="s">
        <v>37</v>
      </c>
      <c r="O764" t="s">
        <v>29</v>
      </c>
      <c r="P764">
        <f>VLOOKUP(O764, Coordinates!$A$2:$C$6, 2, FALSE)</f>
        <v>29.760400000000001</v>
      </c>
      <c r="Q764">
        <f>VLOOKUP(O764, Coordinates!$A$2:$C$6, 3, FALSE)</f>
        <v>-95.369799999999998</v>
      </c>
      <c r="R764">
        <v>19</v>
      </c>
      <c r="S764">
        <v>434</v>
      </c>
      <c r="T764">
        <v>28</v>
      </c>
      <c r="U764">
        <v>19.929058842202402</v>
      </c>
      <c r="V764" t="s">
        <v>30</v>
      </c>
      <c r="W764">
        <v>4.0667374259993698</v>
      </c>
      <c r="X764" t="s">
        <v>46</v>
      </c>
      <c r="Y764" t="s">
        <v>60</v>
      </c>
      <c r="Z764">
        <v>168.68327031251599</v>
      </c>
    </row>
    <row r="765" spans="1:26" x14ac:dyDescent="0.3">
      <c r="A765" t="s">
        <v>42</v>
      </c>
      <c r="B765" t="s">
        <v>821</v>
      </c>
      <c r="C765">
        <v>74.427712727621795</v>
      </c>
      <c r="D765">
        <v>9</v>
      </c>
      <c r="E765">
        <v>901</v>
      </c>
      <c r="F765">
        <v>6536.9340693722197</v>
      </c>
      <c r="G765" t="s">
        <v>26</v>
      </c>
      <c r="H765">
        <v>5</v>
      </c>
      <c r="I765">
        <v>28</v>
      </c>
      <c r="J765">
        <v>20</v>
      </c>
      <c r="K765">
        <v>1</v>
      </c>
      <c r="L765" t="s">
        <v>27</v>
      </c>
      <c r="M765">
        <v>1.93731649683003</v>
      </c>
      <c r="N765" t="s">
        <v>57</v>
      </c>
      <c r="O765" t="s">
        <v>67</v>
      </c>
      <c r="P765">
        <f>VLOOKUP(O765, Coordinates!$A$2:$C$6, 2, FALSE)</f>
        <v>40.712800000000001</v>
      </c>
      <c r="Q765">
        <f>VLOOKUP(O765, Coordinates!$A$2:$C$6, 3, FALSE)</f>
        <v>-74.006</v>
      </c>
      <c r="R765">
        <v>22</v>
      </c>
      <c r="S765">
        <v>540</v>
      </c>
      <c r="T765">
        <v>17</v>
      </c>
      <c r="U765">
        <v>41.685505260881797</v>
      </c>
      <c r="V765" t="s">
        <v>55</v>
      </c>
      <c r="W765">
        <v>3.1115157023375701</v>
      </c>
      <c r="X765" t="s">
        <v>46</v>
      </c>
      <c r="Y765" t="s">
        <v>32</v>
      </c>
      <c r="Z765">
        <v>162.334428697227</v>
      </c>
    </row>
    <row r="766" spans="1:26" x14ac:dyDescent="0.3">
      <c r="A766" t="s">
        <v>82</v>
      </c>
      <c r="B766" t="s">
        <v>822</v>
      </c>
      <c r="C766">
        <v>19.058493999754301</v>
      </c>
      <c r="D766">
        <v>12</v>
      </c>
      <c r="E766">
        <v>333</v>
      </c>
      <c r="F766">
        <v>8452.389572</v>
      </c>
      <c r="G766" t="s">
        <v>35</v>
      </c>
      <c r="H766">
        <v>37</v>
      </c>
      <c r="I766">
        <v>4</v>
      </c>
      <c r="J766">
        <v>43</v>
      </c>
      <c r="K766">
        <v>6</v>
      </c>
      <c r="L766" t="s">
        <v>36</v>
      </c>
      <c r="M766">
        <v>13.4625449565641</v>
      </c>
      <c r="N766" t="s">
        <v>37</v>
      </c>
      <c r="O766" t="s">
        <v>58</v>
      </c>
      <c r="P766">
        <f>VLOOKUP(O766, Coordinates!$A$2:$C$6, 2, FALSE)</f>
        <v>34.052199999999999</v>
      </c>
      <c r="Q766">
        <f>VLOOKUP(O766, Coordinates!$A$2:$C$6, 3, FALSE)</f>
        <v>-118.2437</v>
      </c>
      <c r="R766">
        <v>28</v>
      </c>
      <c r="S766">
        <v>821</v>
      </c>
      <c r="T766">
        <v>12</v>
      </c>
      <c r="U766">
        <v>83.112232477613304</v>
      </c>
      <c r="V766" t="s">
        <v>55</v>
      </c>
      <c r="W766">
        <v>3.2664618083615</v>
      </c>
      <c r="X766" t="s">
        <v>52</v>
      </c>
      <c r="Y766" t="s">
        <v>60</v>
      </c>
      <c r="Z766">
        <v>649.83527278412998</v>
      </c>
    </row>
    <row r="767" spans="1:26" x14ac:dyDescent="0.3">
      <c r="A767" t="s">
        <v>72</v>
      </c>
      <c r="B767" t="s">
        <v>823</v>
      </c>
      <c r="C767">
        <v>22.466813523851599</v>
      </c>
      <c r="D767">
        <v>69</v>
      </c>
      <c r="E767">
        <v>126</v>
      </c>
      <c r="F767">
        <v>2547.7366536047698</v>
      </c>
      <c r="G767" t="s">
        <v>48</v>
      </c>
      <c r="H767">
        <v>9</v>
      </c>
      <c r="I767">
        <v>1</v>
      </c>
      <c r="J767">
        <v>45</v>
      </c>
      <c r="K767">
        <v>6</v>
      </c>
      <c r="L767" t="s">
        <v>36</v>
      </c>
      <c r="M767">
        <v>13.4622862859426</v>
      </c>
      <c r="N767" t="s">
        <v>51</v>
      </c>
      <c r="O767" t="s">
        <v>29</v>
      </c>
      <c r="P767">
        <f>VLOOKUP(O767, Coordinates!$A$2:$C$6, 2, FALSE)</f>
        <v>29.760400000000001</v>
      </c>
      <c r="Q767">
        <f>VLOOKUP(O767, Coordinates!$A$2:$C$6, 3, FALSE)</f>
        <v>-95.369799999999998</v>
      </c>
      <c r="R767">
        <v>27</v>
      </c>
      <c r="S767">
        <v>749</v>
      </c>
      <c r="T767">
        <v>9</v>
      </c>
      <c r="U767">
        <v>86.298167897196706</v>
      </c>
      <c r="V767" t="s">
        <v>39</v>
      </c>
      <c r="W767">
        <v>0.14077212881262699</v>
      </c>
      <c r="X767" t="s">
        <v>46</v>
      </c>
      <c r="Y767" t="s">
        <v>60</v>
      </c>
      <c r="Z767">
        <v>957.99574297791503</v>
      </c>
    </row>
    <row r="768" spans="1:26" x14ac:dyDescent="0.3">
      <c r="A768" t="s">
        <v>33</v>
      </c>
      <c r="B768" t="s">
        <v>824</v>
      </c>
      <c r="C768">
        <v>72.534048084820299</v>
      </c>
      <c r="D768">
        <v>54</v>
      </c>
      <c r="E768">
        <v>45</v>
      </c>
      <c r="F768">
        <v>6348.9856053393596</v>
      </c>
      <c r="G768" t="s">
        <v>54</v>
      </c>
      <c r="H768">
        <v>53</v>
      </c>
      <c r="I768">
        <v>15</v>
      </c>
      <c r="J768">
        <v>39</v>
      </c>
      <c r="K768">
        <v>5</v>
      </c>
      <c r="L768" t="s">
        <v>27</v>
      </c>
      <c r="M768">
        <v>5.5203027049999998</v>
      </c>
      <c r="N768" t="s">
        <v>28</v>
      </c>
      <c r="O768" t="s">
        <v>58</v>
      </c>
      <c r="P768">
        <f>VLOOKUP(O768, Coordinates!$A$2:$C$6, 2, FALSE)</f>
        <v>34.052199999999999</v>
      </c>
      <c r="Q768">
        <f>VLOOKUP(O768, Coordinates!$A$2:$C$6, 3, FALSE)</f>
        <v>-118.2437</v>
      </c>
      <c r="R768">
        <v>28</v>
      </c>
      <c r="S768">
        <v>889</v>
      </c>
      <c r="T768">
        <v>16</v>
      </c>
      <c r="U768">
        <v>89.441852588419195</v>
      </c>
      <c r="V768" t="s">
        <v>30</v>
      </c>
      <c r="W768">
        <v>0.44299101459712997</v>
      </c>
      <c r="X768" t="s">
        <v>40</v>
      </c>
      <c r="Y768" t="s">
        <v>41</v>
      </c>
      <c r="Z768">
        <v>725.750359974802</v>
      </c>
    </row>
    <row r="769" spans="1:26" x14ac:dyDescent="0.3">
      <c r="A769" t="s">
        <v>82</v>
      </c>
      <c r="B769" t="s">
        <v>825</v>
      </c>
      <c r="C769">
        <v>91.159566839309207</v>
      </c>
      <c r="D769">
        <v>54</v>
      </c>
      <c r="E769">
        <v>171</v>
      </c>
      <c r="G769" t="s">
        <v>54</v>
      </c>
      <c r="H769">
        <v>90</v>
      </c>
      <c r="I769">
        <v>12</v>
      </c>
      <c r="J769">
        <v>82</v>
      </c>
      <c r="K769">
        <v>3</v>
      </c>
      <c r="L769" t="s">
        <v>44</v>
      </c>
      <c r="M769">
        <v>13.7946366699331</v>
      </c>
      <c r="N769" t="s">
        <v>28</v>
      </c>
      <c r="O769" t="s">
        <v>58</v>
      </c>
      <c r="P769">
        <f>VLOOKUP(O769, Coordinates!$A$2:$C$6, 2, FALSE)</f>
        <v>34.052199999999999</v>
      </c>
      <c r="Q769">
        <f>VLOOKUP(O769, Coordinates!$A$2:$C$6, 3, FALSE)</f>
        <v>-118.2437</v>
      </c>
      <c r="R769">
        <v>4</v>
      </c>
      <c r="S769">
        <v>271</v>
      </c>
      <c r="T769">
        <v>7</v>
      </c>
      <c r="U769">
        <v>20.933047031401198</v>
      </c>
      <c r="V769" t="s">
        <v>55</v>
      </c>
      <c r="W769">
        <v>3.6251480885793699</v>
      </c>
      <c r="X769" t="s">
        <v>31</v>
      </c>
      <c r="Y769" t="s">
        <v>41</v>
      </c>
      <c r="Z769">
        <v>757.56355040841902</v>
      </c>
    </row>
    <row r="770" spans="1:26" x14ac:dyDescent="0.3">
      <c r="A770" t="s">
        <v>24</v>
      </c>
      <c r="B770" t="s">
        <v>826</v>
      </c>
      <c r="C770">
        <v>35.108221829999998</v>
      </c>
      <c r="D770">
        <v>28</v>
      </c>
      <c r="E770">
        <v>926</v>
      </c>
      <c r="F770">
        <v>29259.1920725368</v>
      </c>
      <c r="G770" t="s">
        <v>48</v>
      </c>
      <c r="H770">
        <v>5</v>
      </c>
      <c r="I770">
        <v>9</v>
      </c>
      <c r="J770">
        <v>91</v>
      </c>
      <c r="K770">
        <v>10</v>
      </c>
      <c r="L770" t="s">
        <v>36</v>
      </c>
      <c r="M770">
        <v>11.6117765390711</v>
      </c>
      <c r="N770" t="s">
        <v>45</v>
      </c>
      <c r="O770" t="s">
        <v>38</v>
      </c>
      <c r="P770">
        <f>VLOOKUP(O770, Coordinates!$A$2:$C$6, 2, FALSE)</f>
        <v>25.761700000000001</v>
      </c>
      <c r="Q770">
        <f>VLOOKUP(O770, Coordinates!$A$2:$C$6, 3, FALSE)</f>
        <v>-80.191800000000001</v>
      </c>
      <c r="R770">
        <v>29</v>
      </c>
      <c r="S770">
        <v>951</v>
      </c>
      <c r="T770">
        <v>8</v>
      </c>
      <c r="U770">
        <v>85.162181482176393</v>
      </c>
      <c r="V770" t="s">
        <v>39</v>
      </c>
      <c r="W770">
        <v>4.7263774150787503</v>
      </c>
      <c r="X770" t="s">
        <v>52</v>
      </c>
      <c r="Y770" t="s">
        <v>32</v>
      </c>
      <c r="Z770">
        <v>396.37030208684098</v>
      </c>
    </row>
    <row r="771" spans="1:26" x14ac:dyDescent="0.3">
      <c r="A771" t="s">
        <v>24</v>
      </c>
      <c r="B771" t="s">
        <v>827</v>
      </c>
      <c r="C771">
        <v>21.2381650914425</v>
      </c>
      <c r="D771">
        <v>56</v>
      </c>
      <c r="E771">
        <v>646</v>
      </c>
      <c r="F771">
        <v>12347.8691841646</v>
      </c>
      <c r="G771" t="s">
        <v>35</v>
      </c>
      <c r="H771">
        <v>5</v>
      </c>
      <c r="I771">
        <v>11</v>
      </c>
      <c r="J771">
        <v>28</v>
      </c>
      <c r="K771">
        <v>3</v>
      </c>
      <c r="L771" t="s">
        <v>44</v>
      </c>
      <c r="M771">
        <v>6.61121723206832</v>
      </c>
      <c r="N771" t="s">
        <v>57</v>
      </c>
      <c r="O771" t="s">
        <v>29</v>
      </c>
      <c r="P771">
        <f>VLOOKUP(O771, Coordinates!$A$2:$C$6, 2, FALSE)</f>
        <v>29.760400000000001</v>
      </c>
      <c r="Q771">
        <f>VLOOKUP(O771, Coordinates!$A$2:$C$6, 3, FALSE)</f>
        <v>-95.369799999999998</v>
      </c>
      <c r="R771">
        <v>22</v>
      </c>
      <c r="S771">
        <v>438</v>
      </c>
      <c r="T771">
        <v>7</v>
      </c>
      <c r="U771">
        <v>92.151820302379605</v>
      </c>
      <c r="V771" t="s">
        <v>30</v>
      </c>
      <c r="W771">
        <v>2.7108898903216199</v>
      </c>
      <c r="X771" t="s">
        <v>31</v>
      </c>
      <c r="Y771" t="s">
        <v>41</v>
      </c>
      <c r="Z771">
        <v>627.43470068010595</v>
      </c>
    </row>
    <row r="772" spans="1:26" x14ac:dyDescent="0.3">
      <c r="A772" t="s">
        <v>82</v>
      </c>
      <c r="B772" t="s">
        <v>828</v>
      </c>
      <c r="C772">
        <v>61.916455578830799</v>
      </c>
      <c r="D772">
        <v>99</v>
      </c>
      <c r="E772">
        <v>27</v>
      </c>
      <c r="F772">
        <v>9820.4674867883605</v>
      </c>
      <c r="G772" t="s">
        <v>26</v>
      </c>
      <c r="H772">
        <v>51</v>
      </c>
      <c r="I772">
        <v>5</v>
      </c>
      <c r="J772">
        <v>77</v>
      </c>
      <c r="K772">
        <v>10</v>
      </c>
      <c r="L772" t="s">
        <v>44</v>
      </c>
      <c r="M772">
        <v>5.6410783779999996</v>
      </c>
      <c r="N772" t="s">
        <v>45</v>
      </c>
      <c r="O772" t="s">
        <v>38</v>
      </c>
      <c r="P772">
        <f>VLOOKUP(O772, Coordinates!$A$2:$C$6, 2, FALSE)</f>
        <v>25.761700000000001</v>
      </c>
      <c r="Q772">
        <f>VLOOKUP(O772, Coordinates!$A$2:$C$6, 3, FALSE)</f>
        <v>-80.191800000000001</v>
      </c>
      <c r="R772">
        <v>29</v>
      </c>
      <c r="S772">
        <v>767</v>
      </c>
      <c r="T772">
        <v>21</v>
      </c>
      <c r="U772">
        <v>95.0769914003683</v>
      </c>
      <c r="V772" t="s">
        <v>55</v>
      </c>
      <c r="W772">
        <v>3.71418914301784</v>
      </c>
      <c r="X772" t="s">
        <v>46</v>
      </c>
      <c r="Y772" t="s">
        <v>41</v>
      </c>
      <c r="Z772">
        <v>934.23466462190697</v>
      </c>
    </row>
    <row r="773" spans="1:26" x14ac:dyDescent="0.3">
      <c r="A773" t="s">
        <v>42</v>
      </c>
      <c r="B773" t="s">
        <v>829</v>
      </c>
      <c r="C773">
        <v>38.5787703519443</v>
      </c>
      <c r="D773">
        <v>69</v>
      </c>
      <c r="E773">
        <v>283</v>
      </c>
      <c r="F773">
        <v>4543.47252687733</v>
      </c>
      <c r="G773" t="s">
        <v>35</v>
      </c>
      <c r="H773">
        <v>14</v>
      </c>
      <c r="I773">
        <v>24</v>
      </c>
      <c r="J773">
        <v>79</v>
      </c>
      <c r="K773">
        <v>7</v>
      </c>
      <c r="L773" t="s">
        <v>44</v>
      </c>
      <c r="M773">
        <v>14.6519977914054</v>
      </c>
      <c r="N773" t="s">
        <v>37</v>
      </c>
      <c r="O773" t="s">
        <v>38</v>
      </c>
      <c r="P773">
        <f>VLOOKUP(O773, Coordinates!$A$2:$C$6, 2, FALSE)</f>
        <v>25.761700000000001</v>
      </c>
      <c r="Q773">
        <f>VLOOKUP(O773, Coordinates!$A$2:$C$6, 3, FALSE)</f>
        <v>-80.191800000000001</v>
      </c>
      <c r="R773">
        <v>19</v>
      </c>
      <c r="S773">
        <v>328</v>
      </c>
      <c r="T773">
        <v>5</v>
      </c>
      <c r="U773">
        <v>39.659291033088103</v>
      </c>
      <c r="V773" t="s">
        <v>30</v>
      </c>
      <c r="W773">
        <v>3.0718291992253799</v>
      </c>
      <c r="X773" t="s">
        <v>40</v>
      </c>
      <c r="Y773" t="s">
        <v>60</v>
      </c>
      <c r="Z773">
        <v>911.49917235003898</v>
      </c>
    </row>
    <row r="774" spans="1:26" x14ac:dyDescent="0.3">
      <c r="A774" t="s">
        <v>33</v>
      </c>
      <c r="B774" t="s">
        <v>830</v>
      </c>
      <c r="C774">
        <v>48.554310334079403</v>
      </c>
      <c r="D774">
        <v>98</v>
      </c>
      <c r="E774">
        <v>767</v>
      </c>
      <c r="F774">
        <v>3046.7955585117602</v>
      </c>
      <c r="G774" t="s">
        <v>54</v>
      </c>
      <c r="H774">
        <v>67</v>
      </c>
      <c r="I774">
        <v>7</v>
      </c>
      <c r="J774">
        <v>42</v>
      </c>
      <c r="K774">
        <v>8</v>
      </c>
      <c r="L774" t="s">
        <v>36</v>
      </c>
      <c r="M774">
        <v>10.976777483558299</v>
      </c>
      <c r="N774" t="s">
        <v>28</v>
      </c>
      <c r="O774" t="s">
        <v>58</v>
      </c>
      <c r="P774">
        <f>VLOOKUP(O774, Coordinates!$A$2:$C$6, 2, FALSE)</f>
        <v>34.052199999999999</v>
      </c>
      <c r="Q774">
        <f>VLOOKUP(O774, Coordinates!$A$2:$C$6, 3, FALSE)</f>
        <v>-118.2437</v>
      </c>
      <c r="R774">
        <v>17</v>
      </c>
      <c r="S774">
        <v>917</v>
      </c>
      <c r="T774">
        <v>23</v>
      </c>
      <c r="U774">
        <v>69.239619419999997</v>
      </c>
      <c r="V774" t="s">
        <v>55</v>
      </c>
      <c r="W774">
        <v>0.52495659426974695</v>
      </c>
      <c r="X774" t="s">
        <v>31</v>
      </c>
      <c r="Y774" t="s">
        <v>41</v>
      </c>
      <c r="Z774">
        <v>219.26258350000001</v>
      </c>
    </row>
    <row r="775" spans="1:26" x14ac:dyDescent="0.3">
      <c r="A775" t="s">
        <v>33</v>
      </c>
      <c r="B775" t="s">
        <v>831</v>
      </c>
      <c r="C775">
        <v>8.6082485125360702</v>
      </c>
      <c r="D775">
        <v>98</v>
      </c>
      <c r="E775">
        <v>473</v>
      </c>
      <c r="F775">
        <v>2541.9209000893702</v>
      </c>
      <c r="G775" t="s">
        <v>26</v>
      </c>
      <c r="H775">
        <v>56</v>
      </c>
      <c r="I775">
        <v>8</v>
      </c>
      <c r="J775">
        <v>89</v>
      </c>
      <c r="K775">
        <v>3</v>
      </c>
      <c r="L775" t="s">
        <v>27</v>
      </c>
      <c r="M775">
        <v>6.3033393667968003</v>
      </c>
      <c r="N775" t="s">
        <v>37</v>
      </c>
      <c r="O775" t="s">
        <v>29</v>
      </c>
      <c r="P775">
        <f>VLOOKUP(O775, Coordinates!$A$2:$C$6, 2, FALSE)</f>
        <v>29.760400000000001</v>
      </c>
      <c r="Q775">
        <f>VLOOKUP(O775, Coordinates!$A$2:$C$6, 3, FALSE)</f>
        <v>-95.369799999999998</v>
      </c>
      <c r="R775">
        <v>18</v>
      </c>
      <c r="S775">
        <v>278</v>
      </c>
      <c r="T775">
        <v>7</v>
      </c>
      <c r="U775">
        <v>62.980413039016803</v>
      </c>
      <c r="V775" t="s">
        <v>55</v>
      </c>
      <c r="W775">
        <v>3.33954302125465</v>
      </c>
      <c r="X775" t="s">
        <v>40</v>
      </c>
      <c r="Y775" t="s">
        <v>32</v>
      </c>
      <c r="Z775">
        <v>668.82204790000003</v>
      </c>
    </row>
    <row r="776" spans="1:26" x14ac:dyDescent="0.3">
      <c r="A776" t="s">
        <v>72</v>
      </c>
      <c r="B776" t="s">
        <v>832</v>
      </c>
      <c r="C776">
        <v>31.877791783942101</v>
      </c>
      <c r="D776">
        <v>77</v>
      </c>
      <c r="E776">
        <v>404</v>
      </c>
      <c r="F776">
        <v>11590.765092641301</v>
      </c>
      <c r="G776" t="s">
        <v>35</v>
      </c>
      <c r="H776">
        <v>55</v>
      </c>
      <c r="I776">
        <v>1</v>
      </c>
      <c r="J776">
        <v>84</v>
      </c>
      <c r="K776">
        <v>3</v>
      </c>
      <c r="L776" t="s">
        <v>27</v>
      </c>
      <c r="M776">
        <v>9.9877744317312693</v>
      </c>
      <c r="N776" t="s">
        <v>28</v>
      </c>
      <c r="O776" t="s">
        <v>67</v>
      </c>
      <c r="P776">
        <f>VLOOKUP(O776, Coordinates!$A$2:$C$6, 2, FALSE)</f>
        <v>40.712800000000001</v>
      </c>
      <c r="Q776">
        <f>VLOOKUP(O776, Coordinates!$A$2:$C$6, 3, FALSE)</f>
        <v>-74.006</v>
      </c>
      <c r="R776">
        <v>8</v>
      </c>
      <c r="S776">
        <v>346</v>
      </c>
      <c r="T776">
        <v>18</v>
      </c>
      <c r="U776">
        <v>78.011594470000006</v>
      </c>
      <c r="V776" t="s">
        <v>30</v>
      </c>
      <c r="W776">
        <v>2.3923498838102502</v>
      </c>
      <c r="X776" t="s">
        <v>46</v>
      </c>
      <c r="Y776" t="s">
        <v>41</v>
      </c>
      <c r="Z776">
        <v>757.76035208359997</v>
      </c>
    </row>
    <row r="777" spans="1:26" x14ac:dyDescent="0.3">
      <c r="A777" t="s">
        <v>33</v>
      </c>
      <c r="B777" t="s">
        <v>833</v>
      </c>
      <c r="C777">
        <v>57.185635543301501</v>
      </c>
      <c r="D777">
        <v>58</v>
      </c>
      <c r="E777">
        <v>13</v>
      </c>
      <c r="F777">
        <v>6485.0076760000002</v>
      </c>
      <c r="G777" t="s">
        <v>26</v>
      </c>
      <c r="H777">
        <v>6</v>
      </c>
      <c r="I777">
        <v>25</v>
      </c>
      <c r="J777">
        <v>31</v>
      </c>
      <c r="K777">
        <v>7</v>
      </c>
      <c r="L777" t="s">
        <v>27</v>
      </c>
      <c r="M777">
        <v>9.0013667865231604</v>
      </c>
      <c r="N777" t="s">
        <v>28</v>
      </c>
      <c r="O777" t="s">
        <v>65</v>
      </c>
      <c r="P777">
        <f>VLOOKUP(O777, Coordinates!$A$2:$C$6, 2, FALSE)</f>
        <v>41.878100000000003</v>
      </c>
      <c r="Q777">
        <f>VLOOKUP(O777, Coordinates!$A$2:$C$6, 3, FALSE)</f>
        <v>-87.629800000000003</v>
      </c>
      <c r="R777">
        <v>4</v>
      </c>
      <c r="S777">
        <v>996</v>
      </c>
      <c r="T777">
        <v>18</v>
      </c>
      <c r="U777">
        <v>32.335021130000001</v>
      </c>
      <c r="V777" t="s">
        <v>30</v>
      </c>
      <c r="W777">
        <v>3.0126148834363899</v>
      </c>
      <c r="X777" t="s">
        <v>46</v>
      </c>
      <c r="Y777" t="s">
        <v>32</v>
      </c>
      <c r="Z777">
        <v>728.641095255094</v>
      </c>
    </row>
    <row r="778" spans="1:26" x14ac:dyDescent="0.3">
      <c r="A778" t="s">
        <v>24</v>
      </c>
      <c r="B778" t="s">
        <v>834</v>
      </c>
      <c r="C778">
        <v>33.569641214521297</v>
      </c>
      <c r="D778">
        <v>78</v>
      </c>
      <c r="E778">
        <v>17</v>
      </c>
      <c r="F778">
        <v>513.61551058217594</v>
      </c>
      <c r="G778" t="s">
        <v>48</v>
      </c>
      <c r="H778">
        <v>50</v>
      </c>
      <c r="I778">
        <v>1</v>
      </c>
      <c r="J778">
        <v>45</v>
      </c>
      <c r="K778">
        <v>10</v>
      </c>
      <c r="L778" t="s">
        <v>27</v>
      </c>
      <c r="M778">
        <v>8.3435603179999998</v>
      </c>
      <c r="N778" t="s">
        <v>28</v>
      </c>
      <c r="O778" t="s">
        <v>38</v>
      </c>
      <c r="P778">
        <f>VLOOKUP(O778, Coordinates!$A$2:$C$6, 2, FALSE)</f>
        <v>25.761700000000001</v>
      </c>
      <c r="Q778">
        <f>VLOOKUP(O778, Coordinates!$A$2:$C$6, 3, FALSE)</f>
        <v>-80.191800000000001</v>
      </c>
      <c r="R778">
        <v>23</v>
      </c>
      <c r="S778">
        <v>773</v>
      </c>
      <c r="T778">
        <v>16</v>
      </c>
      <c r="U778">
        <v>82.397694713781306</v>
      </c>
      <c r="V778" t="s">
        <v>30</v>
      </c>
      <c r="W778">
        <v>2.8157091440526099</v>
      </c>
      <c r="X778" t="s">
        <v>31</v>
      </c>
      <c r="Y778" t="s">
        <v>60</v>
      </c>
      <c r="Z778">
        <v>331.58500317015302</v>
      </c>
    </row>
    <row r="779" spans="1:26" x14ac:dyDescent="0.3">
      <c r="A779" t="s">
        <v>49</v>
      </c>
      <c r="B779" t="s">
        <v>835</v>
      </c>
      <c r="C779">
        <v>69.671809831246094</v>
      </c>
      <c r="D779">
        <v>75</v>
      </c>
      <c r="E779">
        <v>928</v>
      </c>
      <c r="F779">
        <v>1792.0542476030701</v>
      </c>
      <c r="G779" t="s">
        <v>35</v>
      </c>
      <c r="H779">
        <v>57</v>
      </c>
      <c r="I779">
        <v>3</v>
      </c>
      <c r="J779">
        <v>32</v>
      </c>
      <c r="K779">
        <v>7</v>
      </c>
      <c r="L779" t="s">
        <v>27</v>
      </c>
      <c r="M779">
        <v>10.0258265833658</v>
      </c>
      <c r="N779" t="s">
        <v>51</v>
      </c>
      <c r="O779" t="s">
        <v>38</v>
      </c>
      <c r="P779">
        <f>VLOOKUP(O779, Coordinates!$A$2:$C$6, 2, FALSE)</f>
        <v>25.761700000000001</v>
      </c>
      <c r="Q779">
        <f>VLOOKUP(O779, Coordinates!$A$2:$C$6, 3, FALSE)</f>
        <v>-80.191800000000001</v>
      </c>
      <c r="R779">
        <v>18</v>
      </c>
      <c r="S779">
        <v>774</v>
      </c>
      <c r="T779">
        <v>7</v>
      </c>
      <c r="U779">
        <v>26.6346661287789</v>
      </c>
      <c r="V779" t="s">
        <v>30</v>
      </c>
      <c r="W779">
        <v>3.8150012422701902</v>
      </c>
      <c r="X779" t="s">
        <v>52</v>
      </c>
      <c r="Y779" t="s">
        <v>60</v>
      </c>
      <c r="Z779">
        <v>537.42856022788703</v>
      </c>
    </row>
    <row r="780" spans="1:26" x14ac:dyDescent="0.3">
      <c r="A780" t="s">
        <v>42</v>
      </c>
      <c r="B780" t="s">
        <v>836</v>
      </c>
      <c r="C780">
        <v>49.344297336962804</v>
      </c>
      <c r="D780">
        <v>42</v>
      </c>
      <c r="E780">
        <v>927</v>
      </c>
      <c r="F780">
        <v>9041.8112514859295</v>
      </c>
      <c r="G780" t="s">
        <v>54</v>
      </c>
      <c r="H780">
        <v>63</v>
      </c>
      <c r="I780">
        <v>8</v>
      </c>
      <c r="J780">
        <v>72</v>
      </c>
      <c r="K780">
        <v>9</v>
      </c>
      <c r="L780" t="s">
        <v>27</v>
      </c>
      <c r="M780">
        <v>8.5267685105250592</v>
      </c>
      <c r="N780" t="s">
        <v>37</v>
      </c>
      <c r="O780" t="s">
        <v>38</v>
      </c>
      <c r="P780">
        <f>VLOOKUP(O780, Coordinates!$A$2:$C$6, 2, FALSE)</f>
        <v>25.761700000000001</v>
      </c>
      <c r="Q780">
        <f>VLOOKUP(O780, Coordinates!$A$2:$C$6, 3, FALSE)</f>
        <v>-80.191800000000001</v>
      </c>
      <c r="R780">
        <v>28</v>
      </c>
      <c r="S780">
        <v>829</v>
      </c>
      <c r="T780">
        <v>21</v>
      </c>
      <c r="U780">
        <v>72.550890077960105</v>
      </c>
      <c r="V780" t="s">
        <v>55</v>
      </c>
      <c r="W780">
        <v>1.5928413185799</v>
      </c>
      <c r="X780" t="s">
        <v>40</v>
      </c>
      <c r="Y780" t="s">
        <v>60</v>
      </c>
      <c r="Z780">
        <v>697.01214829807304</v>
      </c>
    </row>
    <row r="781" spans="1:26" x14ac:dyDescent="0.3">
      <c r="A781" t="s">
        <v>33</v>
      </c>
      <c r="B781" t="s">
        <v>837</v>
      </c>
      <c r="C781">
        <v>8.2738196449999997</v>
      </c>
      <c r="D781">
        <v>38</v>
      </c>
      <c r="E781">
        <v>823</v>
      </c>
      <c r="F781">
        <v>4503.3975712814299</v>
      </c>
      <c r="G781" t="s">
        <v>54</v>
      </c>
      <c r="H781">
        <v>25</v>
      </c>
      <c r="I781">
        <v>28</v>
      </c>
      <c r="J781">
        <v>35</v>
      </c>
      <c r="K781">
        <v>6</v>
      </c>
      <c r="L781" t="s">
        <v>44</v>
      </c>
      <c r="M781">
        <v>10.1670649516093</v>
      </c>
      <c r="N781" t="s">
        <v>45</v>
      </c>
      <c r="O781" t="s">
        <v>38</v>
      </c>
      <c r="P781">
        <f>VLOOKUP(O781, Coordinates!$A$2:$C$6, 2, FALSE)</f>
        <v>25.761700000000001</v>
      </c>
      <c r="Q781">
        <f>VLOOKUP(O781, Coordinates!$A$2:$C$6, 3, FALSE)</f>
        <v>-80.191800000000001</v>
      </c>
      <c r="R781">
        <v>25</v>
      </c>
      <c r="S781">
        <v>416</v>
      </c>
      <c r="T781">
        <v>2</v>
      </c>
      <c r="U781">
        <v>96.822503429999998</v>
      </c>
      <c r="V781" t="s">
        <v>55</v>
      </c>
      <c r="W781">
        <v>3.7287185250559398</v>
      </c>
      <c r="X781" t="s">
        <v>40</v>
      </c>
      <c r="Y781" t="s">
        <v>32</v>
      </c>
      <c r="Z781">
        <v>937.84881901383301</v>
      </c>
    </row>
    <row r="782" spans="1:26" x14ac:dyDescent="0.3">
      <c r="A782" t="s">
        <v>72</v>
      </c>
      <c r="B782" t="s">
        <v>838</v>
      </c>
      <c r="C782">
        <v>35.591890353318298</v>
      </c>
      <c r="D782">
        <v>68</v>
      </c>
      <c r="E782">
        <v>836</v>
      </c>
      <c r="F782">
        <v>26779.338301836699</v>
      </c>
      <c r="G782" t="s">
        <v>26</v>
      </c>
      <c r="H782">
        <v>57</v>
      </c>
      <c r="I782">
        <v>11</v>
      </c>
      <c r="J782">
        <v>69</v>
      </c>
      <c r="K782">
        <v>7</v>
      </c>
      <c r="L782" t="s">
        <v>44</v>
      </c>
      <c r="M782">
        <v>13.705959871130901</v>
      </c>
      <c r="N782" t="s">
        <v>57</v>
      </c>
      <c r="O782" t="s">
        <v>67</v>
      </c>
      <c r="P782">
        <f>VLOOKUP(O782, Coordinates!$A$2:$C$6, 2, FALSE)</f>
        <v>40.712800000000001</v>
      </c>
      <c r="Q782">
        <f>VLOOKUP(O782, Coordinates!$A$2:$C$6, 3, FALSE)</f>
        <v>-74.006</v>
      </c>
      <c r="R782">
        <v>26</v>
      </c>
      <c r="S782">
        <v>385</v>
      </c>
      <c r="T782">
        <v>17</v>
      </c>
      <c r="U782">
        <v>93.487194135422399</v>
      </c>
      <c r="V782" t="s">
        <v>55</v>
      </c>
      <c r="W782">
        <v>1.9580315326228901</v>
      </c>
      <c r="X782" t="s">
        <v>40</v>
      </c>
      <c r="Y782" t="s">
        <v>60</v>
      </c>
      <c r="Z782">
        <v>549.69398682417</v>
      </c>
    </row>
    <row r="783" spans="1:26" x14ac:dyDescent="0.3">
      <c r="A783" t="s">
        <v>24</v>
      </c>
      <c r="B783" t="s">
        <v>839</v>
      </c>
      <c r="C783">
        <v>37.713979271518497</v>
      </c>
      <c r="D783">
        <v>53</v>
      </c>
      <c r="E783">
        <v>56</v>
      </c>
      <c r="F783">
        <v>1900.7845552845299</v>
      </c>
      <c r="G783" t="s">
        <v>48</v>
      </c>
      <c r="H783">
        <v>30</v>
      </c>
      <c r="I783">
        <v>1</v>
      </c>
      <c r="J783">
        <v>14</v>
      </c>
      <c r="K783">
        <v>10</v>
      </c>
      <c r="L783" t="s">
        <v>44</v>
      </c>
      <c r="M783">
        <v>14.9057095540338</v>
      </c>
      <c r="N783" t="s">
        <v>45</v>
      </c>
      <c r="O783" t="s">
        <v>38</v>
      </c>
      <c r="P783">
        <f>VLOOKUP(O783, Coordinates!$A$2:$C$6, 2, FALSE)</f>
        <v>25.761700000000001</v>
      </c>
      <c r="Q783">
        <f>VLOOKUP(O783, Coordinates!$A$2:$C$6, 3, FALSE)</f>
        <v>-80.191800000000001</v>
      </c>
      <c r="R783">
        <v>29</v>
      </c>
      <c r="S783">
        <v>175</v>
      </c>
      <c r="T783">
        <v>25</v>
      </c>
      <c r="U783">
        <v>90.915965100140497</v>
      </c>
      <c r="V783" t="s">
        <v>39</v>
      </c>
      <c r="W783">
        <v>4.7954455934953497</v>
      </c>
      <c r="X783" t="s">
        <v>46</v>
      </c>
      <c r="Y783" t="s">
        <v>60</v>
      </c>
      <c r="Z783">
        <v>370.45793928604797</v>
      </c>
    </row>
    <row r="784" spans="1:26" x14ac:dyDescent="0.3">
      <c r="A784" t="s">
        <v>49</v>
      </c>
      <c r="B784" t="s">
        <v>840</v>
      </c>
      <c r="C784">
        <v>53.725729533983703</v>
      </c>
      <c r="D784">
        <v>33</v>
      </c>
      <c r="E784">
        <v>213</v>
      </c>
      <c r="F784">
        <v>4510.5945917286499</v>
      </c>
      <c r="G784" t="s">
        <v>35</v>
      </c>
      <c r="H784">
        <v>65</v>
      </c>
      <c r="I784">
        <v>14</v>
      </c>
      <c r="J784">
        <v>63</v>
      </c>
      <c r="K784">
        <v>1</v>
      </c>
      <c r="L784" t="s">
        <v>36</v>
      </c>
      <c r="M784">
        <v>-10</v>
      </c>
      <c r="N784" t="s">
        <v>37</v>
      </c>
      <c r="O784" t="s">
        <v>58</v>
      </c>
      <c r="P784">
        <f>VLOOKUP(O784, Coordinates!$A$2:$C$6, 2, FALSE)</f>
        <v>34.052199999999999</v>
      </c>
      <c r="Q784">
        <f>VLOOKUP(O784, Coordinates!$A$2:$C$6, 3, FALSE)</f>
        <v>-118.2437</v>
      </c>
      <c r="R784">
        <v>13</v>
      </c>
      <c r="S784">
        <v>551</v>
      </c>
      <c r="T784">
        <v>27</v>
      </c>
      <c r="U784">
        <v>30.153892999846299</v>
      </c>
      <c r="V784" t="s">
        <v>30</v>
      </c>
      <c r="W784">
        <v>2.1555631090151701</v>
      </c>
      <c r="X784" t="s">
        <v>46</v>
      </c>
      <c r="Y784" t="s">
        <v>41</v>
      </c>
      <c r="Z784">
        <v>447.86884037157103</v>
      </c>
    </row>
    <row r="785" spans="1:26" x14ac:dyDescent="0.3">
      <c r="A785" t="s">
        <v>61</v>
      </c>
      <c r="B785" t="s">
        <v>841</v>
      </c>
      <c r="C785">
        <v>13.898879967061401</v>
      </c>
      <c r="D785">
        <v>71</v>
      </c>
      <c r="E785">
        <v>554</v>
      </c>
      <c r="F785">
        <v>8772.1930282523099</v>
      </c>
      <c r="H785">
        <v>91</v>
      </c>
      <c r="I785">
        <v>1</v>
      </c>
      <c r="J785">
        <v>47</v>
      </c>
      <c r="K785">
        <v>7</v>
      </c>
      <c r="L785" t="s">
        <v>36</v>
      </c>
      <c r="M785">
        <v>13.989491224506001</v>
      </c>
      <c r="N785" t="s">
        <v>57</v>
      </c>
      <c r="O785" t="s">
        <v>67</v>
      </c>
      <c r="P785">
        <f>VLOOKUP(O785, Coordinates!$A$2:$C$6, 2, FALSE)</f>
        <v>40.712800000000001</v>
      </c>
      <c r="Q785">
        <f>VLOOKUP(O785, Coordinates!$A$2:$C$6, 3, FALSE)</f>
        <v>-74.006</v>
      </c>
      <c r="R785">
        <v>24</v>
      </c>
      <c r="S785">
        <v>303</v>
      </c>
      <c r="T785">
        <v>8</v>
      </c>
      <c r="U785">
        <v>29.940536566408799</v>
      </c>
      <c r="V785" t="s">
        <v>30</v>
      </c>
      <c r="W785">
        <v>0.88537385850027295</v>
      </c>
      <c r="X785" t="s">
        <v>31</v>
      </c>
      <c r="Y785" t="s">
        <v>32</v>
      </c>
      <c r="Z785">
        <v>587.187125292264</v>
      </c>
    </row>
    <row r="786" spans="1:26" x14ac:dyDescent="0.3">
      <c r="A786" t="s">
        <v>61</v>
      </c>
      <c r="B786" t="s">
        <v>842</v>
      </c>
      <c r="C786">
        <v>76.689016051866204</v>
      </c>
      <c r="D786">
        <v>56</v>
      </c>
      <c r="E786">
        <v>616</v>
      </c>
      <c r="F786">
        <v>9363.3487769999992</v>
      </c>
      <c r="G786" t="s">
        <v>48</v>
      </c>
      <c r="H786">
        <v>12</v>
      </c>
      <c r="I786">
        <v>6</v>
      </c>
      <c r="J786">
        <v>71</v>
      </c>
      <c r="K786">
        <v>2</v>
      </c>
      <c r="L786" t="s">
        <v>36</v>
      </c>
      <c r="M786">
        <v>13.017743554361299</v>
      </c>
      <c r="N786" t="s">
        <v>45</v>
      </c>
      <c r="O786" t="s">
        <v>38</v>
      </c>
      <c r="P786">
        <f>VLOOKUP(O786, Coordinates!$A$2:$C$6, 2, FALSE)</f>
        <v>25.761700000000001</v>
      </c>
      <c r="Q786">
        <f>VLOOKUP(O786, Coordinates!$A$2:$C$6, 3, FALSE)</f>
        <v>-80.191800000000001</v>
      </c>
      <c r="R786">
        <v>30</v>
      </c>
      <c r="S786">
        <v>827</v>
      </c>
      <c r="T786">
        <v>2</v>
      </c>
      <c r="U786">
        <v>20.708725959971201</v>
      </c>
      <c r="V786" t="s">
        <v>39</v>
      </c>
      <c r="W786">
        <v>4.8860373865413198</v>
      </c>
      <c r="X786" t="s">
        <v>31</v>
      </c>
      <c r="Y786" t="s">
        <v>60</v>
      </c>
      <c r="Z786">
        <v>978.72292513697596</v>
      </c>
    </row>
    <row r="787" spans="1:26" x14ac:dyDescent="0.3">
      <c r="A787" t="s">
        <v>49</v>
      </c>
      <c r="B787" t="s">
        <v>843</v>
      </c>
      <c r="C787">
        <v>51.733454510044197</v>
      </c>
      <c r="D787">
        <v>72</v>
      </c>
      <c r="E787">
        <v>709</v>
      </c>
      <c r="F787">
        <v>3731.07894804645</v>
      </c>
      <c r="H787">
        <v>17</v>
      </c>
      <c r="I787">
        <v>21</v>
      </c>
      <c r="J787">
        <v>34</v>
      </c>
      <c r="K787">
        <v>7</v>
      </c>
      <c r="L787" t="s">
        <v>27</v>
      </c>
      <c r="M787">
        <v>5.1305235717378999</v>
      </c>
      <c r="N787" t="s">
        <v>57</v>
      </c>
      <c r="O787" t="s">
        <v>29</v>
      </c>
      <c r="P787">
        <f>VLOOKUP(O787, Coordinates!$A$2:$C$6, 2, FALSE)</f>
        <v>29.760400000000001</v>
      </c>
      <c r="Q787">
        <f>VLOOKUP(O787, Coordinates!$A$2:$C$6, 3, FALSE)</f>
        <v>-95.369799999999998</v>
      </c>
      <c r="R787">
        <v>16</v>
      </c>
      <c r="S787">
        <v>523</v>
      </c>
      <c r="T787">
        <v>18</v>
      </c>
      <c r="U787">
        <v>68.459606559231901</v>
      </c>
      <c r="V787" t="s">
        <v>30</v>
      </c>
      <c r="W787">
        <v>2.4669093198227299</v>
      </c>
      <c r="X787" t="s">
        <v>46</v>
      </c>
      <c r="Y787" t="s">
        <v>41</v>
      </c>
      <c r="Z787">
        <v>665.49844596380694</v>
      </c>
    </row>
    <row r="788" spans="1:26" x14ac:dyDescent="0.3">
      <c r="A788" t="s">
        <v>24</v>
      </c>
      <c r="B788" t="s">
        <v>844</v>
      </c>
      <c r="C788">
        <v>26.244724543397599</v>
      </c>
      <c r="D788">
        <v>51</v>
      </c>
      <c r="E788">
        <v>406</v>
      </c>
      <c r="F788">
        <v>9589.8223481574896</v>
      </c>
      <c r="G788" t="s">
        <v>26</v>
      </c>
      <c r="H788">
        <v>93</v>
      </c>
      <c r="I788">
        <v>27</v>
      </c>
      <c r="J788">
        <v>21</v>
      </c>
      <c r="K788">
        <v>3</v>
      </c>
      <c r="L788" t="s">
        <v>44</v>
      </c>
      <c r="M788">
        <v>14.0607117626024</v>
      </c>
      <c r="N788" t="s">
        <v>37</v>
      </c>
      <c r="O788" t="s">
        <v>58</v>
      </c>
      <c r="P788">
        <f>VLOOKUP(O788, Coordinates!$A$2:$C$6, 2, FALSE)</f>
        <v>34.052199999999999</v>
      </c>
      <c r="Q788">
        <f>VLOOKUP(O788, Coordinates!$A$2:$C$6, 3, FALSE)</f>
        <v>-118.2437</v>
      </c>
      <c r="R788">
        <v>28</v>
      </c>
      <c r="S788">
        <v>834</v>
      </c>
      <c r="T788">
        <v>19</v>
      </c>
      <c r="U788">
        <v>86.947146625519807</v>
      </c>
      <c r="V788" t="s">
        <v>30</v>
      </c>
      <c r="W788">
        <v>0.54624041578031501</v>
      </c>
      <c r="X788" t="s">
        <v>52</v>
      </c>
      <c r="Y788" t="s">
        <v>41</v>
      </c>
      <c r="Z788">
        <v>239.26254489999999</v>
      </c>
    </row>
    <row r="789" spans="1:26" x14ac:dyDescent="0.3">
      <c r="A789" t="s">
        <v>72</v>
      </c>
      <c r="B789" t="s">
        <v>845</v>
      </c>
      <c r="C789">
        <v>34.3832891082603</v>
      </c>
      <c r="D789">
        <v>74</v>
      </c>
      <c r="E789">
        <v>195</v>
      </c>
      <c r="F789">
        <v>6034.2672384996904</v>
      </c>
      <c r="G789" t="s">
        <v>35</v>
      </c>
      <c r="H789">
        <v>74</v>
      </c>
      <c r="I789">
        <v>6</v>
      </c>
      <c r="J789">
        <v>31</v>
      </c>
      <c r="K789">
        <v>9</v>
      </c>
      <c r="L789" t="s">
        <v>36</v>
      </c>
      <c r="M789">
        <v>1.9913260007367</v>
      </c>
      <c r="N789" t="s">
        <v>28</v>
      </c>
      <c r="O789" t="s">
        <v>29</v>
      </c>
      <c r="P789">
        <f>VLOOKUP(O789, Coordinates!$A$2:$C$6, 2, FALSE)</f>
        <v>29.760400000000001</v>
      </c>
      <c r="Q789">
        <f>VLOOKUP(O789, Coordinates!$A$2:$C$6, 3, FALSE)</f>
        <v>-95.369799999999998</v>
      </c>
      <c r="R789">
        <v>30</v>
      </c>
      <c r="S789">
        <v>292</v>
      </c>
      <c r="T789">
        <v>20</v>
      </c>
      <c r="U789">
        <v>90.379850604844705</v>
      </c>
      <c r="V789" t="s">
        <v>30</v>
      </c>
      <c r="W789">
        <v>3.3513747799635101</v>
      </c>
      <c r="X789" t="s">
        <v>40</v>
      </c>
      <c r="Y789" t="s">
        <v>60</v>
      </c>
      <c r="Z789">
        <v>858.82967941152503</v>
      </c>
    </row>
    <row r="790" spans="1:26" x14ac:dyDescent="0.3">
      <c r="A790" t="s">
        <v>49</v>
      </c>
      <c r="B790" t="s">
        <v>846</v>
      </c>
      <c r="C790">
        <v>54.632193813519102</v>
      </c>
      <c r="D790">
        <v>43</v>
      </c>
      <c r="E790">
        <v>55</v>
      </c>
      <c r="F790">
        <v>9377.2690511028504</v>
      </c>
      <c r="G790" t="s">
        <v>54</v>
      </c>
      <c r="H790">
        <v>12</v>
      </c>
      <c r="I790">
        <v>3</v>
      </c>
      <c r="J790">
        <v>18</v>
      </c>
      <c r="K790">
        <v>5</v>
      </c>
      <c r="L790" t="s">
        <v>44</v>
      </c>
      <c r="M790">
        <v>5.6189054946096197</v>
      </c>
      <c r="N790" t="s">
        <v>37</v>
      </c>
      <c r="O790" t="s">
        <v>58</v>
      </c>
      <c r="P790">
        <f>VLOOKUP(O790, Coordinates!$A$2:$C$6, 2, FALSE)</f>
        <v>34.052199999999999</v>
      </c>
      <c r="Q790">
        <f>VLOOKUP(O790, Coordinates!$A$2:$C$6, 3, FALSE)</f>
        <v>-118.2437</v>
      </c>
      <c r="R790">
        <v>12</v>
      </c>
      <c r="S790">
        <v>392</v>
      </c>
      <c r="T790">
        <v>9</v>
      </c>
      <c r="U790">
        <v>93.219081185723695</v>
      </c>
      <c r="V790" t="s">
        <v>55</v>
      </c>
      <c r="W790">
        <v>3.6958117876424099</v>
      </c>
      <c r="X790" t="s">
        <v>40</v>
      </c>
      <c r="Y790" t="s">
        <v>32</v>
      </c>
      <c r="Z790">
        <v>263.302477524518</v>
      </c>
    </row>
    <row r="791" spans="1:26" x14ac:dyDescent="0.3">
      <c r="A791" t="s">
        <v>42</v>
      </c>
      <c r="B791" t="s">
        <v>847</v>
      </c>
      <c r="C791">
        <v>58.457611407122201</v>
      </c>
      <c r="D791">
        <v>15</v>
      </c>
      <c r="E791">
        <v>397</v>
      </c>
      <c r="F791">
        <v>3211.7528096729902</v>
      </c>
      <c r="G791" t="s">
        <v>35</v>
      </c>
      <c r="H791">
        <v>23</v>
      </c>
      <c r="I791">
        <v>10</v>
      </c>
      <c r="J791">
        <v>93</v>
      </c>
      <c r="K791">
        <v>7</v>
      </c>
      <c r="L791" t="s">
        <v>27</v>
      </c>
      <c r="M791">
        <v>9.9592290909999992</v>
      </c>
      <c r="N791" t="s">
        <v>51</v>
      </c>
      <c r="O791" t="s">
        <v>58</v>
      </c>
      <c r="P791">
        <f>VLOOKUP(O791, Coordinates!$A$2:$C$6, 2, FALSE)</f>
        <v>34.052199999999999</v>
      </c>
      <c r="Q791">
        <f>VLOOKUP(O791, Coordinates!$A$2:$C$6, 3, FALSE)</f>
        <v>-118.2437</v>
      </c>
      <c r="R791">
        <v>9</v>
      </c>
      <c r="S791">
        <v>803</v>
      </c>
      <c r="T791">
        <v>12</v>
      </c>
      <c r="U791">
        <v>23.111092784624802</v>
      </c>
      <c r="V791" t="s">
        <v>30</v>
      </c>
      <c r="W791">
        <v>2.5011141945444701</v>
      </c>
      <c r="X791" t="s">
        <v>46</v>
      </c>
      <c r="Y791" t="s">
        <v>60</v>
      </c>
      <c r="Z791">
        <v>134.87157906612899</v>
      </c>
    </row>
    <row r="792" spans="1:26" x14ac:dyDescent="0.3">
      <c r="A792" t="s">
        <v>42</v>
      </c>
      <c r="B792" t="s">
        <v>848</v>
      </c>
      <c r="C792">
        <v>46.916252797256</v>
      </c>
      <c r="D792">
        <v>38</v>
      </c>
      <c r="E792">
        <v>657</v>
      </c>
      <c r="F792">
        <v>6192.6323510888096</v>
      </c>
      <c r="G792" t="s">
        <v>48</v>
      </c>
      <c r="H792">
        <v>56</v>
      </c>
      <c r="I792">
        <v>12</v>
      </c>
      <c r="J792">
        <v>38</v>
      </c>
      <c r="K792">
        <v>8</v>
      </c>
      <c r="L792" t="s">
        <v>44</v>
      </c>
      <c r="M792">
        <v>8.3768162425319801</v>
      </c>
      <c r="N792" t="s">
        <v>57</v>
      </c>
      <c r="O792" t="s">
        <v>38</v>
      </c>
      <c r="P792">
        <f>VLOOKUP(O792, Coordinates!$A$2:$C$6, 2, FALSE)</f>
        <v>25.761700000000001</v>
      </c>
      <c r="Q792">
        <f>VLOOKUP(O792, Coordinates!$A$2:$C$6, 3, FALSE)</f>
        <v>-80.191800000000001</v>
      </c>
      <c r="R792">
        <v>7</v>
      </c>
      <c r="S792">
        <v>996</v>
      </c>
      <c r="T792">
        <v>22</v>
      </c>
      <c r="U792">
        <v>38.7860836046505</v>
      </c>
      <c r="V792" t="s">
        <v>39</v>
      </c>
      <c r="W792">
        <v>3.2322860913865998</v>
      </c>
      <c r="X792" t="s">
        <v>52</v>
      </c>
      <c r="Y792" t="s">
        <v>41</v>
      </c>
      <c r="Z792">
        <v>190.188958699084</v>
      </c>
    </row>
    <row r="793" spans="1:26" x14ac:dyDescent="0.3">
      <c r="A793" t="s">
        <v>61</v>
      </c>
      <c r="B793" t="s">
        <v>849</v>
      </c>
      <c r="C793">
        <v>62.546753798210297</v>
      </c>
      <c r="D793">
        <v>15</v>
      </c>
      <c r="E793">
        <v>684</v>
      </c>
      <c r="F793">
        <v>3470.9012626640001</v>
      </c>
      <c r="G793" t="s">
        <v>26</v>
      </c>
      <c r="H793">
        <v>28</v>
      </c>
      <c r="I793">
        <v>10</v>
      </c>
      <c r="J793">
        <v>53</v>
      </c>
      <c r="K793">
        <v>2</v>
      </c>
      <c r="L793" t="s">
        <v>27</v>
      </c>
      <c r="M793">
        <v>8.5937734996110695</v>
      </c>
      <c r="N793" t="s">
        <v>37</v>
      </c>
      <c r="O793" t="s">
        <v>65</v>
      </c>
      <c r="P793">
        <f>VLOOKUP(O793, Coordinates!$A$2:$C$6, 2, FALSE)</f>
        <v>41.878100000000003</v>
      </c>
      <c r="Q793">
        <f>VLOOKUP(O793, Coordinates!$A$2:$C$6, 3, FALSE)</f>
        <v>-87.629800000000003</v>
      </c>
      <c r="R793">
        <v>10</v>
      </c>
      <c r="S793">
        <v>880</v>
      </c>
      <c r="T793">
        <v>19</v>
      </c>
      <c r="U793">
        <v>41.011552873221</v>
      </c>
      <c r="V793" t="s">
        <v>30</v>
      </c>
      <c r="W793">
        <v>0.86337432241364898</v>
      </c>
      <c r="X793" t="s">
        <v>52</v>
      </c>
      <c r="Y793" t="s">
        <v>32</v>
      </c>
      <c r="Z793">
        <v>807.50959088758304</v>
      </c>
    </row>
    <row r="794" spans="1:26" x14ac:dyDescent="0.3">
      <c r="A794" t="s">
        <v>33</v>
      </c>
      <c r="B794" t="s">
        <v>850</v>
      </c>
      <c r="C794">
        <v>92.279797507605807</v>
      </c>
      <c r="D794">
        <v>5</v>
      </c>
      <c r="E794">
        <v>904</v>
      </c>
      <c r="F794">
        <v>8416.85041435936</v>
      </c>
      <c r="G794" t="s">
        <v>48</v>
      </c>
      <c r="H794">
        <v>6</v>
      </c>
      <c r="I794">
        <v>28</v>
      </c>
      <c r="J794">
        <v>36</v>
      </c>
      <c r="K794">
        <v>1</v>
      </c>
      <c r="L794" t="s">
        <v>36</v>
      </c>
      <c r="M794">
        <v>12.1284366172174</v>
      </c>
      <c r="N794" t="s">
        <v>28</v>
      </c>
      <c r="O794" t="s">
        <v>67</v>
      </c>
      <c r="P794">
        <f>VLOOKUP(O794, Coordinates!$A$2:$C$6, 2, FALSE)</f>
        <v>40.712800000000001</v>
      </c>
      <c r="Q794">
        <f>VLOOKUP(O794, Coordinates!$A$2:$C$6, 3, FALSE)</f>
        <v>-74.006</v>
      </c>
      <c r="R794">
        <v>29</v>
      </c>
      <c r="S794">
        <v>512</v>
      </c>
      <c r="T794">
        <v>30</v>
      </c>
      <c r="U794">
        <v>30.887389346221401</v>
      </c>
      <c r="V794" t="s">
        <v>30</v>
      </c>
      <c r="W794">
        <v>1.83961192640189</v>
      </c>
      <c r="X794" t="s">
        <v>52</v>
      </c>
      <c r="Y794" t="s">
        <v>41</v>
      </c>
      <c r="Z794">
        <v>911.70610757931104</v>
      </c>
    </row>
    <row r="795" spans="1:26" x14ac:dyDescent="0.3">
      <c r="A795" t="s">
        <v>72</v>
      </c>
      <c r="B795" t="s">
        <v>851</v>
      </c>
      <c r="C795">
        <v>21.6145926642773</v>
      </c>
      <c r="D795">
        <v>93</v>
      </c>
      <c r="E795">
        <v>625</v>
      </c>
      <c r="F795">
        <v>12158.20837</v>
      </c>
      <c r="G795" t="s">
        <v>26</v>
      </c>
      <c r="H795">
        <v>53</v>
      </c>
      <c r="I795">
        <v>2</v>
      </c>
      <c r="J795">
        <v>64</v>
      </c>
      <c r="K795">
        <v>7</v>
      </c>
      <c r="L795" t="s">
        <v>27</v>
      </c>
      <c r="M795">
        <v>3.7258515520066902</v>
      </c>
      <c r="N795" t="s">
        <v>28</v>
      </c>
      <c r="O795" t="s">
        <v>38</v>
      </c>
      <c r="P795">
        <f>VLOOKUP(O795, Coordinates!$A$2:$C$6, 2, FALSE)</f>
        <v>25.761700000000001</v>
      </c>
      <c r="Q795">
        <f>VLOOKUP(O795, Coordinates!$A$2:$C$6, 3, FALSE)</f>
        <v>-80.191800000000001</v>
      </c>
      <c r="R795">
        <v>27</v>
      </c>
      <c r="S795">
        <v>538</v>
      </c>
      <c r="T795">
        <v>8</v>
      </c>
      <c r="U795">
        <v>83.967615626102898</v>
      </c>
      <c r="V795" t="s">
        <v>30</v>
      </c>
      <c r="W795">
        <v>0.80914301700000002</v>
      </c>
      <c r="X795" t="s">
        <v>52</v>
      </c>
      <c r="Y795" t="s">
        <v>60</v>
      </c>
      <c r="Z795">
        <v>341.382928217482</v>
      </c>
    </row>
    <row r="796" spans="1:26" x14ac:dyDescent="0.3">
      <c r="A796" t="s">
        <v>61</v>
      </c>
      <c r="B796" t="s">
        <v>852</v>
      </c>
      <c r="C796">
        <v>73.943064005895096</v>
      </c>
      <c r="D796">
        <v>83</v>
      </c>
      <c r="E796">
        <v>723</v>
      </c>
      <c r="F796">
        <v>6083.3724659775598</v>
      </c>
      <c r="G796" t="s">
        <v>54</v>
      </c>
      <c r="H796">
        <v>4</v>
      </c>
      <c r="I796">
        <v>24</v>
      </c>
      <c r="J796">
        <v>90</v>
      </c>
      <c r="K796">
        <v>6</v>
      </c>
      <c r="L796" t="s">
        <v>27</v>
      </c>
      <c r="M796">
        <v>14.7490571395444</v>
      </c>
      <c r="N796" t="s">
        <v>37</v>
      </c>
      <c r="O796" t="s">
        <v>38</v>
      </c>
      <c r="P796">
        <f>VLOOKUP(O796, Coordinates!$A$2:$C$6, 2, FALSE)</f>
        <v>25.761700000000001</v>
      </c>
      <c r="Q796">
        <f>VLOOKUP(O796, Coordinates!$A$2:$C$6, 3, FALSE)</f>
        <v>-80.191800000000001</v>
      </c>
      <c r="R796">
        <v>17</v>
      </c>
      <c r="S796">
        <v>400</v>
      </c>
      <c r="T796">
        <v>22</v>
      </c>
      <c r="U796">
        <v>53.803312833363698</v>
      </c>
      <c r="V796" t="s">
        <v>30</v>
      </c>
      <c r="W796">
        <v>1.93617628182404</v>
      </c>
      <c r="X796" t="s">
        <v>52</v>
      </c>
      <c r="Y796" t="s">
        <v>32</v>
      </c>
      <c r="Z796">
        <v>548.29879369493904</v>
      </c>
    </row>
    <row r="797" spans="1:26" x14ac:dyDescent="0.3">
      <c r="A797" t="s">
        <v>33</v>
      </c>
      <c r="B797" t="s">
        <v>853</v>
      </c>
      <c r="C797">
        <v>89.972992898301996</v>
      </c>
      <c r="D797">
        <v>54</v>
      </c>
      <c r="E797">
        <v>943</v>
      </c>
      <c r="F797">
        <v>4052.8308814472598</v>
      </c>
      <c r="G797" t="s">
        <v>48</v>
      </c>
      <c r="H797">
        <v>34</v>
      </c>
      <c r="I797">
        <v>28</v>
      </c>
      <c r="J797">
        <v>14</v>
      </c>
      <c r="K797">
        <v>6</v>
      </c>
      <c r="L797" t="s">
        <v>44</v>
      </c>
      <c r="M797">
        <v>7.1244151821603801</v>
      </c>
      <c r="N797" t="s">
        <v>45</v>
      </c>
      <c r="O797" t="s">
        <v>38</v>
      </c>
      <c r="P797">
        <f>VLOOKUP(O797, Coordinates!$A$2:$C$6, 2, FALSE)</f>
        <v>25.761700000000001</v>
      </c>
      <c r="Q797">
        <f>VLOOKUP(O797, Coordinates!$A$2:$C$6, 3, FALSE)</f>
        <v>-80.191800000000001</v>
      </c>
      <c r="R797">
        <v>28</v>
      </c>
      <c r="S797">
        <v>359</v>
      </c>
      <c r="T797">
        <v>8</v>
      </c>
      <c r="U797">
        <v>85.099566524268496</v>
      </c>
      <c r="V797" t="s">
        <v>39</v>
      </c>
      <c r="W797">
        <v>4.3269341032334703</v>
      </c>
      <c r="X797" t="s">
        <v>31</v>
      </c>
      <c r="Y797" t="s">
        <v>60</v>
      </c>
      <c r="Z797">
        <v>637.50071426483601</v>
      </c>
    </row>
    <row r="798" spans="1:26" x14ac:dyDescent="0.3">
      <c r="A798" t="s">
        <v>33</v>
      </c>
      <c r="B798" t="s">
        <v>854</v>
      </c>
      <c r="C798">
        <v>48.3180312</v>
      </c>
      <c r="D798">
        <v>51</v>
      </c>
      <c r="E798">
        <v>304</v>
      </c>
      <c r="F798">
        <v>3904.1533637003799</v>
      </c>
      <c r="G798" t="s">
        <v>26</v>
      </c>
      <c r="H798">
        <v>18</v>
      </c>
      <c r="I798">
        <v>22</v>
      </c>
      <c r="J798">
        <v>61</v>
      </c>
      <c r="K798">
        <v>2</v>
      </c>
      <c r="L798" t="s">
        <v>27</v>
      </c>
      <c r="M798">
        <v>14.2978057072783</v>
      </c>
      <c r="N798" t="s">
        <v>37</v>
      </c>
      <c r="O798" t="s">
        <v>58</v>
      </c>
      <c r="P798">
        <f>VLOOKUP(O798, Coordinates!$A$2:$C$6, 2, FALSE)</f>
        <v>34.052199999999999</v>
      </c>
      <c r="Q798">
        <f>VLOOKUP(O798, Coordinates!$A$2:$C$6, 3, FALSE)</f>
        <v>-118.2437</v>
      </c>
      <c r="R798">
        <v>25</v>
      </c>
      <c r="S798">
        <v>291</v>
      </c>
      <c r="T798">
        <v>10</v>
      </c>
      <c r="U798">
        <v>95.908575304298594</v>
      </c>
      <c r="V798" t="s">
        <v>39</v>
      </c>
      <c r="W798">
        <v>2.2126970359095601</v>
      </c>
      <c r="X798" t="s">
        <v>46</v>
      </c>
      <c r="Y798" t="s">
        <v>60</v>
      </c>
      <c r="Z798">
        <v>476.82137449999999</v>
      </c>
    </row>
    <row r="799" spans="1:26" x14ac:dyDescent="0.3">
      <c r="A799" t="s">
        <v>42</v>
      </c>
      <c r="B799" t="s">
        <v>855</v>
      </c>
      <c r="C799">
        <v>47.128304456280802</v>
      </c>
      <c r="D799">
        <v>10</v>
      </c>
      <c r="E799">
        <v>626</v>
      </c>
      <c r="F799">
        <v>6804.1569147842501</v>
      </c>
      <c r="G799" t="s">
        <v>35</v>
      </c>
      <c r="H799">
        <v>54</v>
      </c>
      <c r="I799">
        <v>13</v>
      </c>
      <c r="J799">
        <v>22</v>
      </c>
      <c r="K799">
        <v>3</v>
      </c>
      <c r="L799" t="s">
        <v>36</v>
      </c>
      <c r="M799">
        <v>6.3636221029556497</v>
      </c>
      <c r="N799" t="s">
        <v>28</v>
      </c>
      <c r="O799" t="s">
        <v>58</v>
      </c>
      <c r="P799">
        <f>VLOOKUP(O799, Coordinates!$A$2:$C$6, 2, FALSE)</f>
        <v>34.052199999999999</v>
      </c>
      <c r="Q799">
        <f>VLOOKUP(O799, Coordinates!$A$2:$C$6, 3, FALSE)</f>
        <v>-118.2437</v>
      </c>
      <c r="R799">
        <v>26</v>
      </c>
      <c r="S799">
        <v>370</v>
      </c>
      <c r="T799">
        <v>28</v>
      </c>
      <c r="U799">
        <v>21.640656899664702</v>
      </c>
      <c r="V799" t="s">
        <v>39</v>
      </c>
      <c r="W799">
        <v>2.9660742036787</v>
      </c>
      <c r="X799" t="s">
        <v>46</v>
      </c>
      <c r="Y799" t="s">
        <v>60</v>
      </c>
      <c r="Z799">
        <v>158.79161678593101</v>
      </c>
    </row>
    <row r="800" spans="1:26" x14ac:dyDescent="0.3">
      <c r="A800" t="s">
        <v>24</v>
      </c>
      <c r="B800" t="s">
        <v>856</v>
      </c>
      <c r="C800">
        <v>36.595893786895502</v>
      </c>
      <c r="D800">
        <v>12</v>
      </c>
      <c r="E800">
        <v>200</v>
      </c>
      <c r="F800">
        <v>6587.2608816411903</v>
      </c>
      <c r="G800" t="s">
        <v>35</v>
      </c>
      <c r="H800">
        <v>76</v>
      </c>
      <c r="I800">
        <v>16</v>
      </c>
      <c r="J800">
        <v>51</v>
      </c>
      <c r="K800">
        <v>4</v>
      </c>
      <c r="L800" t="s">
        <v>36</v>
      </c>
      <c r="M800">
        <v>9.4250133639228899</v>
      </c>
      <c r="N800" t="s">
        <v>37</v>
      </c>
      <c r="O800" t="s">
        <v>29</v>
      </c>
      <c r="P800">
        <f>VLOOKUP(O800, Coordinates!$A$2:$C$6, 2, FALSE)</f>
        <v>29.760400000000001</v>
      </c>
      <c r="Q800">
        <f>VLOOKUP(O800, Coordinates!$A$2:$C$6, 3, FALSE)</f>
        <v>-95.369799999999998</v>
      </c>
      <c r="R800">
        <v>7</v>
      </c>
      <c r="S800">
        <v>715</v>
      </c>
      <c r="T800">
        <v>18</v>
      </c>
      <c r="U800">
        <v>93.213743533761303</v>
      </c>
      <c r="V800" t="s">
        <v>39</v>
      </c>
      <c r="W800">
        <v>2.5087958668427501</v>
      </c>
      <c r="X800" t="s">
        <v>46</v>
      </c>
      <c r="Y800" t="s">
        <v>41</v>
      </c>
      <c r="Z800">
        <v>150.98746481063199</v>
      </c>
    </row>
    <row r="801" spans="1:26" x14ac:dyDescent="0.3">
      <c r="A801" t="s">
        <v>82</v>
      </c>
      <c r="B801" t="s">
        <v>857</v>
      </c>
      <c r="C801">
        <v>61.183642145136297</v>
      </c>
      <c r="D801">
        <v>4</v>
      </c>
      <c r="E801">
        <v>421</v>
      </c>
      <c r="F801">
        <v>6482.7585225399298</v>
      </c>
      <c r="G801" t="s">
        <v>35</v>
      </c>
      <c r="H801">
        <v>68</v>
      </c>
      <c r="I801">
        <v>13</v>
      </c>
      <c r="J801">
        <v>24</v>
      </c>
      <c r="K801">
        <v>3</v>
      </c>
      <c r="L801" t="s">
        <v>27</v>
      </c>
      <c r="M801">
        <v>7.3043605985238997</v>
      </c>
      <c r="N801" t="s">
        <v>51</v>
      </c>
      <c r="O801" t="s">
        <v>65</v>
      </c>
      <c r="P801">
        <f>VLOOKUP(O801, Coordinates!$A$2:$C$6, 2, FALSE)</f>
        <v>41.878100000000003</v>
      </c>
      <c r="Q801">
        <f>VLOOKUP(O801, Coordinates!$A$2:$C$6, 3, FALSE)</f>
        <v>-87.629800000000003</v>
      </c>
      <c r="R801">
        <v>27</v>
      </c>
      <c r="S801">
        <v>531</v>
      </c>
      <c r="T801">
        <v>15</v>
      </c>
      <c r="U801">
        <v>84.212301066874701</v>
      </c>
      <c r="V801" t="s">
        <v>55</v>
      </c>
      <c r="W801">
        <v>1.58907186700878</v>
      </c>
      <c r="X801" t="s">
        <v>40</v>
      </c>
      <c r="Y801" t="s">
        <v>32</v>
      </c>
      <c r="Z801">
        <v>496.314427654177</v>
      </c>
    </row>
    <row r="802" spans="1:26" x14ac:dyDescent="0.3">
      <c r="A802" t="s">
        <v>24</v>
      </c>
      <c r="B802" t="s">
        <v>858</v>
      </c>
      <c r="C802">
        <v>37.804580497092999</v>
      </c>
      <c r="D802">
        <v>95</v>
      </c>
      <c r="E802">
        <v>668</v>
      </c>
      <c r="F802">
        <v>22728.113794852299</v>
      </c>
      <c r="G802" t="s">
        <v>48</v>
      </c>
      <c r="H802">
        <v>43</v>
      </c>
      <c r="I802">
        <v>4</v>
      </c>
      <c r="J802">
        <v>88</v>
      </c>
      <c r="K802">
        <v>2</v>
      </c>
      <c r="L802" t="s">
        <v>44</v>
      </c>
      <c r="M802">
        <v>10.463092293927501</v>
      </c>
      <c r="N802" t="s">
        <v>45</v>
      </c>
      <c r="O802" t="s">
        <v>38</v>
      </c>
      <c r="P802">
        <f>VLOOKUP(O802, Coordinates!$A$2:$C$6, 2, FALSE)</f>
        <v>25.761700000000001</v>
      </c>
      <c r="Q802">
        <f>VLOOKUP(O802, Coordinates!$A$2:$C$6, 3, FALSE)</f>
        <v>-80.191800000000001</v>
      </c>
      <c r="R802">
        <v>27</v>
      </c>
      <c r="S802">
        <v>815</v>
      </c>
      <c r="T802">
        <v>24</v>
      </c>
      <c r="U802">
        <v>86.993128782867203</v>
      </c>
      <c r="V802" t="s">
        <v>39</v>
      </c>
      <c r="W802">
        <v>4.6773389046539702</v>
      </c>
      <c r="X802" t="s">
        <v>52</v>
      </c>
      <c r="Y802" t="s">
        <v>32</v>
      </c>
      <c r="Z802">
        <v>818.08088603115198</v>
      </c>
    </row>
    <row r="803" spans="1:26" x14ac:dyDescent="0.3">
      <c r="A803" t="s">
        <v>82</v>
      </c>
      <c r="B803" t="s">
        <v>859</v>
      </c>
      <c r="C803">
        <v>50.265921458937797</v>
      </c>
      <c r="D803">
        <v>18</v>
      </c>
      <c r="E803">
        <v>424</v>
      </c>
      <c r="F803">
        <v>3381.3740069999999</v>
      </c>
      <c r="G803" t="s">
        <v>26</v>
      </c>
      <c r="H803">
        <v>77</v>
      </c>
      <c r="I803">
        <v>4</v>
      </c>
      <c r="J803">
        <v>27</v>
      </c>
      <c r="K803">
        <v>3</v>
      </c>
      <c r="L803" t="s">
        <v>36</v>
      </c>
      <c r="M803">
        <v>3.5707462113786099</v>
      </c>
      <c r="N803" t="s">
        <v>37</v>
      </c>
      <c r="O803" t="s">
        <v>38</v>
      </c>
      <c r="P803">
        <f>VLOOKUP(O803, Coordinates!$A$2:$C$6, 2, FALSE)</f>
        <v>25.761700000000001</v>
      </c>
      <c r="Q803">
        <f>VLOOKUP(O803, Coordinates!$A$2:$C$6, 3, FALSE)</f>
        <v>-80.191800000000001</v>
      </c>
      <c r="R803">
        <v>15</v>
      </c>
      <c r="S803">
        <v>795</v>
      </c>
      <c r="T803">
        <v>11</v>
      </c>
      <c r="U803">
        <v>19.9026661730908</v>
      </c>
      <c r="V803" t="s">
        <v>55</v>
      </c>
      <c r="W803">
        <v>1.26336430710638</v>
      </c>
      <c r="X803" t="s">
        <v>52</v>
      </c>
      <c r="Y803" t="s">
        <v>41</v>
      </c>
      <c r="Z803">
        <v>176.16676240475999</v>
      </c>
    </row>
    <row r="804" spans="1:26" x14ac:dyDescent="0.3">
      <c r="A804" t="s">
        <v>49</v>
      </c>
      <c r="B804" t="s">
        <v>860</v>
      </c>
      <c r="C804">
        <v>99.631680215746897</v>
      </c>
      <c r="D804">
        <v>80</v>
      </c>
      <c r="E804">
        <v>759</v>
      </c>
      <c r="F804">
        <v>5675.5166929999996</v>
      </c>
      <c r="G804" t="s">
        <v>26</v>
      </c>
      <c r="H804">
        <v>37</v>
      </c>
      <c r="I804">
        <v>30</v>
      </c>
      <c r="J804">
        <v>59</v>
      </c>
      <c r="K804">
        <v>6</v>
      </c>
      <c r="L804" t="s">
        <v>36</v>
      </c>
      <c r="M804">
        <v>6.6087994597667796</v>
      </c>
      <c r="N804" t="s">
        <v>28</v>
      </c>
      <c r="O804" t="s">
        <v>38</v>
      </c>
      <c r="P804">
        <f>VLOOKUP(O804, Coordinates!$A$2:$C$6, 2, FALSE)</f>
        <v>25.761700000000001</v>
      </c>
      <c r="Q804">
        <f>VLOOKUP(O804, Coordinates!$A$2:$C$6, 3, FALSE)</f>
        <v>-80.191800000000001</v>
      </c>
      <c r="R804">
        <v>16</v>
      </c>
      <c r="S804">
        <v>316</v>
      </c>
      <c r="T804">
        <v>21</v>
      </c>
      <c r="U804">
        <v>99.100720608120795</v>
      </c>
      <c r="V804" t="s">
        <v>30</v>
      </c>
      <c r="W804">
        <v>1.0035662594729899</v>
      </c>
      <c r="X804" t="s">
        <v>40</v>
      </c>
      <c r="Y804" t="s">
        <v>32</v>
      </c>
      <c r="Z804">
        <v>285.10814244876701</v>
      </c>
    </row>
    <row r="805" spans="1:26" x14ac:dyDescent="0.3">
      <c r="A805" t="s">
        <v>42</v>
      </c>
      <c r="B805" t="s">
        <v>861</v>
      </c>
      <c r="C805">
        <v>10.649799042391599</v>
      </c>
      <c r="D805">
        <v>36</v>
      </c>
      <c r="E805">
        <v>644</v>
      </c>
      <c r="F805">
        <v>5054.8288516036801</v>
      </c>
      <c r="G805" t="s">
        <v>26</v>
      </c>
      <c r="H805">
        <v>61</v>
      </c>
      <c r="I805">
        <v>11</v>
      </c>
      <c r="J805">
        <v>11</v>
      </c>
      <c r="K805">
        <v>9</v>
      </c>
      <c r="L805" t="s">
        <v>27</v>
      </c>
      <c r="M805">
        <v>1.95733570950403</v>
      </c>
      <c r="N805" t="s">
        <v>37</v>
      </c>
      <c r="O805" t="s">
        <v>58</v>
      </c>
      <c r="P805">
        <f>VLOOKUP(O805, Coordinates!$A$2:$C$6, 2, FALSE)</f>
        <v>34.052199999999999</v>
      </c>
      <c r="Q805">
        <f>VLOOKUP(O805, Coordinates!$A$2:$C$6, 3, FALSE)</f>
        <v>-118.2437</v>
      </c>
      <c r="R805">
        <v>21</v>
      </c>
      <c r="S805">
        <v>190</v>
      </c>
      <c r="T805">
        <v>26</v>
      </c>
      <c r="U805">
        <v>69.003372747593602</v>
      </c>
      <c r="V805" t="s">
        <v>55</v>
      </c>
      <c r="W805">
        <v>3.5371114684535501</v>
      </c>
      <c r="X805" t="s">
        <v>52</v>
      </c>
      <c r="Y805" t="s">
        <v>32</v>
      </c>
      <c r="Z805">
        <v>342.79108534068001</v>
      </c>
    </row>
    <row r="806" spans="1:26" x14ac:dyDescent="0.3">
      <c r="A806" t="s">
        <v>33</v>
      </c>
      <c r="B806" t="s">
        <v>862</v>
      </c>
      <c r="C806">
        <v>5.3009456151666603</v>
      </c>
      <c r="D806">
        <v>25</v>
      </c>
      <c r="E806">
        <v>621</v>
      </c>
      <c r="F806">
        <v>1104.80409552786</v>
      </c>
      <c r="G806" t="s">
        <v>48</v>
      </c>
      <c r="H806">
        <v>21</v>
      </c>
      <c r="I806">
        <v>23</v>
      </c>
      <c r="J806">
        <v>96</v>
      </c>
      <c r="K806">
        <v>4</v>
      </c>
      <c r="L806" t="s">
        <v>27</v>
      </c>
      <c r="M806">
        <v>9.3734198378601796</v>
      </c>
      <c r="N806" t="s">
        <v>37</v>
      </c>
      <c r="O806" t="s">
        <v>58</v>
      </c>
      <c r="P806">
        <f>VLOOKUP(O806, Coordinates!$A$2:$C$6, 2, FALSE)</f>
        <v>34.052199999999999</v>
      </c>
      <c r="Q806">
        <f>VLOOKUP(O806, Coordinates!$A$2:$C$6, 3, FALSE)</f>
        <v>-118.2437</v>
      </c>
      <c r="R806">
        <v>17</v>
      </c>
      <c r="S806">
        <v>297</v>
      </c>
      <c r="T806">
        <v>14</v>
      </c>
      <c r="U806">
        <v>98.397612553742206</v>
      </c>
      <c r="V806" t="s">
        <v>55</v>
      </c>
      <c r="W806">
        <v>4.0998342220619</v>
      </c>
      <c r="X806" t="s">
        <v>52</v>
      </c>
      <c r="Y806" t="s">
        <v>60</v>
      </c>
      <c r="Z806">
        <v>603.21341685213395</v>
      </c>
    </row>
    <row r="807" spans="1:26" x14ac:dyDescent="0.3">
      <c r="A807" t="s">
        <v>72</v>
      </c>
      <c r="B807" t="s">
        <v>863</v>
      </c>
      <c r="C807">
        <v>34.973154800000003</v>
      </c>
      <c r="D807">
        <v>87</v>
      </c>
      <c r="E807">
        <v>526</v>
      </c>
      <c r="F807">
        <v>16556.291482037901</v>
      </c>
      <c r="G807" t="s">
        <v>26</v>
      </c>
      <c r="H807">
        <v>72</v>
      </c>
      <c r="I807">
        <v>14</v>
      </c>
      <c r="J807">
        <v>22</v>
      </c>
      <c r="K807">
        <v>6</v>
      </c>
      <c r="L807" t="s">
        <v>36</v>
      </c>
      <c r="M807">
        <v>14.4775437802477</v>
      </c>
      <c r="N807" t="s">
        <v>57</v>
      </c>
      <c r="O807" t="s">
        <v>65</v>
      </c>
      <c r="P807">
        <f>VLOOKUP(O807, Coordinates!$A$2:$C$6, 2, FALSE)</f>
        <v>41.878100000000003</v>
      </c>
      <c r="Q807">
        <f>VLOOKUP(O807, Coordinates!$A$2:$C$6, 3, FALSE)</f>
        <v>-87.629800000000003</v>
      </c>
      <c r="R807">
        <v>13</v>
      </c>
      <c r="S807">
        <v>498</v>
      </c>
      <c r="T807">
        <v>15</v>
      </c>
      <c r="U807">
        <v>88.912715239604907</v>
      </c>
      <c r="V807" t="s">
        <v>55</v>
      </c>
      <c r="W807">
        <v>3.6019430264971199</v>
      </c>
      <c r="X807" t="s">
        <v>52</v>
      </c>
      <c r="Y807" t="s">
        <v>60</v>
      </c>
      <c r="Z807">
        <v>138.87642306136499</v>
      </c>
    </row>
    <row r="808" spans="1:26" x14ac:dyDescent="0.3">
      <c r="A808" t="s">
        <v>82</v>
      </c>
      <c r="B808" t="s">
        <v>864</v>
      </c>
      <c r="C808">
        <v>33.351316674378197</v>
      </c>
      <c r="D808">
        <v>76</v>
      </c>
      <c r="E808">
        <v>360</v>
      </c>
      <c r="G808" t="s">
        <v>54</v>
      </c>
      <c r="H808">
        <v>39</v>
      </c>
      <c r="I808">
        <v>3</v>
      </c>
      <c r="J808">
        <v>77</v>
      </c>
      <c r="K808">
        <v>1</v>
      </c>
      <c r="L808" t="s">
        <v>27</v>
      </c>
      <c r="M808">
        <v>1.6426912122034001</v>
      </c>
      <c r="N808" t="s">
        <v>37</v>
      </c>
      <c r="O808" t="s">
        <v>58</v>
      </c>
      <c r="P808">
        <f>VLOOKUP(O808, Coordinates!$A$2:$C$6, 2, FALSE)</f>
        <v>34.052199999999999</v>
      </c>
      <c r="Q808">
        <f>VLOOKUP(O808, Coordinates!$A$2:$C$6, 3, FALSE)</f>
        <v>-118.2437</v>
      </c>
      <c r="R808">
        <v>26</v>
      </c>
      <c r="S808">
        <v>138</v>
      </c>
      <c r="T808">
        <v>14</v>
      </c>
      <c r="U808">
        <v>45.567369994305501</v>
      </c>
      <c r="V808" t="s">
        <v>39</v>
      </c>
      <c r="W808">
        <v>3.2186707349757899</v>
      </c>
      <c r="X808" t="s">
        <v>52</v>
      </c>
      <c r="Y808" t="s">
        <v>41</v>
      </c>
      <c r="Z808">
        <v>874.03852706940995</v>
      </c>
    </row>
    <row r="809" spans="1:26" x14ac:dyDescent="0.3">
      <c r="A809" t="s">
        <v>24</v>
      </c>
      <c r="B809" t="s">
        <v>865</v>
      </c>
      <c r="C809">
        <v>25.6265889055325</v>
      </c>
      <c r="D809">
        <v>98</v>
      </c>
      <c r="E809">
        <v>152</v>
      </c>
      <c r="F809">
        <v>3505.71736227684</v>
      </c>
      <c r="G809" t="s">
        <v>48</v>
      </c>
      <c r="H809">
        <v>25</v>
      </c>
      <c r="I809">
        <v>27</v>
      </c>
      <c r="J809">
        <v>56</v>
      </c>
      <c r="K809">
        <v>6</v>
      </c>
      <c r="L809" t="s">
        <v>27</v>
      </c>
      <c r="M809">
        <v>10.2348203430219</v>
      </c>
      <c r="N809" t="s">
        <v>51</v>
      </c>
      <c r="O809" t="s">
        <v>65</v>
      </c>
      <c r="P809">
        <f>VLOOKUP(O809, Coordinates!$A$2:$C$6, 2, FALSE)</f>
        <v>41.878100000000003</v>
      </c>
      <c r="Q809">
        <f>VLOOKUP(O809, Coordinates!$A$2:$C$6, 3, FALSE)</f>
        <v>-87.629800000000003</v>
      </c>
      <c r="R809">
        <v>3</v>
      </c>
      <c r="S809">
        <v>808</v>
      </c>
      <c r="T809">
        <v>12</v>
      </c>
      <c r="U809">
        <v>88.039721623687299</v>
      </c>
      <c r="V809" t="s">
        <v>30</v>
      </c>
      <c r="W809">
        <v>1.5392567690688399</v>
      </c>
      <c r="X809" t="s">
        <v>52</v>
      </c>
      <c r="Y809" t="s">
        <v>32</v>
      </c>
      <c r="Z809">
        <v>523.65402871340495</v>
      </c>
    </row>
    <row r="810" spans="1:26" x14ac:dyDescent="0.3">
      <c r="A810" t="s">
        <v>33</v>
      </c>
      <c r="B810" t="s">
        <v>866</v>
      </c>
      <c r="C810">
        <v>34.630412600406601</v>
      </c>
      <c r="D810">
        <v>36</v>
      </c>
      <c r="E810">
        <v>369</v>
      </c>
      <c r="F810">
        <v>7626.5190890507902</v>
      </c>
      <c r="G810" t="s">
        <v>54</v>
      </c>
      <c r="H810">
        <v>4</v>
      </c>
      <c r="I810">
        <v>19</v>
      </c>
      <c r="J810">
        <v>98</v>
      </c>
      <c r="K810">
        <v>3</v>
      </c>
      <c r="L810" t="s">
        <v>36</v>
      </c>
      <c r="M810">
        <v>11.8513714909272</v>
      </c>
      <c r="N810" t="s">
        <v>28</v>
      </c>
      <c r="O810" t="s">
        <v>38</v>
      </c>
      <c r="P810">
        <f>VLOOKUP(O810, Coordinates!$A$2:$C$6, 2, FALSE)</f>
        <v>25.761700000000001</v>
      </c>
      <c r="Q810">
        <f>VLOOKUP(O810, Coordinates!$A$2:$C$6, 3, FALSE)</f>
        <v>-80.191800000000001</v>
      </c>
      <c r="R810">
        <v>27</v>
      </c>
      <c r="S810">
        <v>570</v>
      </c>
      <c r="T810">
        <v>4</v>
      </c>
      <c r="U810">
        <v>98.521480159481698</v>
      </c>
      <c r="V810" t="s">
        <v>55</v>
      </c>
      <c r="W810">
        <v>3.5549277955325498</v>
      </c>
      <c r="X810" t="s">
        <v>31</v>
      </c>
      <c r="Y810" t="s">
        <v>41</v>
      </c>
      <c r="Z810">
        <v>536.70926242659596</v>
      </c>
    </row>
    <row r="811" spans="1:26" x14ac:dyDescent="0.3">
      <c r="A811" t="s">
        <v>82</v>
      </c>
      <c r="B811" t="s">
        <v>867</v>
      </c>
      <c r="C811">
        <v>29.324518684970599</v>
      </c>
      <c r="D811">
        <v>67</v>
      </c>
      <c r="E811">
        <v>368</v>
      </c>
      <c r="F811">
        <v>6142.0557560776897</v>
      </c>
      <c r="G811" t="s">
        <v>54</v>
      </c>
      <c r="H811">
        <v>92</v>
      </c>
      <c r="I811">
        <v>22</v>
      </c>
      <c r="J811">
        <v>84</v>
      </c>
      <c r="K811">
        <v>9</v>
      </c>
      <c r="L811" t="s">
        <v>44</v>
      </c>
      <c r="M811">
        <v>3.9835179384867998</v>
      </c>
      <c r="N811" t="s">
        <v>57</v>
      </c>
      <c r="O811" t="s">
        <v>65</v>
      </c>
      <c r="P811">
        <f>VLOOKUP(O811, Coordinates!$A$2:$C$6, 2, FALSE)</f>
        <v>41.878100000000003</v>
      </c>
      <c r="Q811">
        <f>VLOOKUP(O811, Coordinates!$A$2:$C$6, 3, FALSE)</f>
        <v>-87.629800000000003</v>
      </c>
      <c r="R811">
        <v>20</v>
      </c>
      <c r="S811">
        <v>178</v>
      </c>
      <c r="T811">
        <v>3</v>
      </c>
      <c r="U811">
        <v>32.793154251604598</v>
      </c>
      <c r="V811" t="s">
        <v>55</v>
      </c>
      <c r="W811">
        <v>3.0254172999457301</v>
      </c>
      <c r="X811" t="s">
        <v>46</v>
      </c>
      <c r="Y811" t="s">
        <v>41</v>
      </c>
      <c r="Z811">
        <v>920.38959790000001</v>
      </c>
    </row>
    <row r="812" spans="1:26" x14ac:dyDescent="0.3">
      <c r="A812" t="s">
        <v>82</v>
      </c>
      <c r="B812" t="s">
        <v>868</v>
      </c>
      <c r="C812">
        <v>7.9250547177425403</v>
      </c>
      <c r="D812">
        <v>9</v>
      </c>
      <c r="E812">
        <v>975</v>
      </c>
      <c r="F812">
        <v>1600.75229365681</v>
      </c>
      <c r="G812" t="s">
        <v>35</v>
      </c>
      <c r="H812">
        <v>53</v>
      </c>
      <c r="I812">
        <v>25</v>
      </c>
      <c r="J812">
        <v>59</v>
      </c>
      <c r="K812">
        <v>4</v>
      </c>
      <c r="L812" t="s">
        <v>44</v>
      </c>
      <c r="M812">
        <v>4.8230401071596498</v>
      </c>
      <c r="N812" t="s">
        <v>37</v>
      </c>
      <c r="O812" t="s">
        <v>58</v>
      </c>
      <c r="P812">
        <f>VLOOKUP(O812, Coordinates!$A$2:$C$6, 2, FALSE)</f>
        <v>34.052199999999999</v>
      </c>
      <c r="Q812">
        <f>VLOOKUP(O812, Coordinates!$A$2:$C$6, 3, FALSE)</f>
        <v>-118.2437</v>
      </c>
      <c r="R812">
        <v>20</v>
      </c>
      <c r="S812">
        <v>828</v>
      </c>
      <c r="T812">
        <v>12</v>
      </c>
      <c r="U812">
        <v>12.138648059624501</v>
      </c>
      <c r="V812" t="s">
        <v>39</v>
      </c>
      <c r="W812">
        <v>0.23446683343812799</v>
      </c>
      <c r="X812" t="s">
        <v>31</v>
      </c>
      <c r="Y812" t="s">
        <v>41</v>
      </c>
      <c r="Z812">
        <v>290.80233699289602</v>
      </c>
    </row>
    <row r="813" spans="1:26" x14ac:dyDescent="0.3">
      <c r="A813" t="s">
        <v>82</v>
      </c>
      <c r="B813" t="s">
        <v>869</v>
      </c>
      <c r="C813">
        <v>97.295639027105906</v>
      </c>
      <c r="D813">
        <v>61</v>
      </c>
      <c r="E813">
        <v>656</v>
      </c>
      <c r="F813">
        <v>2048.0097167623999</v>
      </c>
      <c r="H813">
        <v>85</v>
      </c>
      <c r="I813">
        <v>1</v>
      </c>
      <c r="J813">
        <v>21</v>
      </c>
      <c r="K813">
        <v>7</v>
      </c>
      <c r="L813" t="s">
        <v>36</v>
      </c>
      <c r="M813">
        <v>3.82213520736049</v>
      </c>
      <c r="N813" t="s">
        <v>45</v>
      </c>
      <c r="O813" t="s">
        <v>38</v>
      </c>
      <c r="P813">
        <f>VLOOKUP(O813, Coordinates!$A$2:$C$6, 2, FALSE)</f>
        <v>25.761700000000001</v>
      </c>
      <c r="Q813">
        <f>VLOOKUP(O813, Coordinates!$A$2:$C$6, 3, FALSE)</f>
        <v>-80.191800000000001</v>
      </c>
      <c r="R813">
        <v>26</v>
      </c>
      <c r="S813">
        <v>927</v>
      </c>
      <c r="T813">
        <v>25</v>
      </c>
      <c r="U813">
        <v>56.122157222962997</v>
      </c>
      <c r="V813" t="s">
        <v>55</v>
      </c>
      <c r="W813">
        <v>4.0140066768818503</v>
      </c>
      <c r="X813" t="s">
        <v>52</v>
      </c>
      <c r="Y813" t="s">
        <v>41</v>
      </c>
      <c r="Z813">
        <v>427.30218858075398</v>
      </c>
    </row>
    <row r="814" spans="1:26" x14ac:dyDescent="0.3">
      <c r="A814" t="s">
        <v>72</v>
      </c>
      <c r="B814" t="s">
        <v>870</v>
      </c>
      <c r="C814">
        <v>21.246870804514199</v>
      </c>
      <c r="D814">
        <v>53</v>
      </c>
      <c r="E814">
        <v>706</v>
      </c>
      <c r="F814">
        <v>13500.2617091883</v>
      </c>
      <c r="G814" t="s">
        <v>26</v>
      </c>
      <c r="H814">
        <v>48</v>
      </c>
      <c r="I814">
        <v>5</v>
      </c>
      <c r="J814">
        <v>22</v>
      </c>
      <c r="K814">
        <v>4</v>
      </c>
      <c r="L814" t="s">
        <v>27</v>
      </c>
      <c r="M814">
        <v>5.1637769134682996</v>
      </c>
      <c r="N814" t="s">
        <v>51</v>
      </c>
      <c r="O814" t="s">
        <v>58</v>
      </c>
      <c r="P814">
        <f>VLOOKUP(O814, Coordinates!$A$2:$C$6, 2, FALSE)</f>
        <v>34.052199999999999</v>
      </c>
      <c r="Q814">
        <f>VLOOKUP(O814, Coordinates!$A$2:$C$6, 3, FALSE)</f>
        <v>-118.2437</v>
      </c>
      <c r="R814">
        <v>5</v>
      </c>
      <c r="S814">
        <v>193</v>
      </c>
      <c r="T814">
        <v>26</v>
      </c>
      <c r="U814">
        <v>88.455290659990595</v>
      </c>
      <c r="V814" t="s">
        <v>30</v>
      </c>
      <c r="W814">
        <v>0.399769205508196</v>
      </c>
      <c r="X814" t="s">
        <v>46</v>
      </c>
      <c r="Y814" t="s">
        <v>60</v>
      </c>
      <c r="Z814">
        <v>922.06019112128297</v>
      </c>
    </row>
    <row r="815" spans="1:26" x14ac:dyDescent="0.3">
      <c r="A815" t="s">
        <v>42</v>
      </c>
      <c r="B815" t="s">
        <v>871</v>
      </c>
      <c r="C815">
        <v>74.732827450000002</v>
      </c>
      <c r="D815">
        <v>18</v>
      </c>
      <c r="E815">
        <v>912</v>
      </c>
      <c r="F815">
        <v>3474.81272776276</v>
      </c>
      <c r="G815" t="s">
        <v>54</v>
      </c>
      <c r="H815">
        <v>6</v>
      </c>
      <c r="I815">
        <v>29</v>
      </c>
      <c r="J815">
        <v>18</v>
      </c>
      <c r="K815">
        <v>6</v>
      </c>
      <c r="L815" t="s">
        <v>36</v>
      </c>
      <c r="M815">
        <v>2.5411558287072298</v>
      </c>
      <c r="N815" t="s">
        <v>51</v>
      </c>
      <c r="O815" t="s">
        <v>67</v>
      </c>
      <c r="P815">
        <f>VLOOKUP(O815, Coordinates!$A$2:$C$6, 2, FALSE)</f>
        <v>40.712800000000001</v>
      </c>
      <c r="Q815">
        <f>VLOOKUP(O815, Coordinates!$A$2:$C$6, 3, FALSE)</f>
        <v>-74.006</v>
      </c>
      <c r="R815">
        <v>9</v>
      </c>
      <c r="S815">
        <v>783</v>
      </c>
      <c r="T815">
        <v>7</v>
      </c>
      <c r="U815">
        <v>33.524425308633802</v>
      </c>
      <c r="V815" t="s">
        <v>30</v>
      </c>
      <c r="W815">
        <v>2.5135395207941902</v>
      </c>
      <c r="X815" t="s">
        <v>46</v>
      </c>
      <c r="Y815" t="s">
        <v>41</v>
      </c>
      <c r="Z815">
        <v>184.80774675431701</v>
      </c>
    </row>
    <row r="816" spans="1:26" x14ac:dyDescent="0.3">
      <c r="A816" t="s">
        <v>72</v>
      </c>
      <c r="B816" t="s">
        <v>872</v>
      </c>
      <c r="C816">
        <v>28.432113036663299</v>
      </c>
      <c r="D816">
        <v>43</v>
      </c>
      <c r="E816">
        <v>610</v>
      </c>
      <c r="F816">
        <v>15609.230057128099</v>
      </c>
      <c r="G816" t="s">
        <v>48</v>
      </c>
      <c r="H816">
        <v>91</v>
      </c>
      <c r="I816">
        <v>1</v>
      </c>
      <c r="J816">
        <v>68</v>
      </c>
      <c r="K816">
        <v>7</v>
      </c>
      <c r="L816" t="s">
        <v>36</v>
      </c>
      <c r="M816">
        <v>6.1848701979959104</v>
      </c>
      <c r="N816" t="s">
        <v>51</v>
      </c>
      <c r="O816" t="s">
        <v>38</v>
      </c>
      <c r="P816">
        <f>VLOOKUP(O816, Coordinates!$A$2:$C$6, 2, FALSE)</f>
        <v>25.761700000000001</v>
      </c>
      <c r="Q816">
        <f>VLOOKUP(O816, Coordinates!$A$2:$C$6, 3, FALSE)</f>
        <v>-80.191800000000001</v>
      </c>
      <c r="R816">
        <v>23</v>
      </c>
      <c r="S816">
        <v>142</v>
      </c>
      <c r="T816">
        <v>7</v>
      </c>
      <c r="U816">
        <v>87.821260820000006</v>
      </c>
      <c r="V816" t="s">
        <v>55</v>
      </c>
      <c r="W816">
        <v>2.5653457635953201</v>
      </c>
      <c r="X816" t="s">
        <v>46</v>
      </c>
      <c r="Y816" t="s">
        <v>32</v>
      </c>
      <c r="Z816">
        <v>154.65573020597</v>
      </c>
    </row>
    <row r="817" spans="1:26" x14ac:dyDescent="0.3">
      <c r="A817" t="s">
        <v>61</v>
      </c>
      <c r="B817" t="s">
        <v>873</v>
      </c>
      <c r="C817">
        <v>93.279452810686706</v>
      </c>
      <c r="D817">
        <v>35</v>
      </c>
      <c r="E817">
        <v>496</v>
      </c>
      <c r="F817">
        <v>4866.4246910369202</v>
      </c>
      <c r="G817" t="s">
        <v>26</v>
      </c>
      <c r="H817">
        <v>37</v>
      </c>
      <c r="I817">
        <v>19</v>
      </c>
      <c r="J817">
        <v>54</v>
      </c>
      <c r="K817">
        <v>2</v>
      </c>
      <c r="L817" t="s">
        <v>27</v>
      </c>
      <c r="M817">
        <v>6.1650087344015203</v>
      </c>
      <c r="N817" t="s">
        <v>57</v>
      </c>
      <c r="O817" t="s">
        <v>29</v>
      </c>
      <c r="P817">
        <f>VLOOKUP(O817, Coordinates!$A$2:$C$6, 2, FALSE)</f>
        <v>29.760400000000001</v>
      </c>
      <c r="Q817">
        <f>VLOOKUP(O817, Coordinates!$A$2:$C$6, 3, FALSE)</f>
        <v>-95.369799999999998</v>
      </c>
      <c r="R817">
        <v>18</v>
      </c>
      <c r="S817">
        <v>231</v>
      </c>
      <c r="T817">
        <v>22</v>
      </c>
      <c r="U817">
        <v>42.784175340803998</v>
      </c>
      <c r="V817" t="s">
        <v>30</v>
      </c>
      <c r="W817">
        <v>4.1850359437918998</v>
      </c>
      <c r="X817" t="s">
        <v>46</v>
      </c>
      <c r="Y817" t="s">
        <v>60</v>
      </c>
      <c r="Z817">
        <v>203.006272543797</v>
      </c>
    </row>
    <row r="818" spans="1:26" x14ac:dyDescent="0.3">
      <c r="A818" t="s">
        <v>33</v>
      </c>
      <c r="B818" t="s">
        <v>874</v>
      </c>
      <c r="C818">
        <v>7.9021984238710896</v>
      </c>
      <c r="D818">
        <v>63</v>
      </c>
      <c r="E818">
        <v>233</v>
      </c>
      <c r="F818">
        <v>5988.9033827528901</v>
      </c>
      <c r="G818" t="s">
        <v>35</v>
      </c>
      <c r="H818">
        <v>13</v>
      </c>
      <c r="I818">
        <v>19</v>
      </c>
      <c r="J818">
        <v>79</v>
      </c>
      <c r="K818">
        <v>10</v>
      </c>
      <c r="L818" t="s">
        <v>44</v>
      </c>
      <c r="M818">
        <v>12.301744392475699</v>
      </c>
      <c r="N818" t="s">
        <v>37</v>
      </c>
      <c r="O818" t="s">
        <v>38</v>
      </c>
      <c r="P818">
        <f>VLOOKUP(O818, Coordinates!$A$2:$C$6, 2, FALSE)</f>
        <v>25.761700000000001</v>
      </c>
      <c r="Q818">
        <f>VLOOKUP(O818, Coordinates!$A$2:$C$6, 3, FALSE)</f>
        <v>-80.191800000000001</v>
      </c>
      <c r="R818">
        <v>29</v>
      </c>
      <c r="S818">
        <v>176</v>
      </c>
      <c r="T818">
        <v>25</v>
      </c>
      <c r="U818">
        <v>46.202579948518498</v>
      </c>
      <c r="V818" t="s">
        <v>39</v>
      </c>
      <c r="W818">
        <v>4.5653375052118301</v>
      </c>
      <c r="X818" t="s">
        <v>40</v>
      </c>
      <c r="Y818" t="s">
        <v>60</v>
      </c>
      <c r="Z818">
        <v>799.27978145261295</v>
      </c>
    </row>
    <row r="819" spans="1:26" x14ac:dyDescent="0.3">
      <c r="A819" t="s">
        <v>42</v>
      </c>
      <c r="B819" t="s">
        <v>875</v>
      </c>
      <c r="C819">
        <v>87.844592152465694</v>
      </c>
      <c r="D819">
        <v>98</v>
      </c>
      <c r="E819">
        <v>579</v>
      </c>
      <c r="F819">
        <v>3958.7138951464499</v>
      </c>
      <c r="G819" t="s">
        <v>48</v>
      </c>
      <c r="H819">
        <v>46</v>
      </c>
      <c r="I819">
        <v>4</v>
      </c>
      <c r="J819">
        <v>52</v>
      </c>
      <c r="K819">
        <v>9</v>
      </c>
      <c r="L819" t="s">
        <v>44</v>
      </c>
      <c r="M819">
        <v>12.21341641841</v>
      </c>
      <c r="N819" t="s">
        <v>51</v>
      </c>
      <c r="O819" t="s">
        <v>38</v>
      </c>
      <c r="P819">
        <f>VLOOKUP(O819, Coordinates!$A$2:$C$6, 2, FALSE)</f>
        <v>25.761700000000001</v>
      </c>
      <c r="Q819">
        <f>VLOOKUP(O819, Coordinates!$A$2:$C$6, 3, FALSE)</f>
        <v>-80.191800000000001</v>
      </c>
      <c r="R819">
        <v>11</v>
      </c>
      <c r="S819">
        <v>331</v>
      </c>
      <c r="T819">
        <v>19</v>
      </c>
      <c r="U819">
        <v>12.0741043504639</v>
      </c>
      <c r="V819" t="s">
        <v>55</v>
      </c>
      <c r="W819">
        <v>4.6983789575489601</v>
      </c>
      <c r="X819" t="s">
        <v>46</v>
      </c>
      <c r="Y819" t="s">
        <v>41</v>
      </c>
      <c r="Z819">
        <v>909.71833330561105</v>
      </c>
    </row>
    <row r="820" spans="1:26" x14ac:dyDescent="0.3">
      <c r="A820" t="s">
        <v>42</v>
      </c>
      <c r="B820" t="s">
        <v>876</v>
      </c>
      <c r="C820">
        <v>55.086487179781003</v>
      </c>
      <c r="D820">
        <v>78</v>
      </c>
      <c r="E820">
        <v>856</v>
      </c>
      <c r="F820">
        <v>7483.903320032</v>
      </c>
      <c r="G820" t="s">
        <v>48</v>
      </c>
      <c r="H820">
        <v>13</v>
      </c>
      <c r="I820">
        <v>19</v>
      </c>
      <c r="J820">
        <v>83</v>
      </c>
      <c r="K820">
        <v>8</v>
      </c>
      <c r="L820" t="s">
        <v>27</v>
      </c>
      <c r="M820">
        <v>12.1541270863311</v>
      </c>
      <c r="N820" t="s">
        <v>37</v>
      </c>
      <c r="O820" t="s">
        <v>38</v>
      </c>
      <c r="P820">
        <f>VLOOKUP(O820, Coordinates!$A$2:$C$6, 2, FALSE)</f>
        <v>25.761700000000001</v>
      </c>
      <c r="Q820">
        <f>VLOOKUP(O820, Coordinates!$A$2:$C$6, 3, FALSE)</f>
        <v>-80.191800000000001</v>
      </c>
      <c r="R820">
        <v>11</v>
      </c>
      <c r="S820">
        <v>138</v>
      </c>
      <c r="T820">
        <v>14</v>
      </c>
      <c r="U820">
        <v>63.016383569775101</v>
      </c>
      <c r="V820" t="s">
        <v>30</v>
      </c>
      <c r="W820">
        <v>2.84836066739489</v>
      </c>
      <c r="X820" t="s">
        <v>40</v>
      </c>
      <c r="Y820" t="s">
        <v>60</v>
      </c>
      <c r="Z820">
        <v>399.84871379373197</v>
      </c>
    </row>
    <row r="821" spans="1:26" x14ac:dyDescent="0.3">
      <c r="A821" t="s">
        <v>42</v>
      </c>
      <c r="B821" t="s">
        <v>877</v>
      </c>
      <c r="C821">
        <v>65.091690446753603</v>
      </c>
      <c r="D821">
        <v>4</v>
      </c>
      <c r="E821">
        <v>541</v>
      </c>
      <c r="F821">
        <v>6793.9354729112001</v>
      </c>
      <c r="G821" t="s">
        <v>48</v>
      </c>
      <c r="H821">
        <v>74</v>
      </c>
      <c r="I821">
        <v>6</v>
      </c>
      <c r="J821">
        <v>32</v>
      </c>
      <c r="K821">
        <v>6</v>
      </c>
      <c r="L821" t="s">
        <v>36</v>
      </c>
      <c r="M821">
        <v>8.9385027850650207</v>
      </c>
      <c r="N821" t="s">
        <v>45</v>
      </c>
      <c r="O821" t="s">
        <v>38</v>
      </c>
      <c r="P821">
        <f>VLOOKUP(O821, Coordinates!$A$2:$C$6, 2, FALSE)</f>
        <v>25.761700000000001</v>
      </c>
      <c r="Q821">
        <f>VLOOKUP(O821, Coordinates!$A$2:$C$6, 3, FALSE)</f>
        <v>-80.191800000000001</v>
      </c>
      <c r="R821">
        <v>26</v>
      </c>
      <c r="S821">
        <v>665</v>
      </c>
      <c r="T821">
        <v>1</v>
      </c>
      <c r="U821">
        <v>20.986392686233799</v>
      </c>
      <c r="V821" t="s">
        <v>39</v>
      </c>
      <c r="W821">
        <v>4.9194003215861901</v>
      </c>
      <c r="X821" t="s">
        <v>40</v>
      </c>
      <c r="Y821" t="s">
        <v>60</v>
      </c>
      <c r="Z821">
        <v>482.37313164479201</v>
      </c>
    </row>
    <row r="822" spans="1:26" x14ac:dyDescent="0.3">
      <c r="A822" t="s">
        <v>24</v>
      </c>
      <c r="B822" t="s">
        <v>878</v>
      </c>
      <c r="C822">
        <v>25.4127123296234</v>
      </c>
      <c r="D822">
        <v>93</v>
      </c>
      <c r="E822">
        <v>272</v>
      </c>
      <c r="F822">
        <v>6221.0319782918205</v>
      </c>
      <c r="G822" t="s">
        <v>26</v>
      </c>
      <c r="H822">
        <v>72</v>
      </c>
      <c r="I822">
        <v>28</v>
      </c>
      <c r="J822">
        <v>88</v>
      </c>
      <c r="K822">
        <v>2</v>
      </c>
      <c r="L822" t="s">
        <v>27</v>
      </c>
      <c r="M822">
        <v>5.5623296161286797</v>
      </c>
      <c r="N822" t="s">
        <v>37</v>
      </c>
      <c r="O822" t="s">
        <v>38</v>
      </c>
      <c r="P822">
        <f>VLOOKUP(O822, Coordinates!$A$2:$C$6, 2, FALSE)</f>
        <v>25.761700000000001</v>
      </c>
      <c r="Q822">
        <f>VLOOKUP(O822, Coordinates!$A$2:$C$6, 3, FALSE)</f>
        <v>-80.191800000000001</v>
      </c>
      <c r="R822">
        <v>8</v>
      </c>
      <c r="S822">
        <v>250</v>
      </c>
      <c r="T822">
        <v>7</v>
      </c>
      <c r="U822">
        <v>76.475287904365004</v>
      </c>
      <c r="V822" t="s">
        <v>55</v>
      </c>
      <c r="W822">
        <v>0.442599312062815</v>
      </c>
      <c r="X822" t="s">
        <v>46</v>
      </c>
      <c r="Y822" t="s">
        <v>60</v>
      </c>
      <c r="Z822">
        <v>556.39998753626003</v>
      </c>
    </row>
    <row r="823" spans="1:26" x14ac:dyDescent="0.3">
      <c r="A823" t="s">
        <v>42</v>
      </c>
      <c r="B823" t="s">
        <v>879</v>
      </c>
      <c r="C823">
        <v>82.880791473549095</v>
      </c>
      <c r="D823">
        <v>41</v>
      </c>
      <c r="E823">
        <v>409</v>
      </c>
      <c r="F823">
        <v>7793.8527601770402</v>
      </c>
      <c r="G823" t="s">
        <v>54</v>
      </c>
      <c r="H823">
        <v>37</v>
      </c>
      <c r="I823">
        <v>15</v>
      </c>
      <c r="J823">
        <v>54</v>
      </c>
      <c r="K823">
        <v>4</v>
      </c>
      <c r="L823" t="s">
        <v>36</v>
      </c>
      <c r="M823">
        <v>6.7535032296060704</v>
      </c>
      <c r="N823" t="s">
        <v>37</v>
      </c>
      <c r="O823" t="s">
        <v>29</v>
      </c>
      <c r="P823">
        <f>VLOOKUP(O823, Coordinates!$A$2:$C$6, 2, FALSE)</f>
        <v>29.760400000000001</v>
      </c>
      <c r="Q823">
        <f>VLOOKUP(O823, Coordinates!$A$2:$C$6, 3, FALSE)</f>
        <v>-95.369799999999998</v>
      </c>
      <c r="R823">
        <v>27</v>
      </c>
      <c r="S823">
        <v>799</v>
      </c>
      <c r="T823">
        <v>25</v>
      </c>
      <c r="U823">
        <v>74.540603855137405</v>
      </c>
      <c r="V823" t="s">
        <v>30</v>
      </c>
      <c r="W823">
        <v>2.43958005422011</v>
      </c>
      <c r="X823" t="s">
        <v>52</v>
      </c>
      <c r="Y823" t="s">
        <v>60</v>
      </c>
      <c r="Z823">
        <v>102.879326225367</v>
      </c>
    </row>
    <row r="824" spans="1:26" x14ac:dyDescent="0.3">
      <c r="A824" t="s">
        <v>72</v>
      </c>
      <c r="B824" t="s">
        <v>880</v>
      </c>
      <c r="C824">
        <v>30.6038266922607</v>
      </c>
      <c r="D824">
        <v>45</v>
      </c>
      <c r="E824">
        <v>797</v>
      </c>
      <c r="F824">
        <v>21952.124886358601</v>
      </c>
      <c r="G824" t="s">
        <v>54</v>
      </c>
      <c r="H824">
        <v>63</v>
      </c>
      <c r="I824">
        <v>4</v>
      </c>
      <c r="J824">
        <v>32</v>
      </c>
      <c r="K824">
        <v>1</v>
      </c>
      <c r="L824" t="s">
        <v>27</v>
      </c>
      <c r="M824">
        <v>5.4484090666691403</v>
      </c>
      <c r="N824" t="s">
        <v>37</v>
      </c>
      <c r="O824" t="s">
        <v>58</v>
      </c>
      <c r="P824">
        <f>VLOOKUP(O824, Coordinates!$A$2:$C$6, 2, FALSE)</f>
        <v>34.052199999999999</v>
      </c>
      <c r="Q824">
        <f>VLOOKUP(O824, Coordinates!$A$2:$C$6, 3, FALSE)</f>
        <v>-118.2437</v>
      </c>
      <c r="R824">
        <v>2</v>
      </c>
      <c r="S824">
        <v>518</v>
      </c>
      <c r="T824">
        <v>22</v>
      </c>
      <c r="U824">
        <v>87.0769833914093</v>
      </c>
      <c r="V824" t="s">
        <v>30</v>
      </c>
      <c r="W824">
        <v>4.4892835212114202</v>
      </c>
      <c r="X824" t="s">
        <v>52</v>
      </c>
      <c r="Y824" t="s">
        <v>60</v>
      </c>
      <c r="Z824">
        <v>538.08879467090105</v>
      </c>
    </row>
    <row r="825" spans="1:26" x14ac:dyDescent="0.3">
      <c r="A825" t="s">
        <v>42</v>
      </c>
      <c r="B825" t="s">
        <v>881</v>
      </c>
      <c r="C825">
        <v>74.639863036699296</v>
      </c>
      <c r="D825">
        <v>50</v>
      </c>
      <c r="E825">
        <v>850</v>
      </c>
      <c r="F825">
        <v>6737.0084084611099</v>
      </c>
      <c r="G825" t="s">
        <v>48</v>
      </c>
      <c r="H825">
        <v>1</v>
      </c>
      <c r="I825">
        <v>24</v>
      </c>
      <c r="J825">
        <v>43</v>
      </c>
      <c r="K825">
        <v>7</v>
      </c>
      <c r="L825" t="s">
        <v>27</v>
      </c>
      <c r="M825">
        <v>9.1469906697300907</v>
      </c>
      <c r="N825" t="s">
        <v>28</v>
      </c>
      <c r="O825" t="s">
        <v>67</v>
      </c>
      <c r="P825">
        <f>VLOOKUP(O825, Coordinates!$A$2:$C$6, 2, FALSE)</f>
        <v>40.712800000000001</v>
      </c>
      <c r="Q825">
        <f>VLOOKUP(O825, Coordinates!$A$2:$C$6, 3, FALSE)</f>
        <v>-74.006</v>
      </c>
      <c r="R825">
        <v>23</v>
      </c>
      <c r="S825">
        <v>921</v>
      </c>
      <c r="T825">
        <v>10</v>
      </c>
      <c r="U825">
        <v>24.6889177694542</v>
      </c>
      <c r="V825" t="s">
        <v>55</v>
      </c>
      <c r="W825">
        <v>2.2784857551902999</v>
      </c>
      <c r="X825" t="s">
        <v>46</v>
      </c>
      <c r="Y825" t="s">
        <v>60</v>
      </c>
      <c r="Z825">
        <v>275.43192796925399</v>
      </c>
    </row>
    <row r="826" spans="1:26" x14ac:dyDescent="0.3">
      <c r="A826" t="s">
        <v>49</v>
      </c>
      <c r="B826" t="s">
        <v>882</v>
      </c>
      <c r="C826">
        <v>55.214920423608703</v>
      </c>
      <c r="D826">
        <v>79</v>
      </c>
      <c r="E826">
        <v>324</v>
      </c>
      <c r="F826">
        <v>5980.8493070836103</v>
      </c>
      <c r="G826" t="s">
        <v>48</v>
      </c>
      <c r="H826">
        <v>69</v>
      </c>
      <c r="I826">
        <v>1</v>
      </c>
      <c r="J826">
        <v>25</v>
      </c>
      <c r="K826">
        <v>8</v>
      </c>
      <c r="L826" t="s">
        <v>44</v>
      </c>
      <c r="M826">
        <v>14.131707698391301</v>
      </c>
      <c r="N826" t="s">
        <v>57</v>
      </c>
      <c r="O826" t="s">
        <v>38</v>
      </c>
      <c r="P826">
        <f>VLOOKUP(O826, Coordinates!$A$2:$C$6, 2, FALSE)</f>
        <v>25.761700000000001</v>
      </c>
      <c r="Q826">
        <f>VLOOKUP(O826, Coordinates!$A$2:$C$6, 3, FALSE)</f>
        <v>-80.191800000000001</v>
      </c>
      <c r="R826">
        <v>21</v>
      </c>
      <c r="S826">
        <v>285</v>
      </c>
      <c r="T826">
        <v>18</v>
      </c>
      <c r="U826">
        <v>61.968173235623198</v>
      </c>
      <c r="V826" t="s">
        <v>55</v>
      </c>
      <c r="W826">
        <v>0.34796967716715299</v>
      </c>
      <c r="X826" t="s">
        <v>46</v>
      </c>
      <c r="Y826" t="s">
        <v>32</v>
      </c>
      <c r="Z826">
        <v>188.08930262804299</v>
      </c>
    </row>
    <row r="827" spans="1:26" x14ac:dyDescent="0.3">
      <c r="A827" t="s">
        <v>33</v>
      </c>
      <c r="B827" t="s">
        <v>883</v>
      </c>
      <c r="C827">
        <v>80.372431359008004</v>
      </c>
      <c r="D827">
        <v>28</v>
      </c>
      <c r="E827">
        <v>971</v>
      </c>
      <c r="F827">
        <v>1102.50701279697</v>
      </c>
      <c r="G827" t="s">
        <v>26</v>
      </c>
      <c r="H827">
        <v>1</v>
      </c>
      <c r="I827">
        <v>23</v>
      </c>
      <c r="J827">
        <v>72</v>
      </c>
      <c r="K827">
        <v>10</v>
      </c>
      <c r="L827" t="s">
        <v>44</v>
      </c>
      <c r="M827">
        <v>4.9829549767799897</v>
      </c>
      <c r="N827" t="s">
        <v>37</v>
      </c>
      <c r="O827" t="s">
        <v>67</v>
      </c>
      <c r="P827">
        <f>VLOOKUP(O827, Coordinates!$A$2:$C$6, 2, FALSE)</f>
        <v>40.712800000000001</v>
      </c>
      <c r="Q827">
        <f>VLOOKUP(O827, Coordinates!$A$2:$C$6, 3, FALSE)</f>
        <v>-74.006</v>
      </c>
      <c r="R827">
        <v>10</v>
      </c>
      <c r="S827">
        <v>417</v>
      </c>
      <c r="T827">
        <v>13</v>
      </c>
      <c r="U827">
        <v>29.341404544414601</v>
      </c>
      <c r="V827" t="s">
        <v>55</v>
      </c>
      <c r="W827">
        <v>1.0032057120822599</v>
      </c>
      <c r="X827" t="s">
        <v>40</v>
      </c>
      <c r="Y827" t="s">
        <v>60</v>
      </c>
      <c r="Z827">
        <v>579.96665522387002</v>
      </c>
    </row>
    <row r="828" spans="1:26" x14ac:dyDescent="0.3">
      <c r="A828" t="s">
        <v>42</v>
      </c>
      <c r="B828" t="s">
        <v>884</v>
      </c>
      <c r="C828">
        <v>99.101873113162597</v>
      </c>
      <c r="D828">
        <v>42</v>
      </c>
      <c r="E828">
        <v>130</v>
      </c>
      <c r="F828">
        <v>7268.5646512920002</v>
      </c>
      <c r="G828" t="s">
        <v>35</v>
      </c>
      <c r="H828">
        <v>24</v>
      </c>
      <c r="I828">
        <v>27</v>
      </c>
      <c r="J828">
        <v>60</v>
      </c>
      <c r="K828">
        <v>2</v>
      </c>
      <c r="L828" t="s">
        <v>27</v>
      </c>
      <c r="M828">
        <v>7.4239254470458098</v>
      </c>
      <c r="N828" t="s">
        <v>51</v>
      </c>
      <c r="O828" t="s">
        <v>38</v>
      </c>
      <c r="P828">
        <f>VLOOKUP(O828, Coordinates!$A$2:$C$6, 2, FALSE)</f>
        <v>25.761700000000001</v>
      </c>
      <c r="Q828">
        <f>VLOOKUP(O828, Coordinates!$A$2:$C$6, 3, FALSE)</f>
        <v>-80.191800000000001</v>
      </c>
      <c r="R828">
        <v>6</v>
      </c>
      <c r="S828">
        <v>563</v>
      </c>
      <c r="T828">
        <v>8</v>
      </c>
      <c r="U828">
        <v>34.388039256283399</v>
      </c>
      <c r="V828" t="s">
        <v>39</v>
      </c>
      <c r="W828">
        <v>2.1475346121774699</v>
      </c>
      <c r="X828" t="s">
        <v>31</v>
      </c>
      <c r="Y828" t="s">
        <v>60</v>
      </c>
      <c r="Z828">
        <v>769.73427694921895</v>
      </c>
    </row>
    <row r="829" spans="1:26" x14ac:dyDescent="0.3">
      <c r="A829" t="s">
        <v>33</v>
      </c>
      <c r="B829" t="s">
        <v>885</v>
      </c>
      <c r="C829">
        <v>24.0618466533573</v>
      </c>
      <c r="D829">
        <v>80</v>
      </c>
      <c r="E829">
        <v>310</v>
      </c>
      <c r="G829" t="s">
        <v>48</v>
      </c>
      <c r="H829">
        <v>15</v>
      </c>
      <c r="I829">
        <v>17</v>
      </c>
      <c r="J829">
        <v>41</v>
      </c>
      <c r="K829">
        <v>10</v>
      </c>
      <c r="L829" t="s">
        <v>27</v>
      </c>
      <c r="M829">
        <v>10.1716370219507</v>
      </c>
      <c r="N829" t="s">
        <v>28</v>
      </c>
      <c r="O829" t="s">
        <v>65</v>
      </c>
      <c r="P829">
        <f>VLOOKUP(O829, Coordinates!$A$2:$C$6, 2, FALSE)</f>
        <v>41.878100000000003</v>
      </c>
      <c r="Q829">
        <f>VLOOKUP(O829, Coordinates!$A$2:$C$6, 3, FALSE)</f>
        <v>-87.629800000000003</v>
      </c>
      <c r="R829">
        <v>27</v>
      </c>
      <c r="S829">
        <v>531</v>
      </c>
      <c r="T829">
        <v>9</v>
      </c>
      <c r="U829">
        <v>65.920537898008604</v>
      </c>
      <c r="V829" t="s">
        <v>30</v>
      </c>
      <c r="W829">
        <v>1.1876415245452601</v>
      </c>
      <c r="X829" t="s">
        <v>40</v>
      </c>
      <c r="Y829" t="s">
        <v>41</v>
      </c>
      <c r="Z829">
        <v>941.27458596964698</v>
      </c>
    </row>
    <row r="830" spans="1:26" x14ac:dyDescent="0.3">
      <c r="A830" t="s">
        <v>49</v>
      </c>
      <c r="B830" t="s">
        <v>886</v>
      </c>
      <c r="C830">
        <v>99.491620949999998</v>
      </c>
      <c r="D830">
        <v>76</v>
      </c>
      <c r="E830">
        <v>706</v>
      </c>
      <c r="F830">
        <v>9483.4873910000006</v>
      </c>
      <c r="G830" t="s">
        <v>48</v>
      </c>
      <c r="H830">
        <v>14</v>
      </c>
      <c r="I830">
        <v>11</v>
      </c>
      <c r="J830">
        <v>47</v>
      </c>
      <c r="K830">
        <v>5</v>
      </c>
      <c r="L830" t="s">
        <v>44</v>
      </c>
      <c r="M830">
        <v>12.8257287651381</v>
      </c>
      <c r="N830" t="s">
        <v>37</v>
      </c>
      <c r="O830" t="s">
        <v>67</v>
      </c>
      <c r="P830">
        <f>VLOOKUP(O830, Coordinates!$A$2:$C$6, 2, FALSE)</f>
        <v>40.712800000000001</v>
      </c>
      <c r="Q830">
        <f>VLOOKUP(O830, Coordinates!$A$2:$C$6, 3, FALSE)</f>
        <v>-74.006</v>
      </c>
      <c r="R830">
        <v>4</v>
      </c>
      <c r="S830">
        <v>234</v>
      </c>
      <c r="T830">
        <v>26</v>
      </c>
      <c r="U830">
        <v>76.587560322752296</v>
      </c>
      <c r="V830" t="s">
        <v>55</v>
      </c>
      <c r="W830">
        <v>1.9614629267085999</v>
      </c>
      <c r="X830" t="s">
        <v>52</v>
      </c>
      <c r="Y830" t="s">
        <v>60</v>
      </c>
      <c r="Z830">
        <v>921.39355314163697</v>
      </c>
    </row>
    <row r="831" spans="1:26" x14ac:dyDescent="0.3">
      <c r="A831" t="s">
        <v>49</v>
      </c>
      <c r="B831" t="s">
        <v>887</v>
      </c>
      <c r="C831">
        <v>13.532154656863501</v>
      </c>
      <c r="D831">
        <v>69</v>
      </c>
      <c r="E831">
        <v>515</v>
      </c>
      <c r="F831">
        <v>8361.86293969484</v>
      </c>
      <c r="G831" t="s">
        <v>35</v>
      </c>
      <c r="H831">
        <v>97</v>
      </c>
      <c r="I831">
        <v>17</v>
      </c>
      <c r="J831">
        <v>65</v>
      </c>
      <c r="K831">
        <v>8</v>
      </c>
      <c r="L831" t="s">
        <v>36</v>
      </c>
      <c r="M831">
        <v>4.5466748889734996</v>
      </c>
      <c r="N831" t="s">
        <v>28</v>
      </c>
      <c r="O831" t="s">
        <v>38</v>
      </c>
      <c r="P831">
        <f>VLOOKUP(O831, Coordinates!$A$2:$C$6, 2, FALSE)</f>
        <v>25.761700000000001</v>
      </c>
      <c r="Q831">
        <f>VLOOKUP(O831, Coordinates!$A$2:$C$6, 3, FALSE)</f>
        <v>-80.191800000000001</v>
      </c>
      <c r="R831">
        <v>21</v>
      </c>
      <c r="S831">
        <v>602</v>
      </c>
      <c r="T831">
        <v>15</v>
      </c>
      <c r="U831">
        <v>76.569371667601899</v>
      </c>
      <c r="V831" t="s">
        <v>39</v>
      </c>
      <c r="W831">
        <v>1.6648093766802901</v>
      </c>
      <c r="X831" t="s">
        <v>31</v>
      </c>
      <c r="Y831" t="s">
        <v>60</v>
      </c>
      <c r="Z831">
        <v>459.09696361594001</v>
      </c>
    </row>
    <row r="832" spans="1:26" x14ac:dyDescent="0.3">
      <c r="A832" t="s">
        <v>33</v>
      </c>
      <c r="B832" t="s">
        <v>888</v>
      </c>
      <c r="C832">
        <v>5.2201670509573104</v>
      </c>
      <c r="D832">
        <v>98</v>
      </c>
      <c r="E832">
        <v>93</v>
      </c>
      <c r="F832">
        <v>6289.2502260000001</v>
      </c>
      <c r="G832" t="s">
        <v>48</v>
      </c>
      <c r="H832">
        <v>80</v>
      </c>
      <c r="I832">
        <v>23</v>
      </c>
      <c r="J832">
        <v>78</v>
      </c>
      <c r="K832">
        <v>8</v>
      </c>
      <c r="L832" t="s">
        <v>44</v>
      </c>
      <c r="M832">
        <v>4.9240593137254596</v>
      </c>
      <c r="N832" t="s">
        <v>57</v>
      </c>
      <c r="O832" t="s">
        <v>38</v>
      </c>
      <c r="P832">
        <f>VLOOKUP(O832, Coordinates!$A$2:$C$6, 2, FALSE)</f>
        <v>25.761700000000001</v>
      </c>
      <c r="Q832">
        <f>VLOOKUP(O832, Coordinates!$A$2:$C$6, 3, FALSE)</f>
        <v>-80.191800000000001</v>
      </c>
      <c r="R832">
        <v>28</v>
      </c>
      <c r="S832">
        <v>784</v>
      </c>
      <c r="T832">
        <v>8</v>
      </c>
      <c r="U832">
        <v>53.401907068374697</v>
      </c>
      <c r="V832" t="s">
        <v>39</v>
      </c>
      <c r="W832">
        <v>1.5946452640797599</v>
      </c>
      <c r="X832" t="s">
        <v>31</v>
      </c>
      <c r="Y832" t="s">
        <v>41</v>
      </c>
      <c r="Z832">
        <v>733.65197579999995</v>
      </c>
    </row>
    <row r="833" spans="1:26" x14ac:dyDescent="0.3">
      <c r="A833" t="s">
        <v>82</v>
      </c>
      <c r="B833" t="s">
        <v>889</v>
      </c>
      <c r="C833">
        <v>9.1953839370000008</v>
      </c>
      <c r="D833">
        <v>1</v>
      </c>
      <c r="E833">
        <v>359</v>
      </c>
      <c r="F833">
        <v>3269.6378363734202</v>
      </c>
      <c r="G833" t="s">
        <v>54</v>
      </c>
      <c r="H833">
        <v>2</v>
      </c>
      <c r="I833">
        <v>1</v>
      </c>
      <c r="J833">
        <v>26</v>
      </c>
      <c r="K833">
        <v>5</v>
      </c>
      <c r="L833" t="s">
        <v>36</v>
      </c>
      <c r="M833">
        <v>13.3923174515831</v>
      </c>
      <c r="N833" t="s">
        <v>28</v>
      </c>
      <c r="O833" t="s">
        <v>29</v>
      </c>
      <c r="P833">
        <f>VLOOKUP(O833, Coordinates!$A$2:$C$6, 2, FALSE)</f>
        <v>29.760400000000001</v>
      </c>
      <c r="Q833">
        <f>VLOOKUP(O833, Coordinates!$A$2:$C$6, 3, FALSE)</f>
        <v>-95.369799999999998</v>
      </c>
      <c r="R833">
        <v>5</v>
      </c>
      <c r="S833">
        <v>368</v>
      </c>
      <c r="T833">
        <v>25</v>
      </c>
      <c r="U833">
        <v>50.886721990849097</v>
      </c>
      <c r="V833" t="s">
        <v>30</v>
      </c>
      <c r="W833">
        <v>0.45582304878417601</v>
      </c>
      <c r="X833" t="s">
        <v>31</v>
      </c>
      <c r="Y833" t="s">
        <v>32</v>
      </c>
      <c r="Z833">
        <v>726.05819688930796</v>
      </c>
    </row>
    <row r="834" spans="1:26" x14ac:dyDescent="0.3">
      <c r="A834" t="s">
        <v>61</v>
      </c>
      <c r="B834" t="s">
        <v>890</v>
      </c>
      <c r="C834">
        <v>37.469328449992297</v>
      </c>
      <c r="D834">
        <v>39</v>
      </c>
      <c r="E834">
        <v>632</v>
      </c>
      <c r="F834">
        <v>2833.45653949899</v>
      </c>
      <c r="G834" t="s">
        <v>48</v>
      </c>
      <c r="H834">
        <v>66</v>
      </c>
      <c r="I834">
        <v>9</v>
      </c>
      <c r="J834">
        <v>95</v>
      </c>
      <c r="K834">
        <v>8</v>
      </c>
      <c r="L834" t="s">
        <v>44</v>
      </c>
      <c r="M834">
        <v>2.1236136798012399</v>
      </c>
      <c r="N834" t="s">
        <v>51</v>
      </c>
      <c r="O834" t="s">
        <v>29</v>
      </c>
      <c r="P834">
        <f>VLOOKUP(O834, Coordinates!$A$2:$C$6, 2, FALSE)</f>
        <v>29.760400000000001</v>
      </c>
      <c r="Q834">
        <f>VLOOKUP(O834, Coordinates!$A$2:$C$6, 3, FALSE)</f>
        <v>-95.369799999999998</v>
      </c>
      <c r="R834">
        <v>23</v>
      </c>
      <c r="S834">
        <v>536</v>
      </c>
      <c r="T834">
        <v>1</v>
      </c>
      <c r="U834">
        <v>80.888066580813103</v>
      </c>
      <c r="V834" t="s">
        <v>30</v>
      </c>
      <c r="W834">
        <v>4.41357345543293</v>
      </c>
      <c r="X834" t="s">
        <v>40</v>
      </c>
      <c r="Y834" t="s">
        <v>32</v>
      </c>
      <c r="Z834">
        <v>470.89509460616</v>
      </c>
    </row>
    <row r="835" spans="1:26" x14ac:dyDescent="0.3">
      <c r="A835" t="s">
        <v>24</v>
      </c>
      <c r="B835" t="s">
        <v>891</v>
      </c>
      <c r="C835">
        <v>27.877226345738102</v>
      </c>
      <c r="D835">
        <v>96</v>
      </c>
      <c r="E835">
        <v>356</v>
      </c>
      <c r="F835">
        <v>8931.8633210000007</v>
      </c>
      <c r="G835" t="s">
        <v>54</v>
      </c>
      <c r="H835">
        <v>36</v>
      </c>
      <c r="I835">
        <v>14</v>
      </c>
      <c r="J835">
        <v>48</v>
      </c>
      <c r="K835">
        <v>6</v>
      </c>
      <c r="L835" t="s">
        <v>44</v>
      </c>
      <c r="M835">
        <v>9.4762664835409698</v>
      </c>
      <c r="N835" t="s">
        <v>37</v>
      </c>
      <c r="O835" t="s">
        <v>29</v>
      </c>
      <c r="P835">
        <f>VLOOKUP(O835, Coordinates!$A$2:$C$6, 2, FALSE)</f>
        <v>29.760400000000001</v>
      </c>
      <c r="Q835">
        <f>VLOOKUP(O835, Coordinates!$A$2:$C$6, 3, FALSE)</f>
        <v>-95.369799999999998</v>
      </c>
      <c r="R835">
        <v>11</v>
      </c>
      <c r="S835">
        <v>726</v>
      </c>
      <c r="T835">
        <v>3</v>
      </c>
      <c r="U835">
        <v>90.667988527035803</v>
      </c>
      <c r="V835" t="s">
        <v>30</v>
      </c>
      <c r="W835">
        <v>3.4635312673270602</v>
      </c>
      <c r="X835" t="s">
        <v>40</v>
      </c>
      <c r="Y835" t="s">
        <v>60</v>
      </c>
      <c r="Z835">
        <v>188.389362884006</v>
      </c>
    </row>
    <row r="836" spans="1:26" x14ac:dyDescent="0.3">
      <c r="A836" t="s">
        <v>82</v>
      </c>
      <c r="B836" t="s">
        <v>892</v>
      </c>
      <c r="C836">
        <v>11.5578063843457</v>
      </c>
      <c r="D836">
        <v>90</v>
      </c>
      <c r="E836">
        <v>693</v>
      </c>
      <c r="F836">
        <v>5289.1114922201596</v>
      </c>
      <c r="G836" t="s">
        <v>26</v>
      </c>
      <c r="H836">
        <v>80</v>
      </c>
      <c r="I836">
        <v>15</v>
      </c>
      <c r="J836">
        <v>50</v>
      </c>
      <c r="K836">
        <v>5</v>
      </c>
      <c r="L836" t="s">
        <v>36</v>
      </c>
      <c r="M836">
        <v>13.0463758253438</v>
      </c>
      <c r="N836" t="s">
        <v>51</v>
      </c>
      <c r="O836" t="s">
        <v>65</v>
      </c>
      <c r="P836">
        <f>VLOOKUP(O836, Coordinates!$A$2:$C$6, 2, FALSE)</f>
        <v>41.878100000000003</v>
      </c>
      <c r="Q836">
        <f>VLOOKUP(O836, Coordinates!$A$2:$C$6, 3, FALSE)</f>
        <v>-87.629800000000003</v>
      </c>
      <c r="R836">
        <v>12</v>
      </c>
      <c r="S836">
        <v>597</v>
      </c>
      <c r="T836">
        <v>19</v>
      </c>
      <c r="U836">
        <v>23.698220277561301</v>
      </c>
      <c r="V836" t="s">
        <v>30</v>
      </c>
      <c r="W836">
        <v>3.1169095423456201</v>
      </c>
      <c r="X836" t="s">
        <v>46</v>
      </c>
      <c r="Y836" t="s">
        <v>32</v>
      </c>
      <c r="Z836">
        <v>443.80802375577701</v>
      </c>
    </row>
    <row r="837" spans="1:26" x14ac:dyDescent="0.3">
      <c r="A837" t="s">
        <v>82</v>
      </c>
      <c r="B837" t="s">
        <v>893</v>
      </c>
      <c r="C837">
        <v>5.5382523803088901</v>
      </c>
      <c r="D837">
        <v>17</v>
      </c>
      <c r="E837">
        <v>18</v>
      </c>
      <c r="F837">
        <v>3664.5895903505202</v>
      </c>
      <c r="G837" t="s">
        <v>26</v>
      </c>
      <c r="H837">
        <v>54</v>
      </c>
      <c r="I837">
        <v>24</v>
      </c>
      <c r="J837">
        <v>57</v>
      </c>
      <c r="K837">
        <v>4</v>
      </c>
      <c r="L837" t="s">
        <v>27</v>
      </c>
      <c r="M837">
        <v>13.904398504921399</v>
      </c>
      <c r="N837" t="s">
        <v>45</v>
      </c>
      <c r="O837" t="s">
        <v>38</v>
      </c>
      <c r="P837">
        <f>VLOOKUP(O837, Coordinates!$A$2:$C$6, 2, FALSE)</f>
        <v>25.761700000000001</v>
      </c>
      <c r="Q837">
        <f>VLOOKUP(O837, Coordinates!$A$2:$C$6, 3, FALSE)</f>
        <v>-80.191800000000001</v>
      </c>
      <c r="R837">
        <v>28</v>
      </c>
      <c r="S837">
        <v>832</v>
      </c>
      <c r="T837">
        <v>30</v>
      </c>
      <c r="U837">
        <v>69.822555942655796</v>
      </c>
      <c r="V837" t="s">
        <v>55</v>
      </c>
      <c r="W837">
        <v>4.8573206779832097</v>
      </c>
      <c r="X837" t="s">
        <v>40</v>
      </c>
      <c r="Y837" t="s">
        <v>32</v>
      </c>
      <c r="Z837">
        <v>993.122094199397</v>
      </c>
    </row>
    <row r="838" spans="1:26" x14ac:dyDescent="0.3">
      <c r="A838" t="s">
        <v>72</v>
      </c>
      <c r="B838" t="s">
        <v>894</v>
      </c>
      <c r="C838">
        <v>22.7197903941452</v>
      </c>
      <c r="D838">
        <v>91</v>
      </c>
      <c r="E838">
        <v>261</v>
      </c>
      <c r="F838">
        <v>5336.8787635847202</v>
      </c>
      <c r="G838" t="s">
        <v>54</v>
      </c>
      <c r="H838">
        <v>37</v>
      </c>
      <c r="I838">
        <v>29</v>
      </c>
      <c r="J838">
        <v>91</v>
      </c>
      <c r="K838">
        <v>5</v>
      </c>
      <c r="L838" t="s">
        <v>44</v>
      </c>
      <c r="M838">
        <v>1.17762155926016</v>
      </c>
      <c r="N838" t="s">
        <v>28</v>
      </c>
      <c r="O838" t="s">
        <v>65</v>
      </c>
      <c r="P838">
        <f>VLOOKUP(O838, Coordinates!$A$2:$C$6, 2, FALSE)</f>
        <v>41.878100000000003</v>
      </c>
      <c r="Q838">
        <f>VLOOKUP(O838, Coordinates!$A$2:$C$6, 3, FALSE)</f>
        <v>-87.629800000000003</v>
      </c>
      <c r="R838">
        <v>20</v>
      </c>
      <c r="S838">
        <v>650</v>
      </c>
      <c r="T838">
        <v>9</v>
      </c>
      <c r="U838">
        <v>75.007916927609202</v>
      </c>
      <c r="V838" t="s">
        <v>55</v>
      </c>
      <c r="W838">
        <v>1.98251112357329</v>
      </c>
      <c r="X838" t="s">
        <v>40</v>
      </c>
      <c r="Y838" t="s">
        <v>32</v>
      </c>
      <c r="Z838">
        <v>599.531212251331</v>
      </c>
    </row>
    <row r="839" spans="1:26" x14ac:dyDescent="0.3">
      <c r="A839" t="s">
        <v>24</v>
      </c>
      <c r="B839" t="s">
        <v>895</v>
      </c>
      <c r="C839">
        <v>36.733678419559602</v>
      </c>
      <c r="D839">
        <v>88</v>
      </c>
      <c r="E839">
        <v>213</v>
      </c>
      <c r="F839">
        <v>7041.8461530295899</v>
      </c>
      <c r="G839" t="s">
        <v>54</v>
      </c>
      <c r="H839">
        <v>62</v>
      </c>
      <c r="I839">
        <v>1</v>
      </c>
      <c r="J839">
        <v>37</v>
      </c>
      <c r="K839">
        <v>4</v>
      </c>
      <c r="L839" t="s">
        <v>44</v>
      </c>
      <c r="M839">
        <v>6.1753236850000004</v>
      </c>
      <c r="N839" t="s">
        <v>28</v>
      </c>
      <c r="O839" t="s">
        <v>58</v>
      </c>
      <c r="P839">
        <f>VLOOKUP(O839, Coordinates!$A$2:$C$6, 2, FALSE)</f>
        <v>34.052199999999999</v>
      </c>
      <c r="Q839">
        <f>VLOOKUP(O839, Coordinates!$A$2:$C$6, 3, FALSE)</f>
        <v>-118.2437</v>
      </c>
      <c r="R839">
        <v>21</v>
      </c>
      <c r="S839">
        <v>439</v>
      </c>
      <c r="T839">
        <v>19</v>
      </c>
      <c r="U839">
        <v>92.833515560923203</v>
      </c>
      <c r="V839" t="s">
        <v>30</v>
      </c>
      <c r="W839">
        <v>4.11657654425749</v>
      </c>
      <c r="X839" t="s">
        <v>31</v>
      </c>
      <c r="Y839" t="s">
        <v>32</v>
      </c>
      <c r="Z839">
        <v>407.25190558914198</v>
      </c>
    </row>
    <row r="840" spans="1:26" x14ac:dyDescent="0.3">
      <c r="A840" t="s">
        <v>24</v>
      </c>
      <c r="B840" t="s">
        <v>896</v>
      </c>
      <c r="C840">
        <v>37.293336810357602</v>
      </c>
      <c r="D840">
        <v>35</v>
      </c>
      <c r="E840">
        <v>285</v>
      </c>
      <c r="F840">
        <v>9565.7408918567198</v>
      </c>
      <c r="G840" t="s">
        <v>35</v>
      </c>
      <c r="H840">
        <v>0</v>
      </c>
      <c r="I840">
        <v>2</v>
      </c>
      <c r="J840">
        <v>86</v>
      </c>
      <c r="K840">
        <v>1</v>
      </c>
      <c r="L840" t="s">
        <v>44</v>
      </c>
      <c r="M840">
        <v>4.6017070056946503</v>
      </c>
      <c r="N840" t="s">
        <v>28</v>
      </c>
      <c r="O840" t="s">
        <v>38</v>
      </c>
      <c r="P840">
        <f>VLOOKUP(O840, Coordinates!$A$2:$C$6, 2, FALSE)</f>
        <v>25.761700000000001</v>
      </c>
      <c r="Q840">
        <f>VLOOKUP(O840, Coordinates!$A$2:$C$6, 3, FALSE)</f>
        <v>-80.191800000000001</v>
      </c>
      <c r="R840">
        <v>14</v>
      </c>
      <c r="S840">
        <v>341</v>
      </c>
      <c r="T840">
        <v>15</v>
      </c>
      <c r="U840">
        <v>94.044674325467398</v>
      </c>
      <c r="V840" t="s">
        <v>30</v>
      </c>
      <c r="W840">
        <v>4.6501999696396901</v>
      </c>
      <c r="X840" t="s">
        <v>31</v>
      </c>
      <c r="Y840" t="s">
        <v>60</v>
      </c>
      <c r="Z840">
        <v>769.43329917753204</v>
      </c>
    </row>
    <row r="841" spans="1:26" x14ac:dyDescent="0.3">
      <c r="A841" t="s">
        <v>82</v>
      </c>
      <c r="B841" t="s">
        <v>897</v>
      </c>
      <c r="C841">
        <v>89.020306172687796</v>
      </c>
      <c r="D841">
        <v>46</v>
      </c>
      <c r="E841">
        <v>447</v>
      </c>
      <c r="F841">
        <v>1971.3209946849399</v>
      </c>
      <c r="G841" t="s">
        <v>54</v>
      </c>
      <c r="H841">
        <v>70</v>
      </c>
      <c r="I841">
        <v>18</v>
      </c>
      <c r="J841">
        <v>59</v>
      </c>
      <c r="K841">
        <v>3</v>
      </c>
      <c r="L841" t="s">
        <v>27</v>
      </c>
      <c r="M841">
        <v>8.9524562428461198</v>
      </c>
      <c r="N841" t="s">
        <v>57</v>
      </c>
      <c r="O841" t="s">
        <v>38</v>
      </c>
      <c r="P841">
        <f>VLOOKUP(O841, Coordinates!$A$2:$C$6, 2, FALSE)</f>
        <v>25.761700000000001</v>
      </c>
      <c r="Q841">
        <f>VLOOKUP(O841, Coordinates!$A$2:$C$6, 3, FALSE)</f>
        <v>-80.191800000000001</v>
      </c>
      <c r="R841">
        <v>14</v>
      </c>
      <c r="S841">
        <v>320</v>
      </c>
      <c r="T841">
        <v>14</v>
      </c>
      <c r="U841">
        <v>39.238469296009001</v>
      </c>
      <c r="V841" t="s">
        <v>30</v>
      </c>
      <c r="W841">
        <v>2.8086244977205601E-2</v>
      </c>
      <c r="X841" t="s">
        <v>40</v>
      </c>
      <c r="Y841" t="s">
        <v>60</v>
      </c>
      <c r="Z841">
        <v>717.69321280766906</v>
      </c>
    </row>
    <row r="842" spans="1:26" x14ac:dyDescent="0.3">
      <c r="A842" t="s">
        <v>42</v>
      </c>
      <c r="B842" t="s">
        <v>898</v>
      </c>
      <c r="C842">
        <v>71.503255913349903</v>
      </c>
      <c r="D842">
        <v>42</v>
      </c>
      <c r="E842">
        <v>844</v>
      </c>
      <c r="F842">
        <v>9387.4972568893409</v>
      </c>
      <c r="G842" t="s">
        <v>54</v>
      </c>
      <c r="H842">
        <v>89</v>
      </c>
      <c r="I842">
        <v>18</v>
      </c>
      <c r="J842">
        <v>10</v>
      </c>
      <c r="K842">
        <v>8</v>
      </c>
      <c r="L842" t="s">
        <v>44</v>
      </c>
      <c r="M842">
        <v>9.8600718749999992</v>
      </c>
      <c r="N842" t="s">
        <v>51</v>
      </c>
      <c r="O842" t="s">
        <v>38</v>
      </c>
      <c r="P842">
        <f>VLOOKUP(O842, Coordinates!$A$2:$C$6, 2, FALSE)</f>
        <v>25.761700000000001</v>
      </c>
      <c r="Q842">
        <f>VLOOKUP(O842, Coordinates!$A$2:$C$6, 3, FALSE)</f>
        <v>-80.191800000000001</v>
      </c>
      <c r="R842">
        <v>20</v>
      </c>
      <c r="S842">
        <v>757</v>
      </c>
      <c r="T842">
        <v>26</v>
      </c>
      <c r="U842">
        <v>90.7009884266851</v>
      </c>
      <c r="V842" t="s">
        <v>39</v>
      </c>
      <c r="W842">
        <v>0.39599238399999998</v>
      </c>
      <c r="X842" t="s">
        <v>52</v>
      </c>
      <c r="Y842" t="s">
        <v>41</v>
      </c>
      <c r="Z842">
        <v>620.91992087567405</v>
      </c>
    </row>
    <row r="843" spans="1:26" x14ac:dyDescent="0.3">
      <c r="A843" t="s">
        <v>72</v>
      </c>
      <c r="B843" t="s">
        <v>899</v>
      </c>
      <c r="C843">
        <v>36.262904752891401</v>
      </c>
      <c r="D843">
        <v>39</v>
      </c>
      <c r="E843">
        <v>841</v>
      </c>
      <c r="F843">
        <v>27447.392607463498</v>
      </c>
      <c r="G843" t="s">
        <v>48</v>
      </c>
      <c r="H843">
        <v>18</v>
      </c>
      <c r="I843">
        <v>6</v>
      </c>
      <c r="J843">
        <v>59</v>
      </c>
      <c r="K843">
        <v>7</v>
      </c>
      <c r="L843" t="s">
        <v>27</v>
      </c>
      <c r="M843">
        <v>14.9968426864774</v>
      </c>
      <c r="N843" t="s">
        <v>45</v>
      </c>
      <c r="O843" t="s">
        <v>38</v>
      </c>
      <c r="P843">
        <f>VLOOKUP(O843, Coordinates!$A$2:$C$6, 2, FALSE)</f>
        <v>25.761700000000001</v>
      </c>
      <c r="Q843">
        <f>VLOOKUP(O843, Coordinates!$A$2:$C$6, 3, FALSE)</f>
        <v>-80.191800000000001</v>
      </c>
      <c r="R843">
        <v>27</v>
      </c>
      <c r="S843">
        <v>775</v>
      </c>
      <c r="T843">
        <v>1</v>
      </c>
      <c r="U843">
        <v>77.563806453874307</v>
      </c>
      <c r="V843" t="s">
        <v>55</v>
      </c>
      <c r="W843">
        <v>4.7744074183421903</v>
      </c>
      <c r="X843" t="s">
        <v>31</v>
      </c>
      <c r="Y843" t="s">
        <v>60</v>
      </c>
      <c r="Z843">
        <v>673.68934499198099</v>
      </c>
    </row>
    <row r="844" spans="1:26" x14ac:dyDescent="0.3">
      <c r="A844" t="s">
        <v>72</v>
      </c>
      <c r="B844" t="s">
        <v>900</v>
      </c>
      <c r="C844">
        <v>24.207140437912201</v>
      </c>
      <c r="D844">
        <v>90</v>
      </c>
      <c r="E844">
        <v>393</v>
      </c>
      <c r="F844">
        <v>8562.0655728895599</v>
      </c>
      <c r="G844" t="s">
        <v>35</v>
      </c>
      <c r="H844">
        <v>51</v>
      </c>
      <c r="I844">
        <v>20</v>
      </c>
      <c r="J844">
        <v>28</v>
      </c>
      <c r="K844">
        <v>7</v>
      </c>
      <c r="L844" t="s">
        <v>44</v>
      </c>
      <c r="M844">
        <v>8.1786749570000001</v>
      </c>
      <c r="N844" t="s">
        <v>57</v>
      </c>
      <c r="O844" t="s">
        <v>38</v>
      </c>
      <c r="P844">
        <f>VLOOKUP(O844, Coordinates!$A$2:$C$6, 2, FALSE)</f>
        <v>25.761700000000001</v>
      </c>
      <c r="Q844">
        <f>VLOOKUP(O844, Coordinates!$A$2:$C$6, 3, FALSE)</f>
        <v>-80.191800000000001</v>
      </c>
      <c r="R844">
        <v>15</v>
      </c>
      <c r="S844">
        <v>460</v>
      </c>
      <c r="T844">
        <v>3</v>
      </c>
      <c r="U844">
        <v>85.701044081794805</v>
      </c>
      <c r="V844" t="s">
        <v>55</v>
      </c>
      <c r="W844">
        <v>1.1803336136153599</v>
      </c>
      <c r="X844" t="s">
        <v>46</v>
      </c>
      <c r="Y844" t="s">
        <v>60</v>
      </c>
      <c r="Z844">
        <v>626.44411910594101</v>
      </c>
    </row>
    <row r="845" spans="1:26" x14ac:dyDescent="0.3">
      <c r="A845" t="s">
        <v>49</v>
      </c>
      <c r="B845" t="s">
        <v>901</v>
      </c>
      <c r="C845">
        <v>73.699201209999998</v>
      </c>
      <c r="D845">
        <v>49</v>
      </c>
      <c r="E845">
        <v>621</v>
      </c>
      <c r="F845">
        <v>7524.1924465247503</v>
      </c>
      <c r="G845" t="s">
        <v>54</v>
      </c>
      <c r="H845">
        <v>29</v>
      </c>
      <c r="I845">
        <v>8</v>
      </c>
      <c r="J845">
        <v>68</v>
      </c>
      <c r="K845">
        <v>3</v>
      </c>
      <c r="L845" t="s">
        <v>36</v>
      </c>
      <c r="M845">
        <v>8.7205363023217703</v>
      </c>
      <c r="N845" t="s">
        <v>57</v>
      </c>
      <c r="O845" t="s">
        <v>29</v>
      </c>
      <c r="P845">
        <f>VLOOKUP(O845, Coordinates!$A$2:$C$6, 2, FALSE)</f>
        <v>29.760400000000001</v>
      </c>
      <c r="Q845">
        <f>VLOOKUP(O845, Coordinates!$A$2:$C$6, 3, FALSE)</f>
        <v>-95.369799999999998</v>
      </c>
      <c r="R845">
        <v>8</v>
      </c>
      <c r="S845">
        <v>979</v>
      </c>
      <c r="T845">
        <v>2</v>
      </c>
      <c r="U845">
        <v>19.6013974706478</v>
      </c>
      <c r="V845" t="s">
        <v>55</v>
      </c>
      <c r="W845">
        <v>4.5585249938494004</v>
      </c>
      <c r="X845" t="s">
        <v>52</v>
      </c>
      <c r="Y845" t="s">
        <v>32</v>
      </c>
      <c r="Z845">
        <v>960.649328607342</v>
      </c>
    </row>
    <row r="846" spans="1:26" x14ac:dyDescent="0.3">
      <c r="A846" t="s">
        <v>24</v>
      </c>
      <c r="B846" t="s">
        <v>902</v>
      </c>
      <c r="C846">
        <v>28.569849790030901</v>
      </c>
      <c r="D846">
        <v>62</v>
      </c>
      <c r="E846">
        <v>487</v>
      </c>
      <c r="F846">
        <v>12522.165162970499</v>
      </c>
      <c r="G846" t="s">
        <v>54</v>
      </c>
      <c r="H846">
        <v>54</v>
      </c>
      <c r="I846">
        <v>1</v>
      </c>
      <c r="J846">
        <v>77</v>
      </c>
      <c r="K846">
        <v>9</v>
      </c>
      <c r="L846" t="s">
        <v>44</v>
      </c>
      <c r="M846">
        <v>6.8003891092789797</v>
      </c>
      <c r="N846" t="s">
        <v>37</v>
      </c>
      <c r="O846" t="s">
        <v>58</v>
      </c>
      <c r="P846">
        <f>VLOOKUP(O846, Coordinates!$A$2:$C$6, 2, FALSE)</f>
        <v>34.052199999999999</v>
      </c>
      <c r="Q846">
        <f>VLOOKUP(O846, Coordinates!$A$2:$C$6, 3, FALSE)</f>
        <v>-118.2437</v>
      </c>
      <c r="R846">
        <v>27</v>
      </c>
      <c r="S846">
        <v>939</v>
      </c>
      <c r="T846">
        <v>25</v>
      </c>
      <c r="U846">
        <v>77.211929797202401</v>
      </c>
      <c r="V846" t="s">
        <v>55</v>
      </c>
      <c r="W846">
        <v>3.3370653255812699</v>
      </c>
      <c r="X846" t="s">
        <v>31</v>
      </c>
      <c r="Y846" t="s">
        <v>32</v>
      </c>
      <c r="Z846">
        <v>558.22053914823402</v>
      </c>
    </row>
    <row r="847" spans="1:26" x14ac:dyDescent="0.3">
      <c r="A847" t="s">
        <v>82</v>
      </c>
      <c r="B847" t="s">
        <v>903</v>
      </c>
      <c r="C847">
        <v>70.303604592942506</v>
      </c>
      <c r="D847">
        <v>38</v>
      </c>
      <c r="E847">
        <v>151</v>
      </c>
      <c r="F847">
        <v>6670.3111978819397</v>
      </c>
      <c r="G847" t="s">
        <v>54</v>
      </c>
      <c r="H847">
        <v>13</v>
      </c>
      <c r="I847">
        <v>15</v>
      </c>
      <c r="J847">
        <v>76</v>
      </c>
      <c r="K847">
        <v>6</v>
      </c>
      <c r="L847" t="s">
        <v>44</v>
      </c>
      <c r="M847">
        <v>3.0674813297400498</v>
      </c>
      <c r="N847" t="s">
        <v>45</v>
      </c>
      <c r="O847" t="s">
        <v>38</v>
      </c>
      <c r="P847">
        <f>VLOOKUP(O847, Coordinates!$A$2:$C$6, 2, FALSE)</f>
        <v>25.761700000000001</v>
      </c>
      <c r="Q847">
        <f>VLOOKUP(O847, Coordinates!$A$2:$C$6, 3, FALSE)</f>
        <v>-80.191800000000001</v>
      </c>
      <c r="R847">
        <v>28</v>
      </c>
      <c r="S847">
        <v>870</v>
      </c>
      <c r="T847">
        <v>30</v>
      </c>
      <c r="U847">
        <v>13.229895594037901</v>
      </c>
      <c r="V847" t="s">
        <v>39</v>
      </c>
      <c r="W847">
        <v>3.5194723837479298</v>
      </c>
      <c r="X847" t="s">
        <v>46</v>
      </c>
      <c r="Y847" t="s">
        <v>60</v>
      </c>
      <c r="Z847">
        <v>631.17182167428803</v>
      </c>
    </row>
    <row r="848" spans="1:26" x14ac:dyDescent="0.3">
      <c r="A848" t="s">
        <v>49</v>
      </c>
      <c r="B848" t="s">
        <v>904</v>
      </c>
      <c r="C848">
        <v>7.3273525854269703</v>
      </c>
      <c r="D848">
        <v>23</v>
      </c>
      <c r="E848">
        <v>283</v>
      </c>
      <c r="F848">
        <v>4065.1834367900601</v>
      </c>
      <c r="G848" t="s">
        <v>48</v>
      </c>
      <c r="H848">
        <v>12</v>
      </c>
      <c r="I848">
        <v>10</v>
      </c>
      <c r="J848">
        <v>50</v>
      </c>
      <c r="K848">
        <v>8</v>
      </c>
      <c r="L848" t="s">
        <v>27</v>
      </c>
      <c r="M848">
        <v>5.2465449639283701</v>
      </c>
      <c r="N848" t="s">
        <v>28</v>
      </c>
      <c r="O848" t="s">
        <v>65</v>
      </c>
      <c r="P848">
        <f>VLOOKUP(O848, Coordinates!$A$2:$C$6, 2, FALSE)</f>
        <v>41.878100000000003</v>
      </c>
      <c r="Q848">
        <f>VLOOKUP(O848, Coordinates!$A$2:$C$6, 3, FALSE)</f>
        <v>-87.629800000000003</v>
      </c>
      <c r="R848">
        <v>29</v>
      </c>
      <c r="S848">
        <v>289</v>
      </c>
      <c r="T848">
        <v>1</v>
      </c>
      <c r="U848">
        <v>48.193373058549902</v>
      </c>
      <c r="V848" t="s">
        <v>30</v>
      </c>
      <c r="W848">
        <v>2.07641201389715</v>
      </c>
      <c r="X848" t="s">
        <v>31</v>
      </c>
      <c r="Y848" t="s">
        <v>60</v>
      </c>
      <c r="Z848">
        <v>524.48945306427595</v>
      </c>
    </row>
    <row r="849" spans="1:26" x14ac:dyDescent="0.3">
      <c r="A849" t="s">
        <v>33</v>
      </c>
      <c r="B849" t="s">
        <v>905</v>
      </c>
      <c r="C849">
        <v>34.083047383561301</v>
      </c>
      <c r="D849">
        <v>22</v>
      </c>
      <c r="E849">
        <v>525</v>
      </c>
      <c r="F849">
        <v>3710.431178069</v>
      </c>
      <c r="G849" t="s">
        <v>48</v>
      </c>
      <c r="H849">
        <v>83</v>
      </c>
      <c r="I849">
        <v>30</v>
      </c>
      <c r="J849">
        <v>19</v>
      </c>
      <c r="K849">
        <v>8</v>
      </c>
      <c r="L849" t="s">
        <v>27</v>
      </c>
      <c r="M849">
        <v>4.4577888479544399</v>
      </c>
      <c r="N849" t="s">
        <v>28</v>
      </c>
      <c r="O849" t="s">
        <v>65</v>
      </c>
      <c r="P849">
        <f>VLOOKUP(O849, Coordinates!$A$2:$C$6, 2, FALSE)</f>
        <v>41.878100000000003</v>
      </c>
      <c r="Q849">
        <f>VLOOKUP(O849, Coordinates!$A$2:$C$6, 3, FALSE)</f>
        <v>-87.629800000000003</v>
      </c>
      <c r="R849">
        <v>9</v>
      </c>
      <c r="S849">
        <v>512</v>
      </c>
      <c r="T849">
        <v>27</v>
      </c>
      <c r="U849">
        <v>99.002800404552104</v>
      </c>
      <c r="V849" t="s">
        <v>30</v>
      </c>
      <c r="W849">
        <v>3.4544125262327898</v>
      </c>
      <c r="X849" t="s">
        <v>46</v>
      </c>
      <c r="Y849" t="s">
        <v>32</v>
      </c>
      <c r="Z849">
        <v>640.20001730973695</v>
      </c>
    </row>
    <row r="850" spans="1:26" x14ac:dyDescent="0.3">
      <c r="A850" t="s">
        <v>61</v>
      </c>
      <c r="B850" t="s">
        <v>906</v>
      </c>
      <c r="C850">
        <v>57.167381949999999</v>
      </c>
      <c r="D850">
        <v>4</v>
      </c>
      <c r="E850">
        <v>634</v>
      </c>
      <c r="F850">
        <v>6204.0680755256199</v>
      </c>
      <c r="G850" t="s">
        <v>48</v>
      </c>
      <c r="H850">
        <v>89</v>
      </c>
      <c r="I850">
        <v>4</v>
      </c>
      <c r="J850">
        <v>37</v>
      </c>
      <c r="K850">
        <v>3</v>
      </c>
      <c r="L850" t="s">
        <v>27</v>
      </c>
      <c r="M850">
        <v>12.2170756788767</v>
      </c>
      <c r="N850" t="s">
        <v>37</v>
      </c>
      <c r="O850" t="s">
        <v>29</v>
      </c>
      <c r="P850">
        <f>VLOOKUP(O850, Coordinates!$A$2:$C$6, 2, FALSE)</f>
        <v>29.760400000000001</v>
      </c>
      <c r="Q850">
        <f>VLOOKUP(O850, Coordinates!$A$2:$C$6, 3, FALSE)</f>
        <v>-95.369799999999998</v>
      </c>
      <c r="R850">
        <v>21</v>
      </c>
      <c r="S850">
        <v>428</v>
      </c>
      <c r="T850">
        <v>18</v>
      </c>
      <c r="U850">
        <v>88.648583738631899</v>
      </c>
      <c r="V850" t="s">
        <v>30</v>
      </c>
      <c r="W850">
        <v>0.70482051301071602</v>
      </c>
      <c r="X850" t="s">
        <v>31</v>
      </c>
      <c r="Y850" t="s">
        <v>60</v>
      </c>
      <c r="Z850">
        <v>901.74421638786498</v>
      </c>
    </row>
    <row r="851" spans="1:26" x14ac:dyDescent="0.3">
      <c r="A851" t="s">
        <v>72</v>
      </c>
      <c r="B851" t="s">
        <v>907</v>
      </c>
      <c r="C851">
        <v>23.429319928025802</v>
      </c>
      <c r="D851">
        <v>49</v>
      </c>
      <c r="E851">
        <v>610</v>
      </c>
      <c r="F851">
        <v>12862.6966404862</v>
      </c>
      <c r="G851" t="s">
        <v>26</v>
      </c>
      <c r="H851">
        <v>26</v>
      </c>
      <c r="I851">
        <v>10</v>
      </c>
      <c r="J851">
        <v>43</v>
      </c>
      <c r="K851">
        <v>4</v>
      </c>
      <c r="L851" t="s">
        <v>36</v>
      </c>
      <c r="M851">
        <v>8.6414299017323692</v>
      </c>
      <c r="N851" t="s">
        <v>28</v>
      </c>
      <c r="O851" t="s">
        <v>67</v>
      </c>
      <c r="P851">
        <f>VLOOKUP(O851, Coordinates!$A$2:$C$6, 2, FALSE)</f>
        <v>40.712800000000001</v>
      </c>
      <c r="Q851">
        <f>VLOOKUP(O851, Coordinates!$A$2:$C$6, 3, FALSE)</f>
        <v>-74.006</v>
      </c>
      <c r="R851">
        <v>16</v>
      </c>
      <c r="S851">
        <v>875</v>
      </c>
      <c r="T851">
        <v>1</v>
      </c>
      <c r="U851">
        <v>80.660157144471796</v>
      </c>
      <c r="V851" t="s">
        <v>30</v>
      </c>
      <c r="W851">
        <v>4.4170594012330398</v>
      </c>
      <c r="X851" t="s">
        <v>31</v>
      </c>
      <c r="Y851" t="s">
        <v>60</v>
      </c>
      <c r="Z851">
        <v>405.77911050092899</v>
      </c>
    </row>
    <row r="852" spans="1:26" x14ac:dyDescent="0.3">
      <c r="A852" t="s">
        <v>33</v>
      </c>
      <c r="B852" t="s">
        <v>908</v>
      </c>
      <c r="C852">
        <v>59.818863123881499</v>
      </c>
      <c r="D852">
        <v>59</v>
      </c>
      <c r="E852">
        <v>869</v>
      </c>
      <c r="F852">
        <v>6215.8273220000001</v>
      </c>
      <c r="G852" t="s">
        <v>48</v>
      </c>
      <c r="H852">
        <v>5</v>
      </c>
      <c r="I852">
        <v>23</v>
      </c>
      <c r="J852">
        <v>48</v>
      </c>
      <c r="K852">
        <v>6</v>
      </c>
      <c r="L852" t="s">
        <v>36</v>
      </c>
      <c r="M852">
        <v>5.1467108230147796</v>
      </c>
      <c r="N852" t="s">
        <v>51</v>
      </c>
      <c r="O852" t="s">
        <v>67</v>
      </c>
      <c r="P852">
        <f>VLOOKUP(O852, Coordinates!$A$2:$C$6, 2, FALSE)</f>
        <v>40.712800000000001</v>
      </c>
      <c r="Q852">
        <f>VLOOKUP(O852, Coordinates!$A$2:$C$6, 3, FALSE)</f>
        <v>-74.006</v>
      </c>
      <c r="R852">
        <v>24</v>
      </c>
      <c r="S852">
        <v>321</v>
      </c>
      <c r="T852">
        <v>9</v>
      </c>
      <c r="U852">
        <v>87.4986842761719</v>
      </c>
      <c r="V852" t="s">
        <v>39</v>
      </c>
      <c r="W852">
        <v>2.38584921508888E-2</v>
      </c>
      <c r="X852" t="s">
        <v>40</v>
      </c>
      <c r="Y852" t="s">
        <v>32</v>
      </c>
      <c r="Z852">
        <v>546.31258222833901</v>
      </c>
    </row>
    <row r="853" spans="1:26" x14ac:dyDescent="0.3">
      <c r="A853" t="s">
        <v>33</v>
      </c>
      <c r="B853" t="s">
        <v>909</v>
      </c>
      <c r="C853">
        <v>71.286846229999995</v>
      </c>
      <c r="D853">
        <v>73</v>
      </c>
      <c r="E853">
        <v>148</v>
      </c>
      <c r="F853">
        <v>3579.9452315832</v>
      </c>
      <c r="G853" t="s">
        <v>54</v>
      </c>
      <c r="H853">
        <v>8</v>
      </c>
      <c r="I853">
        <v>5</v>
      </c>
      <c r="J853">
        <v>92</v>
      </c>
      <c r="K853">
        <v>2</v>
      </c>
      <c r="L853" t="s">
        <v>27</v>
      </c>
      <c r="M853">
        <v>7.8473006405090402</v>
      </c>
      <c r="N853" t="s">
        <v>28</v>
      </c>
      <c r="O853" t="s">
        <v>58</v>
      </c>
      <c r="P853">
        <f>VLOOKUP(O853, Coordinates!$A$2:$C$6, 2, FALSE)</f>
        <v>34.052199999999999</v>
      </c>
      <c r="Q853">
        <f>VLOOKUP(O853, Coordinates!$A$2:$C$6, 3, FALSE)</f>
        <v>-118.2437</v>
      </c>
      <c r="R853">
        <v>3</v>
      </c>
      <c r="S853">
        <v>943</v>
      </c>
      <c r="T853">
        <v>7</v>
      </c>
      <c r="U853">
        <v>63.475242071718</v>
      </c>
      <c r="V853" t="s">
        <v>30</v>
      </c>
      <c r="W853">
        <v>4.8947347665193304</v>
      </c>
      <c r="X853" t="s">
        <v>52</v>
      </c>
      <c r="Y853" t="s">
        <v>32</v>
      </c>
      <c r="Z853">
        <v>503.74985995812898</v>
      </c>
    </row>
    <row r="854" spans="1:26" x14ac:dyDescent="0.3">
      <c r="A854" t="s">
        <v>42</v>
      </c>
      <c r="B854" t="s">
        <v>910</v>
      </c>
      <c r="C854">
        <v>5.5784310827847099</v>
      </c>
      <c r="D854">
        <v>68</v>
      </c>
      <c r="E854">
        <v>982</v>
      </c>
      <c r="F854">
        <v>4302.6204863529501</v>
      </c>
      <c r="G854" t="s">
        <v>48</v>
      </c>
      <c r="H854">
        <v>1</v>
      </c>
      <c r="I854">
        <v>27</v>
      </c>
      <c r="J854">
        <v>65</v>
      </c>
      <c r="K854">
        <v>7</v>
      </c>
      <c r="L854" t="s">
        <v>36</v>
      </c>
      <c r="M854">
        <v>4.0641083633358104</v>
      </c>
      <c r="N854" t="s">
        <v>51</v>
      </c>
      <c r="O854" t="s">
        <v>67</v>
      </c>
      <c r="P854">
        <f>VLOOKUP(O854, Coordinates!$A$2:$C$6, 2, FALSE)</f>
        <v>40.712800000000001</v>
      </c>
      <c r="Q854">
        <f>VLOOKUP(O854, Coordinates!$A$2:$C$6, 3, FALSE)</f>
        <v>-74.006</v>
      </c>
      <c r="R854">
        <v>12</v>
      </c>
      <c r="S854">
        <v>785</v>
      </c>
      <c r="T854">
        <v>30</v>
      </c>
      <c r="U854">
        <v>43.189199230072298</v>
      </c>
      <c r="V854" t="s">
        <v>39</v>
      </c>
      <c r="W854">
        <v>0.83822740181547095</v>
      </c>
      <c r="X854" t="s">
        <v>52</v>
      </c>
      <c r="Y854" t="s">
        <v>41</v>
      </c>
      <c r="Z854">
        <v>458.179553451853</v>
      </c>
    </row>
    <row r="855" spans="1:26" x14ac:dyDescent="0.3">
      <c r="A855" t="s">
        <v>61</v>
      </c>
      <c r="B855" t="s">
        <v>911</v>
      </c>
      <c r="C855">
        <v>14.589413997864501</v>
      </c>
      <c r="D855">
        <v>71</v>
      </c>
      <c r="E855">
        <v>390</v>
      </c>
      <c r="F855">
        <v>1755.0816456601799</v>
      </c>
      <c r="G855" t="s">
        <v>48</v>
      </c>
      <c r="H855">
        <v>47</v>
      </c>
      <c r="I855">
        <v>5</v>
      </c>
      <c r="J855">
        <v>61</v>
      </c>
      <c r="K855">
        <v>2</v>
      </c>
      <c r="L855" t="s">
        <v>27</v>
      </c>
      <c r="M855">
        <v>3.5917801080250502</v>
      </c>
      <c r="N855" t="s">
        <v>37</v>
      </c>
      <c r="O855" t="s">
        <v>58</v>
      </c>
      <c r="P855">
        <f>VLOOKUP(O855, Coordinates!$A$2:$C$6, 2, FALSE)</f>
        <v>34.052199999999999</v>
      </c>
      <c r="Q855">
        <f>VLOOKUP(O855, Coordinates!$A$2:$C$6, 3, FALSE)</f>
        <v>-118.2437</v>
      </c>
      <c r="R855">
        <v>7</v>
      </c>
      <c r="S855">
        <v>191</v>
      </c>
      <c r="T855">
        <v>13</v>
      </c>
      <c r="U855">
        <v>25.619176099100301</v>
      </c>
      <c r="V855" t="s">
        <v>30</v>
      </c>
      <c r="W855">
        <v>3.7105567930694101</v>
      </c>
      <c r="X855" t="s">
        <v>40</v>
      </c>
      <c r="Y855" t="s">
        <v>60</v>
      </c>
      <c r="Z855">
        <v>838.93351470000005</v>
      </c>
    </row>
    <row r="856" spans="1:26" x14ac:dyDescent="0.3">
      <c r="A856" t="s">
        <v>33</v>
      </c>
      <c r="B856" t="s">
        <v>912</v>
      </c>
      <c r="C856">
        <v>87.549703966518706</v>
      </c>
      <c r="D856">
        <v>87</v>
      </c>
      <c r="E856">
        <v>18</v>
      </c>
      <c r="F856">
        <v>1470.4873504498501</v>
      </c>
      <c r="G856" t="s">
        <v>35</v>
      </c>
      <c r="H856">
        <v>11</v>
      </c>
      <c r="I856">
        <v>29</v>
      </c>
      <c r="J856">
        <v>12</v>
      </c>
      <c r="K856">
        <v>5</v>
      </c>
      <c r="L856" t="s">
        <v>36</v>
      </c>
      <c r="M856">
        <v>13.039191321386401</v>
      </c>
      <c r="N856" t="s">
        <v>37</v>
      </c>
      <c r="O856" t="s">
        <v>38</v>
      </c>
      <c r="P856">
        <f>VLOOKUP(O856, Coordinates!$A$2:$C$6, 2, FALSE)</f>
        <v>25.761700000000001</v>
      </c>
      <c r="Q856">
        <f>VLOOKUP(O856, Coordinates!$A$2:$C$6, 3, FALSE)</f>
        <v>-80.191800000000001</v>
      </c>
      <c r="R856">
        <v>17</v>
      </c>
      <c r="S856">
        <v>539</v>
      </c>
      <c r="T856">
        <v>17</v>
      </c>
      <c r="U856">
        <v>68.774386758420107</v>
      </c>
      <c r="V856" t="s">
        <v>30</v>
      </c>
      <c r="W856">
        <v>0.19962353521580201</v>
      </c>
      <c r="X856" t="s">
        <v>31</v>
      </c>
      <c r="Y856" t="s">
        <v>32</v>
      </c>
      <c r="Z856">
        <v>308.75064523173597</v>
      </c>
    </row>
    <row r="857" spans="1:26" x14ac:dyDescent="0.3">
      <c r="A857" t="s">
        <v>33</v>
      </c>
      <c r="B857" t="s">
        <v>913</v>
      </c>
      <c r="C857">
        <v>69.766121188565293</v>
      </c>
      <c r="D857">
        <v>2</v>
      </c>
      <c r="E857">
        <v>261</v>
      </c>
      <c r="F857">
        <v>3281.1141670571401</v>
      </c>
      <c r="G857" t="s">
        <v>54</v>
      </c>
      <c r="H857">
        <v>9</v>
      </c>
      <c r="I857">
        <v>11</v>
      </c>
      <c r="J857">
        <v>32</v>
      </c>
      <c r="K857">
        <v>4</v>
      </c>
      <c r="L857" t="s">
        <v>27</v>
      </c>
      <c r="M857">
        <v>14.2273519625259</v>
      </c>
      <c r="N857" t="s">
        <v>51</v>
      </c>
      <c r="O857" t="s">
        <v>65</v>
      </c>
      <c r="P857">
        <f>VLOOKUP(O857, Coordinates!$A$2:$C$6, 2, FALSE)</f>
        <v>41.878100000000003</v>
      </c>
      <c r="Q857">
        <f>VLOOKUP(O857, Coordinates!$A$2:$C$6, 3, FALSE)</f>
        <v>-87.629800000000003</v>
      </c>
      <c r="R857">
        <v>15</v>
      </c>
      <c r="S857">
        <v>205</v>
      </c>
      <c r="T857">
        <v>13</v>
      </c>
      <c r="U857">
        <v>27.374614875167001</v>
      </c>
      <c r="V857" t="s">
        <v>30</v>
      </c>
      <c r="W857">
        <v>2.1571444952154599</v>
      </c>
      <c r="X857" t="s">
        <v>52</v>
      </c>
      <c r="Y857" t="s">
        <v>32</v>
      </c>
      <c r="Z857">
        <v>549.92620050638595</v>
      </c>
    </row>
    <row r="858" spans="1:26" x14ac:dyDescent="0.3">
      <c r="A858" t="s">
        <v>61</v>
      </c>
      <c r="B858" t="s">
        <v>914</v>
      </c>
      <c r="C858">
        <v>15.728506055171</v>
      </c>
      <c r="D858">
        <v>49</v>
      </c>
      <c r="E858">
        <v>350</v>
      </c>
      <c r="F858">
        <v>1668.22173397491</v>
      </c>
      <c r="G858" t="s">
        <v>48</v>
      </c>
      <c r="H858">
        <v>5</v>
      </c>
      <c r="I858">
        <v>3</v>
      </c>
      <c r="J858">
        <v>26</v>
      </c>
      <c r="K858">
        <v>9</v>
      </c>
      <c r="L858" t="s">
        <v>27</v>
      </c>
      <c r="M858">
        <v>2.1202045095778299</v>
      </c>
      <c r="N858" t="s">
        <v>28</v>
      </c>
      <c r="O858" t="s">
        <v>29</v>
      </c>
      <c r="P858">
        <f>VLOOKUP(O858, Coordinates!$A$2:$C$6, 2, FALSE)</f>
        <v>29.760400000000001</v>
      </c>
      <c r="Q858">
        <f>VLOOKUP(O858, Coordinates!$A$2:$C$6, 3, FALSE)</f>
        <v>-95.369799999999998</v>
      </c>
      <c r="R858">
        <v>15</v>
      </c>
      <c r="S858">
        <v>344</v>
      </c>
      <c r="T858">
        <v>13</v>
      </c>
      <c r="U858">
        <v>47.568557548005401</v>
      </c>
      <c r="V858" t="s">
        <v>55</v>
      </c>
      <c r="W858">
        <v>3.1515684115706799</v>
      </c>
      <c r="X858" t="s">
        <v>46</v>
      </c>
      <c r="Y858" t="s">
        <v>60</v>
      </c>
      <c r="Z858">
        <v>932.17097213105205</v>
      </c>
    </row>
    <row r="859" spans="1:26" x14ac:dyDescent="0.3">
      <c r="A859" t="s">
        <v>61</v>
      </c>
      <c r="B859" t="s">
        <v>915</v>
      </c>
      <c r="C859">
        <v>84.997071552864995</v>
      </c>
      <c r="D859">
        <v>88</v>
      </c>
      <c r="E859">
        <v>702</v>
      </c>
      <c r="F859">
        <v>1933.9723777126601</v>
      </c>
      <c r="G859" t="s">
        <v>26</v>
      </c>
      <c r="H859">
        <v>33</v>
      </c>
      <c r="I859">
        <v>27</v>
      </c>
      <c r="J859">
        <v>80</v>
      </c>
      <c r="K859">
        <v>2</v>
      </c>
      <c r="L859" t="s">
        <v>36</v>
      </c>
      <c r="M859">
        <v>11.7083579006098</v>
      </c>
      <c r="N859" t="s">
        <v>37</v>
      </c>
      <c r="O859" t="s">
        <v>58</v>
      </c>
      <c r="P859">
        <f>VLOOKUP(O859, Coordinates!$A$2:$C$6, 2, FALSE)</f>
        <v>34.052199999999999</v>
      </c>
      <c r="Q859">
        <f>VLOOKUP(O859, Coordinates!$A$2:$C$6, 3, FALSE)</f>
        <v>-118.2437</v>
      </c>
      <c r="R859">
        <v>12</v>
      </c>
      <c r="S859">
        <v>404</v>
      </c>
      <c r="T859">
        <v>10</v>
      </c>
      <c r="U859">
        <v>84.322165793973596</v>
      </c>
      <c r="V859" t="s">
        <v>39</v>
      </c>
      <c r="W859">
        <v>0.35113728796541999</v>
      </c>
      <c r="X859" t="s">
        <v>46</v>
      </c>
      <c r="Y859" t="s">
        <v>60</v>
      </c>
      <c r="Z859">
        <v>245.12934113516101</v>
      </c>
    </row>
    <row r="860" spans="1:26" x14ac:dyDescent="0.3">
      <c r="A860" t="s">
        <v>33</v>
      </c>
      <c r="B860" t="s">
        <v>916</v>
      </c>
      <c r="C860">
        <v>28.011965693333799</v>
      </c>
      <c r="D860">
        <v>95</v>
      </c>
      <c r="E860">
        <v>349</v>
      </c>
      <c r="F860">
        <v>8316.3556485454301</v>
      </c>
      <c r="G860" t="s">
        <v>35</v>
      </c>
      <c r="H860">
        <v>51</v>
      </c>
      <c r="I860">
        <v>4</v>
      </c>
      <c r="J860">
        <v>35</v>
      </c>
      <c r="K860">
        <v>7</v>
      </c>
      <c r="L860" t="s">
        <v>44</v>
      </c>
      <c r="M860">
        <v>7.3463615099820601</v>
      </c>
      <c r="N860" t="s">
        <v>37</v>
      </c>
      <c r="O860" t="s">
        <v>29</v>
      </c>
      <c r="P860">
        <f>VLOOKUP(O860, Coordinates!$A$2:$C$6, 2, FALSE)</f>
        <v>29.760400000000001</v>
      </c>
      <c r="Q860">
        <f>VLOOKUP(O860, Coordinates!$A$2:$C$6, 3, FALSE)</f>
        <v>-95.369799999999998</v>
      </c>
      <c r="R860">
        <v>21</v>
      </c>
      <c r="S860">
        <v>654</v>
      </c>
      <c r="T860">
        <v>28</v>
      </c>
      <c r="U860">
        <v>21.6306372305555</v>
      </c>
      <c r="V860" t="s">
        <v>55</v>
      </c>
      <c r="W860">
        <v>2.2164676444996099</v>
      </c>
      <c r="X860" t="s">
        <v>31</v>
      </c>
      <c r="Y860" t="s">
        <v>32</v>
      </c>
      <c r="Z860">
        <v>104.180037854185</v>
      </c>
    </row>
    <row r="861" spans="1:26" x14ac:dyDescent="0.3">
      <c r="A861" t="s">
        <v>61</v>
      </c>
      <c r="B861" t="s">
        <v>917</v>
      </c>
      <c r="C861">
        <v>50.4346889985462</v>
      </c>
      <c r="D861">
        <v>31</v>
      </c>
      <c r="E861">
        <v>404</v>
      </c>
      <c r="F861">
        <v>1349.8632731502</v>
      </c>
      <c r="G861" t="s">
        <v>48</v>
      </c>
      <c r="H861">
        <v>40</v>
      </c>
      <c r="I861">
        <v>10</v>
      </c>
      <c r="J861">
        <v>27</v>
      </c>
      <c r="K861">
        <v>7</v>
      </c>
      <c r="L861" t="s">
        <v>27</v>
      </c>
      <c r="M861">
        <v>6.4456029783155397</v>
      </c>
      <c r="N861" t="s">
        <v>51</v>
      </c>
      <c r="O861" t="s">
        <v>29</v>
      </c>
      <c r="P861">
        <f>VLOOKUP(O861, Coordinates!$A$2:$C$6, 2, FALSE)</f>
        <v>29.760400000000001</v>
      </c>
      <c r="Q861">
        <f>VLOOKUP(O861, Coordinates!$A$2:$C$6, 3, FALSE)</f>
        <v>-95.369799999999998</v>
      </c>
      <c r="R861">
        <v>2</v>
      </c>
      <c r="S861">
        <v>869</v>
      </c>
      <c r="T861">
        <v>6</v>
      </c>
      <c r="U861">
        <v>21.611927715111499</v>
      </c>
      <c r="V861" t="s">
        <v>55</v>
      </c>
      <c r="W861">
        <v>1.5156820155511099</v>
      </c>
      <c r="X861" t="s">
        <v>31</v>
      </c>
      <c r="Y861" t="s">
        <v>60</v>
      </c>
      <c r="Z861">
        <v>338.70120934825599</v>
      </c>
    </row>
    <row r="862" spans="1:26" x14ac:dyDescent="0.3">
      <c r="A862" t="s">
        <v>33</v>
      </c>
      <c r="B862" t="s">
        <v>918</v>
      </c>
      <c r="C862">
        <v>18.7936687240427</v>
      </c>
      <c r="D862">
        <v>40</v>
      </c>
      <c r="E862">
        <v>211</v>
      </c>
      <c r="F862">
        <v>6930.4851454126801</v>
      </c>
      <c r="G862" t="s">
        <v>35</v>
      </c>
      <c r="H862">
        <v>82</v>
      </c>
      <c r="I862">
        <v>7</v>
      </c>
      <c r="J862">
        <v>55</v>
      </c>
      <c r="K862">
        <v>7</v>
      </c>
      <c r="L862" t="s">
        <v>27</v>
      </c>
      <c r="M862">
        <v>10.651758333669401</v>
      </c>
      <c r="N862" t="s">
        <v>37</v>
      </c>
      <c r="O862" t="s">
        <v>65</v>
      </c>
      <c r="P862">
        <f>VLOOKUP(O862, Coordinates!$A$2:$C$6, 2, FALSE)</f>
        <v>41.878100000000003</v>
      </c>
      <c r="Q862">
        <f>VLOOKUP(O862, Coordinates!$A$2:$C$6, 3, FALSE)</f>
        <v>-87.629800000000003</v>
      </c>
      <c r="R862">
        <v>8</v>
      </c>
      <c r="S862">
        <v>932</v>
      </c>
      <c r="T862">
        <v>5</v>
      </c>
      <c r="U862">
        <v>30.196217403243701</v>
      </c>
      <c r="V862" t="s">
        <v>30</v>
      </c>
      <c r="W862">
        <v>2.4912180598359601</v>
      </c>
      <c r="X862" t="s">
        <v>46</v>
      </c>
      <c r="Y862" t="s">
        <v>41</v>
      </c>
      <c r="Z862">
        <v>930.08022392386704</v>
      </c>
    </row>
    <row r="863" spans="1:26" x14ac:dyDescent="0.3">
      <c r="A863" t="s">
        <v>33</v>
      </c>
      <c r="B863" t="s">
        <v>919</v>
      </c>
      <c r="C863">
        <v>72.460455360062099</v>
      </c>
      <c r="D863">
        <v>48</v>
      </c>
      <c r="E863">
        <v>862</v>
      </c>
      <c r="F863">
        <v>3453.0197393386002</v>
      </c>
      <c r="G863" t="s">
        <v>35</v>
      </c>
      <c r="H863">
        <v>5</v>
      </c>
      <c r="I863">
        <v>1</v>
      </c>
      <c r="J863">
        <v>79</v>
      </c>
      <c r="K863">
        <v>1</v>
      </c>
      <c r="L863" t="s">
        <v>44</v>
      </c>
      <c r="M863">
        <v>4.7275515946811097</v>
      </c>
      <c r="N863" t="s">
        <v>28</v>
      </c>
      <c r="O863" t="s">
        <v>38</v>
      </c>
      <c r="P863">
        <f>VLOOKUP(O863, Coordinates!$A$2:$C$6, 2, FALSE)</f>
        <v>25.761700000000001</v>
      </c>
      <c r="Q863">
        <f>VLOOKUP(O863, Coordinates!$A$2:$C$6, 3, FALSE)</f>
        <v>-80.191800000000001</v>
      </c>
      <c r="R863">
        <v>28</v>
      </c>
      <c r="S863">
        <v>697</v>
      </c>
      <c r="T863">
        <v>10</v>
      </c>
      <c r="U863">
        <v>59.672557641006897</v>
      </c>
      <c r="V863" t="s">
        <v>30</v>
      </c>
      <c r="W863">
        <v>2.5228826798457402</v>
      </c>
      <c r="X863" t="s">
        <v>31</v>
      </c>
      <c r="Y863" t="s">
        <v>32</v>
      </c>
      <c r="Z863">
        <v>178.86202624315399</v>
      </c>
    </row>
    <row r="864" spans="1:26" x14ac:dyDescent="0.3">
      <c r="A864" t="s">
        <v>42</v>
      </c>
      <c r="B864" t="s">
        <v>920</v>
      </c>
      <c r="C864">
        <v>68.351169996355395</v>
      </c>
      <c r="D864">
        <v>51</v>
      </c>
      <c r="E864">
        <v>947</v>
      </c>
      <c r="F864">
        <v>8843.9111260000009</v>
      </c>
      <c r="G864" t="s">
        <v>26</v>
      </c>
      <c r="H864">
        <v>1</v>
      </c>
      <c r="I864">
        <v>27</v>
      </c>
      <c r="J864">
        <v>40</v>
      </c>
      <c r="K864">
        <v>8</v>
      </c>
      <c r="L864" t="s">
        <v>27</v>
      </c>
      <c r="M864">
        <v>1.28813716797022</v>
      </c>
      <c r="N864" t="s">
        <v>37</v>
      </c>
      <c r="O864" t="s">
        <v>38</v>
      </c>
      <c r="P864">
        <f>VLOOKUP(O864, Coordinates!$A$2:$C$6, 2, FALSE)</f>
        <v>25.761700000000001</v>
      </c>
      <c r="Q864">
        <f>VLOOKUP(O864, Coordinates!$A$2:$C$6, 3, FALSE)</f>
        <v>-80.191800000000001</v>
      </c>
      <c r="R864">
        <v>22</v>
      </c>
      <c r="S864">
        <v>196</v>
      </c>
      <c r="T864">
        <v>14</v>
      </c>
      <c r="U864">
        <v>32.655113043392099</v>
      </c>
      <c r="V864" t="s">
        <v>39</v>
      </c>
      <c r="W864">
        <v>3.9261580292115399</v>
      </c>
      <c r="X864" t="s">
        <v>40</v>
      </c>
      <c r="Y864" t="s">
        <v>32</v>
      </c>
      <c r="Z864">
        <v>223.36697912095499</v>
      </c>
    </row>
    <row r="865" spans="1:26" x14ac:dyDescent="0.3">
      <c r="A865" t="s">
        <v>82</v>
      </c>
      <c r="B865" t="s">
        <v>921</v>
      </c>
      <c r="C865">
        <v>25.055684760782899</v>
      </c>
      <c r="D865">
        <v>43</v>
      </c>
      <c r="E865">
        <v>176</v>
      </c>
      <c r="F865">
        <v>5364.9305611974896</v>
      </c>
      <c r="G865" t="s">
        <v>26</v>
      </c>
      <c r="H865">
        <v>14</v>
      </c>
      <c r="I865">
        <v>6</v>
      </c>
      <c r="J865">
        <v>18</v>
      </c>
      <c r="K865">
        <v>2</v>
      </c>
      <c r="L865" t="s">
        <v>27</v>
      </c>
      <c r="M865">
        <v>3.9960398690000001</v>
      </c>
      <c r="N865" t="s">
        <v>51</v>
      </c>
      <c r="O865" t="s">
        <v>67</v>
      </c>
      <c r="P865">
        <f>VLOOKUP(O865, Coordinates!$A$2:$C$6, 2, FALSE)</f>
        <v>40.712800000000001</v>
      </c>
      <c r="Q865">
        <f>VLOOKUP(O865, Coordinates!$A$2:$C$6, 3, FALSE)</f>
        <v>-74.006</v>
      </c>
      <c r="R865">
        <v>5</v>
      </c>
      <c r="S865">
        <v>576</v>
      </c>
      <c r="T865">
        <v>11</v>
      </c>
      <c r="U865">
        <v>55.287814352950001</v>
      </c>
      <c r="V865" t="s">
        <v>55</v>
      </c>
      <c r="W865">
        <v>0.61752264222448805</v>
      </c>
      <c r="X865" t="s">
        <v>52</v>
      </c>
      <c r="Y865" t="s">
        <v>60</v>
      </c>
      <c r="Z865">
        <v>388.30574976251398</v>
      </c>
    </row>
    <row r="866" spans="1:26" x14ac:dyDescent="0.3">
      <c r="A866" t="s">
        <v>33</v>
      </c>
      <c r="B866" t="s">
        <v>922</v>
      </c>
      <c r="C866">
        <v>87.023072851415094</v>
      </c>
      <c r="D866">
        <v>98</v>
      </c>
      <c r="E866">
        <v>468</v>
      </c>
      <c r="F866">
        <v>3750.1881339504298</v>
      </c>
      <c r="G866" t="s">
        <v>26</v>
      </c>
      <c r="H866">
        <v>16</v>
      </c>
      <c r="I866">
        <v>8</v>
      </c>
      <c r="J866">
        <v>44</v>
      </c>
      <c r="K866">
        <v>5</v>
      </c>
      <c r="L866" t="s">
        <v>36</v>
      </c>
      <c r="M866">
        <v>3.5889510739283601</v>
      </c>
      <c r="N866" t="s">
        <v>28</v>
      </c>
      <c r="O866" t="s">
        <v>38</v>
      </c>
      <c r="P866">
        <f>VLOOKUP(O866, Coordinates!$A$2:$C$6, 2, FALSE)</f>
        <v>25.761700000000001</v>
      </c>
      <c r="Q866">
        <f>VLOOKUP(O866, Coordinates!$A$2:$C$6, 3, FALSE)</f>
        <v>-80.191800000000001</v>
      </c>
      <c r="R866">
        <v>30</v>
      </c>
      <c r="S866">
        <v>365</v>
      </c>
      <c r="T866">
        <v>5</v>
      </c>
      <c r="U866">
        <v>37.178434995371802</v>
      </c>
      <c r="V866" t="s">
        <v>30</v>
      </c>
      <c r="W866">
        <v>0.41359800523733198</v>
      </c>
      <c r="X866" t="s">
        <v>46</v>
      </c>
      <c r="Y866" t="s">
        <v>32</v>
      </c>
      <c r="Z866">
        <v>792.73326826142704</v>
      </c>
    </row>
    <row r="867" spans="1:26" x14ac:dyDescent="0.3">
      <c r="A867" t="s">
        <v>49</v>
      </c>
      <c r="B867" t="s">
        <v>923</v>
      </c>
      <c r="C867">
        <v>43.124072300872598</v>
      </c>
      <c r="D867">
        <v>55</v>
      </c>
      <c r="E867">
        <v>274</v>
      </c>
      <c r="F867">
        <v>5658.7504212049098</v>
      </c>
      <c r="G867" t="s">
        <v>54</v>
      </c>
      <c r="H867">
        <v>15</v>
      </c>
      <c r="I867">
        <v>17</v>
      </c>
      <c r="J867">
        <v>90</v>
      </c>
      <c r="K867">
        <v>2</v>
      </c>
      <c r="L867" t="s">
        <v>44</v>
      </c>
      <c r="M867">
        <v>1.4766913417498699</v>
      </c>
      <c r="N867" t="s">
        <v>45</v>
      </c>
      <c r="O867" t="s">
        <v>38</v>
      </c>
      <c r="P867">
        <f>VLOOKUP(O867, Coordinates!$A$2:$C$6, 2, FALSE)</f>
        <v>25.761700000000001</v>
      </c>
      <c r="Q867">
        <f>VLOOKUP(O867, Coordinates!$A$2:$C$6, 3, FALSE)</f>
        <v>-80.191800000000001</v>
      </c>
      <c r="R867">
        <v>25</v>
      </c>
      <c r="S867">
        <v>674</v>
      </c>
      <c r="T867">
        <v>4</v>
      </c>
      <c r="U867">
        <v>55.561798439999997</v>
      </c>
      <c r="V867" t="s">
        <v>55</v>
      </c>
      <c r="W867">
        <v>4.2849471265180297</v>
      </c>
      <c r="X867" t="s">
        <v>40</v>
      </c>
      <c r="Y867" t="s">
        <v>60</v>
      </c>
      <c r="Z867">
        <v>776.15268337924999</v>
      </c>
    </row>
    <row r="868" spans="1:26" x14ac:dyDescent="0.3">
      <c r="A868" t="s">
        <v>72</v>
      </c>
      <c r="B868" t="s">
        <v>924</v>
      </c>
      <c r="C868">
        <v>33.304089570225798</v>
      </c>
      <c r="D868">
        <v>88</v>
      </c>
      <c r="E868">
        <v>225</v>
      </c>
      <c r="G868" t="s">
        <v>35</v>
      </c>
      <c r="H868">
        <v>27</v>
      </c>
      <c r="I868">
        <v>24</v>
      </c>
      <c r="J868">
        <v>69</v>
      </c>
      <c r="K868">
        <v>5</v>
      </c>
      <c r="L868" t="s">
        <v>27</v>
      </c>
      <c r="M868">
        <v>5.4984158243684904</v>
      </c>
      <c r="N868" t="s">
        <v>51</v>
      </c>
      <c r="O868" t="s">
        <v>29</v>
      </c>
      <c r="P868">
        <f>VLOOKUP(O868, Coordinates!$A$2:$C$6, 2, FALSE)</f>
        <v>29.760400000000001</v>
      </c>
      <c r="Q868">
        <f>VLOOKUP(O868, Coordinates!$A$2:$C$6, 3, FALSE)</f>
        <v>-95.369799999999998</v>
      </c>
      <c r="R868">
        <v>30</v>
      </c>
      <c r="S868">
        <v>202</v>
      </c>
      <c r="T868">
        <v>3</v>
      </c>
      <c r="U868">
        <v>87.429850966249703</v>
      </c>
      <c r="V868" t="s">
        <v>39</v>
      </c>
      <c r="W868">
        <v>4.4375995968826603</v>
      </c>
      <c r="X868" t="s">
        <v>46</v>
      </c>
      <c r="Y868" t="s">
        <v>41</v>
      </c>
      <c r="Z868">
        <v>178.36325703009601</v>
      </c>
    </row>
    <row r="869" spans="1:26" x14ac:dyDescent="0.3">
      <c r="A869" t="s">
        <v>24</v>
      </c>
      <c r="B869" t="s">
        <v>925</v>
      </c>
      <c r="C869">
        <v>36.0995968495318</v>
      </c>
      <c r="D869">
        <v>49</v>
      </c>
      <c r="E869">
        <v>156</v>
      </c>
      <c r="F869">
        <v>5068.3833976742699</v>
      </c>
      <c r="G869" t="s">
        <v>48</v>
      </c>
      <c r="H869">
        <v>84</v>
      </c>
      <c r="I869">
        <v>7</v>
      </c>
      <c r="J869">
        <v>85</v>
      </c>
      <c r="K869">
        <v>7</v>
      </c>
      <c r="L869" t="s">
        <v>27</v>
      </c>
      <c r="M869">
        <v>7.6432594691979503</v>
      </c>
      <c r="N869" t="s">
        <v>45</v>
      </c>
      <c r="O869" t="s">
        <v>38</v>
      </c>
      <c r="P869">
        <f>VLOOKUP(O869, Coordinates!$A$2:$C$6, 2, FALSE)</f>
        <v>25.761700000000001</v>
      </c>
      <c r="Q869">
        <f>VLOOKUP(O869, Coordinates!$A$2:$C$6, 3, FALSE)</f>
        <v>-80.191800000000001</v>
      </c>
      <c r="R869">
        <v>27</v>
      </c>
      <c r="S869">
        <v>353</v>
      </c>
      <c r="T869">
        <v>14</v>
      </c>
      <c r="U869">
        <v>81.057051831024907</v>
      </c>
      <c r="V869" t="s">
        <v>39</v>
      </c>
      <c r="W869">
        <v>3.5399927033634899</v>
      </c>
      <c r="X869" t="s">
        <v>46</v>
      </c>
      <c r="Y869" t="s">
        <v>41</v>
      </c>
      <c r="Z869">
        <v>940.45806459999994</v>
      </c>
    </row>
    <row r="870" spans="1:26" x14ac:dyDescent="0.3">
      <c r="A870" t="s">
        <v>82</v>
      </c>
      <c r="B870" t="s">
        <v>926</v>
      </c>
      <c r="C870">
        <v>30.285961188976</v>
      </c>
      <c r="D870">
        <v>90</v>
      </c>
      <c r="E870">
        <v>627</v>
      </c>
      <c r="F870">
        <v>2030.79581493713</v>
      </c>
      <c r="G870" t="s">
        <v>26</v>
      </c>
      <c r="H870">
        <v>71</v>
      </c>
      <c r="I870">
        <v>1</v>
      </c>
      <c r="J870">
        <v>72</v>
      </c>
      <c r="K870">
        <v>6</v>
      </c>
      <c r="L870" t="s">
        <v>44</v>
      </c>
      <c r="M870">
        <v>11.301601758707999</v>
      </c>
      <c r="N870" t="s">
        <v>37</v>
      </c>
      <c r="O870" t="s">
        <v>58</v>
      </c>
      <c r="P870">
        <f>VLOOKUP(O870, Coordinates!$A$2:$C$6, 2, FALSE)</f>
        <v>34.052199999999999</v>
      </c>
      <c r="Q870">
        <f>VLOOKUP(O870, Coordinates!$A$2:$C$6, 3, FALSE)</f>
        <v>-118.2437</v>
      </c>
      <c r="R870">
        <v>1</v>
      </c>
      <c r="S870">
        <v>554</v>
      </c>
      <c r="T870">
        <v>13</v>
      </c>
      <c r="U870">
        <v>54.344611100000002</v>
      </c>
      <c r="V870" t="s">
        <v>55</v>
      </c>
      <c r="W870">
        <v>2.7999645464070402</v>
      </c>
      <c r="X870" t="s">
        <v>31</v>
      </c>
      <c r="Y870" t="s">
        <v>41</v>
      </c>
      <c r="Z870">
        <v>314.93692890728602</v>
      </c>
    </row>
    <row r="871" spans="1:26" x14ac:dyDescent="0.3">
      <c r="A871" t="s">
        <v>82</v>
      </c>
      <c r="B871" t="s">
        <v>927</v>
      </c>
      <c r="C871">
        <v>7.0925575162626098</v>
      </c>
      <c r="D871">
        <v>80</v>
      </c>
      <c r="E871">
        <v>187</v>
      </c>
      <c r="F871">
        <v>9972.91452531295</v>
      </c>
      <c r="G871" t="s">
        <v>26</v>
      </c>
      <c r="H871">
        <v>9</v>
      </c>
      <c r="I871">
        <v>9</v>
      </c>
      <c r="J871">
        <v>61</v>
      </c>
      <c r="K871">
        <v>5</v>
      </c>
      <c r="L871" t="s">
        <v>44</v>
      </c>
      <c r="M871">
        <v>5.5592585568963502</v>
      </c>
      <c r="N871" t="s">
        <v>28</v>
      </c>
      <c r="O871" t="s">
        <v>38</v>
      </c>
      <c r="P871">
        <f>VLOOKUP(O871, Coordinates!$A$2:$C$6, 2, FALSE)</f>
        <v>25.761700000000001</v>
      </c>
      <c r="Q871">
        <f>VLOOKUP(O871, Coordinates!$A$2:$C$6, 3, FALSE)</f>
        <v>-80.191800000000001</v>
      </c>
      <c r="R871">
        <v>30</v>
      </c>
      <c r="S871">
        <v>928</v>
      </c>
      <c r="T871">
        <v>24</v>
      </c>
      <c r="U871">
        <v>76.927909069999998</v>
      </c>
      <c r="V871" t="s">
        <v>39</v>
      </c>
      <c r="W871">
        <v>4.4438690948555299</v>
      </c>
      <c r="X871" t="s">
        <v>52</v>
      </c>
      <c r="Y871" t="s">
        <v>32</v>
      </c>
      <c r="Z871">
        <v>352.57310680990298</v>
      </c>
    </row>
    <row r="872" spans="1:26" x14ac:dyDescent="0.3">
      <c r="A872" t="s">
        <v>82</v>
      </c>
      <c r="B872" t="s">
        <v>928</v>
      </c>
      <c r="C872">
        <v>60.409461783330897</v>
      </c>
      <c r="D872">
        <v>57</v>
      </c>
      <c r="E872">
        <v>403</v>
      </c>
      <c r="F872">
        <v>4830.0028992704501</v>
      </c>
      <c r="G872" t="s">
        <v>35</v>
      </c>
      <c r="H872">
        <v>9</v>
      </c>
      <c r="I872">
        <v>11</v>
      </c>
      <c r="J872">
        <v>57</v>
      </c>
      <c r="K872">
        <v>4</v>
      </c>
      <c r="L872" t="s">
        <v>36</v>
      </c>
      <c r="M872">
        <v>3.7235637192083999</v>
      </c>
      <c r="N872" t="s">
        <v>37</v>
      </c>
      <c r="O872" t="s">
        <v>67</v>
      </c>
      <c r="P872">
        <f>VLOOKUP(O872, Coordinates!$A$2:$C$6, 2, FALSE)</f>
        <v>40.712800000000001</v>
      </c>
      <c r="Q872">
        <f>VLOOKUP(O872, Coordinates!$A$2:$C$6, 3, FALSE)</f>
        <v>-74.006</v>
      </c>
      <c r="R872">
        <v>16</v>
      </c>
      <c r="S872">
        <v>612</v>
      </c>
      <c r="T872">
        <v>23</v>
      </c>
      <c r="U872">
        <v>73.049190300838404</v>
      </c>
      <c r="V872" t="s">
        <v>30</v>
      </c>
      <c r="W872">
        <v>4.0267179877435497</v>
      </c>
      <c r="X872" t="s">
        <v>40</v>
      </c>
      <c r="Y872" t="s">
        <v>41</v>
      </c>
      <c r="Z872">
        <v>447.77594073245899</v>
      </c>
    </row>
    <row r="873" spans="1:26" x14ac:dyDescent="0.3">
      <c r="A873" t="s">
        <v>42</v>
      </c>
      <c r="B873" t="s">
        <v>929</v>
      </c>
      <c r="C873">
        <v>85.011920902675001</v>
      </c>
      <c r="D873">
        <v>77</v>
      </c>
      <c r="E873">
        <v>855</v>
      </c>
      <c r="F873">
        <v>4134.0757573663104</v>
      </c>
      <c r="G873" t="s">
        <v>35</v>
      </c>
      <c r="H873">
        <v>9</v>
      </c>
      <c r="I873">
        <v>19</v>
      </c>
      <c r="J873">
        <v>70</v>
      </c>
      <c r="K873">
        <v>8</v>
      </c>
      <c r="L873" t="s">
        <v>36</v>
      </c>
      <c r="M873">
        <v>4.2286767695504697</v>
      </c>
      <c r="N873" t="s">
        <v>28</v>
      </c>
      <c r="O873" t="s">
        <v>58</v>
      </c>
      <c r="P873">
        <f>VLOOKUP(O873, Coordinates!$A$2:$C$6, 2, FALSE)</f>
        <v>34.052199999999999</v>
      </c>
      <c r="Q873">
        <f>VLOOKUP(O873, Coordinates!$A$2:$C$6, 3, FALSE)</f>
        <v>-118.2437</v>
      </c>
      <c r="R873">
        <v>10</v>
      </c>
      <c r="S873">
        <v>765</v>
      </c>
      <c r="T873">
        <v>5</v>
      </c>
      <c r="U873">
        <v>54.150343733292502</v>
      </c>
      <c r="V873" t="s">
        <v>30</v>
      </c>
      <c r="W873">
        <v>1.38969730046524</v>
      </c>
      <c r="X873" t="s">
        <v>46</v>
      </c>
      <c r="Y873" t="s">
        <v>60</v>
      </c>
      <c r="Z873">
        <v>671.04348605774396</v>
      </c>
    </row>
    <row r="874" spans="1:26" x14ac:dyDescent="0.3">
      <c r="A874" t="s">
        <v>33</v>
      </c>
      <c r="B874" t="s">
        <v>930</v>
      </c>
      <c r="C874">
        <v>57.153142696955904</v>
      </c>
      <c r="D874">
        <v>15</v>
      </c>
      <c r="E874">
        <v>865</v>
      </c>
      <c r="F874">
        <v>7391.8886348463802</v>
      </c>
      <c r="G874" t="s">
        <v>35</v>
      </c>
      <c r="H874">
        <v>0</v>
      </c>
      <c r="I874">
        <v>23</v>
      </c>
      <c r="J874">
        <v>33</v>
      </c>
      <c r="K874">
        <v>8</v>
      </c>
      <c r="L874" t="s">
        <v>36</v>
      </c>
      <c r="M874">
        <v>13.476479108264</v>
      </c>
      <c r="N874" t="s">
        <v>57</v>
      </c>
      <c r="O874" t="s">
        <v>67</v>
      </c>
      <c r="P874">
        <f>VLOOKUP(O874, Coordinates!$A$2:$C$6, 2, FALSE)</f>
        <v>40.712800000000001</v>
      </c>
      <c r="Q874">
        <f>VLOOKUP(O874, Coordinates!$A$2:$C$6, 3, FALSE)</f>
        <v>-74.006</v>
      </c>
      <c r="R874">
        <v>26</v>
      </c>
      <c r="S874">
        <v>592</v>
      </c>
      <c r="T874">
        <v>12</v>
      </c>
      <c r="U874">
        <v>31.4975855501132</v>
      </c>
      <c r="V874" t="s">
        <v>55</v>
      </c>
      <c r="W874">
        <v>0.85053140222915002</v>
      </c>
      <c r="X874" t="s">
        <v>46</v>
      </c>
      <c r="Y874" t="s">
        <v>60</v>
      </c>
      <c r="Z874">
        <v>569.17850669303095</v>
      </c>
    </row>
    <row r="875" spans="1:26" x14ac:dyDescent="0.3">
      <c r="A875" t="s">
        <v>42</v>
      </c>
      <c r="B875" t="s">
        <v>931</v>
      </c>
      <c r="C875">
        <v>25.831026382768101</v>
      </c>
      <c r="D875">
        <v>27</v>
      </c>
      <c r="E875">
        <v>422</v>
      </c>
      <c r="F875">
        <v>4275.0946584579897</v>
      </c>
      <c r="H875">
        <v>27</v>
      </c>
      <c r="I875">
        <v>23</v>
      </c>
      <c r="J875">
        <v>83</v>
      </c>
      <c r="K875">
        <v>1</v>
      </c>
      <c r="L875" t="s">
        <v>27</v>
      </c>
      <c r="M875">
        <v>3.8660856898431599</v>
      </c>
      <c r="N875" t="s">
        <v>37</v>
      </c>
      <c r="O875" t="s">
        <v>58</v>
      </c>
      <c r="P875">
        <f>VLOOKUP(O875, Coordinates!$A$2:$C$6, 2, FALSE)</f>
        <v>34.052199999999999</v>
      </c>
      <c r="Q875">
        <f>VLOOKUP(O875, Coordinates!$A$2:$C$6, 3, FALSE)</f>
        <v>-118.2437</v>
      </c>
      <c r="R875">
        <v>10</v>
      </c>
      <c r="S875">
        <v>360</v>
      </c>
      <c r="T875">
        <v>25</v>
      </c>
      <c r="U875">
        <v>55.964645012157803</v>
      </c>
      <c r="V875" t="s">
        <v>55</v>
      </c>
      <c r="W875">
        <v>1.5057825048835201</v>
      </c>
      <c r="X875" t="s">
        <v>31</v>
      </c>
      <c r="Y875" t="s">
        <v>41</v>
      </c>
      <c r="Z875">
        <v>935.753410794415</v>
      </c>
    </row>
    <row r="876" spans="1:26" x14ac:dyDescent="0.3">
      <c r="A876" t="s">
        <v>33</v>
      </c>
      <c r="B876" t="s">
        <v>932</v>
      </c>
      <c r="C876">
        <v>8.1985719303179003</v>
      </c>
      <c r="D876">
        <v>68</v>
      </c>
      <c r="E876">
        <v>895</v>
      </c>
      <c r="F876">
        <v>8499.4687452588096</v>
      </c>
      <c r="G876" t="s">
        <v>54</v>
      </c>
      <c r="H876">
        <v>4</v>
      </c>
      <c r="I876">
        <v>25</v>
      </c>
      <c r="J876">
        <v>67</v>
      </c>
      <c r="K876">
        <v>10</v>
      </c>
      <c r="L876" t="s">
        <v>44</v>
      </c>
      <c r="M876">
        <v>13.309369345231101</v>
      </c>
      <c r="N876" t="s">
        <v>37</v>
      </c>
      <c r="O876" t="s">
        <v>67</v>
      </c>
      <c r="P876">
        <f>VLOOKUP(O876, Coordinates!$A$2:$C$6, 2, FALSE)</f>
        <v>40.712800000000001</v>
      </c>
      <c r="Q876">
        <f>VLOOKUP(O876, Coordinates!$A$2:$C$6, 3, FALSE)</f>
        <v>-74.006</v>
      </c>
      <c r="R876">
        <v>30</v>
      </c>
      <c r="S876">
        <v>134</v>
      </c>
      <c r="T876">
        <v>28</v>
      </c>
      <c r="U876">
        <v>71.287446134839101</v>
      </c>
      <c r="V876" t="s">
        <v>39</v>
      </c>
      <c r="W876">
        <v>1.1355893921940701</v>
      </c>
      <c r="X876" t="s">
        <v>40</v>
      </c>
      <c r="Y876" t="s">
        <v>41</v>
      </c>
      <c r="Z876">
        <v>608.15859011858402</v>
      </c>
    </row>
    <row r="877" spans="1:26" x14ac:dyDescent="0.3">
      <c r="A877" t="s">
        <v>42</v>
      </c>
      <c r="B877" t="s">
        <v>933</v>
      </c>
      <c r="C877">
        <v>25.389666959586201</v>
      </c>
      <c r="D877">
        <v>80</v>
      </c>
      <c r="E877">
        <v>857</v>
      </c>
      <c r="F877">
        <v>5088.4365192438199</v>
      </c>
      <c r="G877" t="s">
        <v>54</v>
      </c>
      <c r="H877">
        <v>6</v>
      </c>
      <c r="I877">
        <v>30</v>
      </c>
      <c r="J877">
        <v>73</v>
      </c>
      <c r="K877">
        <v>2</v>
      </c>
      <c r="L877" t="s">
        <v>36</v>
      </c>
      <c r="M877">
        <v>7.2593859368291298</v>
      </c>
      <c r="N877" t="s">
        <v>37</v>
      </c>
      <c r="O877" t="s">
        <v>67</v>
      </c>
      <c r="P877">
        <f>VLOOKUP(O877, Coordinates!$A$2:$C$6, 2, FALSE)</f>
        <v>40.712800000000001</v>
      </c>
      <c r="Q877">
        <f>VLOOKUP(O877, Coordinates!$A$2:$C$6, 3, FALSE)</f>
        <v>-74.006</v>
      </c>
      <c r="R877">
        <v>11</v>
      </c>
      <c r="S877">
        <v>480</v>
      </c>
      <c r="T877">
        <v>23</v>
      </c>
      <c r="U877">
        <v>51.392734350688997</v>
      </c>
      <c r="V877" t="s">
        <v>39</v>
      </c>
      <c r="W877">
        <v>3.1135939632934799</v>
      </c>
      <c r="X877" t="s">
        <v>31</v>
      </c>
      <c r="Y877" t="s">
        <v>60</v>
      </c>
      <c r="Z877">
        <v>871.33332901807603</v>
      </c>
    </row>
    <row r="878" spans="1:26" x14ac:dyDescent="0.3">
      <c r="A878" t="s">
        <v>42</v>
      </c>
      <c r="B878" t="s">
        <v>934</v>
      </c>
      <c r="C878">
        <v>44.531535666753697</v>
      </c>
      <c r="D878">
        <v>64</v>
      </c>
      <c r="E878">
        <v>78</v>
      </c>
      <c r="F878">
        <v>7476.0257193889101</v>
      </c>
      <c r="G878" t="s">
        <v>26</v>
      </c>
      <c r="H878">
        <v>96</v>
      </c>
      <c r="I878">
        <v>17</v>
      </c>
      <c r="J878">
        <v>39</v>
      </c>
      <c r="K878">
        <v>3</v>
      </c>
      <c r="L878" t="s">
        <v>44</v>
      </c>
      <c r="M878">
        <v>14.0816060528793</v>
      </c>
      <c r="N878" t="s">
        <v>51</v>
      </c>
      <c r="O878" t="s">
        <v>29</v>
      </c>
      <c r="P878">
        <f>VLOOKUP(O878, Coordinates!$A$2:$C$6, 2, FALSE)</f>
        <v>29.760400000000001</v>
      </c>
      <c r="Q878">
        <f>VLOOKUP(O878, Coordinates!$A$2:$C$6, 3, FALSE)</f>
        <v>-95.369799999999998</v>
      </c>
      <c r="R878">
        <v>26</v>
      </c>
      <c r="S878">
        <v>496</v>
      </c>
      <c r="T878">
        <v>10</v>
      </c>
      <c r="U878">
        <v>17.373259662646699</v>
      </c>
      <c r="V878" t="s">
        <v>39</v>
      </c>
      <c r="W878">
        <v>2.9244955638732502</v>
      </c>
      <c r="X878" t="s">
        <v>31</v>
      </c>
      <c r="Y878" t="s">
        <v>41</v>
      </c>
      <c r="Z878">
        <v>170.38341988953701</v>
      </c>
    </row>
    <row r="879" spans="1:26" x14ac:dyDescent="0.3">
      <c r="A879" t="s">
        <v>72</v>
      </c>
      <c r="B879" t="s">
        <v>935</v>
      </c>
      <c r="C879">
        <v>31.630718586004399</v>
      </c>
      <c r="D879">
        <v>94</v>
      </c>
      <c r="E879">
        <v>359</v>
      </c>
      <c r="F879">
        <v>10219.885175138001</v>
      </c>
      <c r="G879" t="s">
        <v>54</v>
      </c>
      <c r="H879">
        <v>67</v>
      </c>
      <c r="I879">
        <v>10</v>
      </c>
      <c r="J879">
        <v>38</v>
      </c>
      <c r="K879">
        <v>1</v>
      </c>
      <c r="L879" t="s">
        <v>27</v>
      </c>
      <c r="M879">
        <v>6.7132899082657804</v>
      </c>
      <c r="N879" t="s">
        <v>28</v>
      </c>
      <c r="O879" t="s">
        <v>65</v>
      </c>
      <c r="P879">
        <f>VLOOKUP(O879, Coordinates!$A$2:$C$6, 2, FALSE)</f>
        <v>41.878100000000003</v>
      </c>
      <c r="Q879">
        <f>VLOOKUP(O879, Coordinates!$A$2:$C$6, 3, FALSE)</f>
        <v>-87.629800000000003</v>
      </c>
      <c r="R879">
        <v>12</v>
      </c>
      <c r="S879">
        <v>126</v>
      </c>
      <c r="T879">
        <v>2</v>
      </c>
      <c r="U879">
        <v>82.311003058141907</v>
      </c>
      <c r="V879" t="s">
        <v>30</v>
      </c>
      <c r="W879">
        <v>2.9921869172639002</v>
      </c>
      <c r="X879" t="s">
        <v>40</v>
      </c>
      <c r="Y879" t="s">
        <v>41</v>
      </c>
      <c r="Z879">
        <v>870.31176707835402</v>
      </c>
    </row>
    <row r="880" spans="1:26" x14ac:dyDescent="0.3">
      <c r="A880" t="s">
        <v>49</v>
      </c>
      <c r="B880" t="s">
        <v>936</v>
      </c>
      <c r="C880">
        <v>22.845070991088502</v>
      </c>
      <c r="D880">
        <v>30</v>
      </c>
      <c r="E880">
        <v>731</v>
      </c>
      <c r="F880">
        <v>8615.0726699959996</v>
      </c>
      <c r="G880" t="s">
        <v>48</v>
      </c>
      <c r="H880">
        <v>55</v>
      </c>
      <c r="I880">
        <v>29</v>
      </c>
      <c r="J880">
        <v>19</v>
      </c>
      <c r="K880">
        <v>3</v>
      </c>
      <c r="L880" t="s">
        <v>27</v>
      </c>
      <c r="M880">
        <v>3.4875610732814399</v>
      </c>
      <c r="N880" t="s">
        <v>28</v>
      </c>
      <c r="O880" t="s">
        <v>58</v>
      </c>
      <c r="P880">
        <f>VLOOKUP(O880, Coordinates!$A$2:$C$6, 2, FALSE)</f>
        <v>34.052199999999999</v>
      </c>
      <c r="Q880">
        <f>VLOOKUP(O880, Coordinates!$A$2:$C$6, 3, FALSE)</f>
        <v>-118.2437</v>
      </c>
      <c r="R880">
        <v>8</v>
      </c>
      <c r="S880">
        <v>961</v>
      </c>
      <c r="T880">
        <v>7</v>
      </c>
      <c r="U880">
        <v>39.508912762105403</v>
      </c>
      <c r="V880" t="s">
        <v>55</v>
      </c>
      <c r="W880">
        <v>0.94651768245724399</v>
      </c>
      <c r="X880" t="s">
        <v>52</v>
      </c>
      <c r="Y880" t="s">
        <v>41</v>
      </c>
      <c r="Z880">
        <v>277.94183659269203</v>
      </c>
    </row>
    <row r="881" spans="1:26" x14ac:dyDescent="0.3">
      <c r="A881" t="s">
        <v>42</v>
      </c>
      <c r="B881" t="s">
        <v>937</v>
      </c>
      <c r="C881">
        <v>73.380188068695105</v>
      </c>
      <c r="D881">
        <v>36</v>
      </c>
      <c r="E881">
        <v>501</v>
      </c>
      <c r="F881">
        <v>7621.4618810029797</v>
      </c>
      <c r="G881" t="s">
        <v>54</v>
      </c>
      <c r="H881">
        <v>66</v>
      </c>
      <c r="I881">
        <v>3</v>
      </c>
      <c r="J881">
        <v>48</v>
      </c>
      <c r="K881">
        <v>10</v>
      </c>
      <c r="L881" t="s">
        <v>44</v>
      </c>
      <c r="M881">
        <v>8.6864190089587208</v>
      </c>
      <c r="N881" t="s">
        <v>28</v>
      </c>
      <c r="O881" t="s">
        <v>38</v>
      </c>
      <c r="P881">
        <f>VLOOKUP(O881, Coordinates!$A$2:$C$6, 2, FALSE)</f>
        <v>25.761700000000001</v>
      </c>
      <c r="Q881">
        <f>VLOOKUP(O881, Coordinates!$A$2:$C$6, 3, FALSE)</f>
        <v>-80.191800000000001</v>
      </c>
      <c r="R881">
        <v>27</v>
      </c>
      <c r="S881">
        <v>405</v>
      </c>
      <c r="T881">
        <v>7</v>
      </c>
      <c r="U881">
        <v>23.520153348398001</v>
      </c>
      <c r="V881" t="s">
        <v>30</v>
      </c>
      <c r="W881">
        <v>3.95931362638219</v>
      </c>
      <c r="X881" t="s">
        <v>31</v>
      </c>
      <c r="Y881" t="s">
        <v>60</v>
      </c>
      <c r="Z881">
        <v>426.29922612110801</v>
      </c>
    </row>
    <row r="882" spans="1:26" x14ac:dyDescent="0.3">
      <c r="A882" t="s">
        <v>72</v>
      </c>
      <c r="B882" t="s">
        <v>938</v>
      </c>
      <c r="C882">
        <v>30.922195951496899</v>
      </c>
      <c r="D882">
        <v>67</v>
      </c>
      <c r="E882">
        <v>332</v>
      </c>
      <c r="F882">
        <v>9239.5521503072705</v>
      </c>
      <c r="G882" t="s">
        <v>48</v>
      </c>
      <c r="H882">
        <v>41</v>
      </c>
      <c r="I882">
        <v>22</v>
      </c>
      <c r="J882">
        <v>64</v>
      </c>
      <c r="K882">
        <v>8</v>
      </c>
      <c r="L882" t="s">
        <v>44</v>
      </c>
      <c r="M882">
        <v>9.22789243988694</v>
      </c>
      <c r="N882" t="s">
        <v>51</v>
      </c>
      <c r="O882" t="s">
        <v>65</v>
      </c>
      <c r="P882">
        <f>VLOOKUP(O882, Coordinates!$A$2:$C$6, 2, FALSE)</f>
        <v>41.878100000000003</v>
      </c>
      <c r="Q882">
        <f>VLOOKUP(O882, Coordinates!$A$2:$C$6, 3, FALSE)</f>
        <v>-87.629800000000003</v>
      </c>
      <c r="R882">
        <v>5</v>
      </c>
      <c r="S882">
        <v>835</v>
      </c>
      <c r="T882">
        <v>4</v>
      </c>
      <c r="U882">
        <v>89.922697745388803</v>
      </c>
      <c r="V882" t="s">
        <v>30</v>
      </c>
      <c r="W882">
        <v>2.16813041771315</v>
      </c>
      <c r="X882" t="s">
        <v>46</v>
      </c>
      <c r="Y882" t="s">
        <v>60</v>
      </c>
      <c r="Z882">
        <v>387.89797128296999</v>
      </c>
    </row>
    <row r="883" spans="1:26" x14ac:dyDescent="0.3">
      <c r="A883" t="s">
        <v>61</v>
      </c>
      <c r="B883" t="s">
        <v>939</v>
      </c>
      <c r="C883">
        <v>48.124950570293898</v>
      </c>
      <c r="D883">
        <v>86</v>
      </c>
      <c r="E883">
        <v>992</v>
      </c>
      <c r="F883">
        <v>2307.5740877120702</v>
      </c>
      <c r="G883" t="s">
        <v>26</v>
      </c>
      <c r="H883">
        <v>11</v>
      </c>
      <c r="I883">
        <v>3</v>
      </c>
      <c r="J883">
        <v>37</v>
      </c>
      <c r="K883">
        <v>4</v>
      </c>
      <c r="L883" t="s">
        <v>36</v>
      </c>
      <c r="M883">
        <v>9.8968502458257692</v>
      </c>
      <c r="N883" t="s">
        <v>28</v>
      </c>
      <c r="O883" t="s">
        <v>29</v>
      </c>
      <c r="P883">
        <f>VLOOKUP(O883, Coordinates!$A$2:$C$6, 2, FALSE)</f>
        <v>29.760400000000001</v>
      </c>
      <c r="Q883">
        <f>VLOOKUP(O883, Coordinates!$A$2:$C$6, 3, FALSE)</f>
        <v>-95.369799999999998</v>
      </c>
      <c r="R883">
        <v>9</v>
      </c>
      <c r="S883">
        <v>798</v>
      </c>
      <c r="T883">
        <v>12</v>
      </c>
      <c r="U883">
        <v>25.8249403076432</v>
      </c>
      <c r="V883" t="s">
        <v>30</v>
      </c>
      <c r="W883">
        <v>2.36225960183266</v>
      </c>
      <c r="X883" t="s">
        <v>52</v>
      </c>
      <c r="Y883" t="s">
        <v>41</v>
      </c>
      <c r="Z883">
        <v>403.55337494159301</v>
      </c>
    </row>
    <row r="884" spans="1:26" x14ac:dyDescent="0.3">
      <c r="A884" t="s">
        <v>49</v>
      </c>
      <c r="B884" t="s">
        <v>940</v>
      </c>
      <c r="C884">
        <v>83.036039206046297</v>
      </c>
      <c r="D884">
        <v>86</v>
      </c>
      <c r="E884">
        <v>539</v>
      </c>
      <c r="F884">
        <v>3846.6311385306099</v>
      </c>
      <c r="G884" t="s">
        <v>35</v>
      </c>
      <c r="H884">
        <v>17</v>
      </c>
      <c r="I884">
        <v>21</v>
      </c>
      <c r="J884">
        <v>27</v>
      </c>
      <c r="K884">
        <v>7</v>
      </c>
      <c r="L884" t="s">
        <v>44</v>
      </c>
      <c r="M884">
        <v>6.7609540585733798</v>
      </c>
      <c r="N884" t="s">
        <v>37</v>
      </c>
      <c r="O884" t="s">
        <v>29</v>
      </c>
      <c r="P884">
        <f>VLOOKUP(O884, Coordinates!$A$2:$C$6, 2, FALSE)</f>
        <v>29.760400000000001</v>
      </c>
      <c r="Q884">
        <f>VLOOKUP(O884, Coordinates!$A$2:$C$6, 3, FALSE)</f>
        <v>-95.369799999999998</v>
      </c>
      <c r="R884">
        <v>11</v>
      </c>
      <c r="S884">
        <v>770</v>
      </c>
      <c r="T884">
        <v>28</v>
      </c>
      <c r="U884">
        <v>45.485444261040897</v>
      </c>
      <c r="V884" t="s">
        <v>30</v>
      </c>
      <c r="W884">
        <v>4.9848092310561896</v>
      </c>
      <c r="X884" t="s">
        <v>46</v>
      </c>
      <c r="Y884" t="s">
        <v>60</v>
      </c>
      <c r="Z884">
        <v>926.81299167147199</v>
      </c>
    </row>
    <row r="885" spans="1:26" x14ac:dyDescent="0.3">
      <c r="A885" t="s">
        <v>42</v>
      </c>
      <c r="B885" t="s">
        <v>941</v>
      </c>
      <c r="C885">
        <v>57.692448063333998</v>
      </c>
      <c r="D885">
        <v>49</v>
      </c>
      <c r="E885">
        <v>584</v>
      </c>
      <c r="F885">
        <v>9784.6352742871295</v>
      </c>
      <c r="G885" t="s">
        <v>48</v>
      </c>
      <c r="H885">
        <v>22</v>
      </c>
      <c r="I885">
        <v>25</v>
      </c>
      <c r="J885">
        <v>50</v>
      </c>
      <c r="K885">
        <v>7</v>
      </c>
      <c r="L885" t="s">
        <v>36</v>
      </c>
      <c r="M885">
        <v>1.6804187711229299</v>
      </c>
      <c r="N885" t="s">
        <v>45</v>
      </c>
      <c r="O885" t="s">
        <v>38</v>
      </c>
      <c r="P885">
        <f>VLOOKUP(O885, Coordinates!$A$2:$C$6, 2, FALSE)</f>
        <v>25.761700000000001</v>
      </c>
      <c r="Q885">
        <f>VLOOKUP(O885, Coordinates!$A$2:$C$6, 3, FALSE)</f>
        <v>-80.191800000000001</v>
      </c>
      <c r="R885">
        <v>30</v>
      </c>
      <c r="S885">
        <v>680</v>
      </c>
      <c r="T885">
        <v>24</v>
      </c>
      <c r="U885">
        <v>74.086976086433296</v>
      </c>
      <c r="V885" t="s">
        <v>39</v>
      </c>
      <c r="W885">
        <v>4.5161683307656499</v>
      </c>
      <c r="X885" t="s">
        <v>52</v>
      </c>
      <c r="Y885" t="s">
        <v>41</v>
      </c>
      <c r="Z885">
        <v>497.43435026232203</v>
      </c>
    </row>
    <row r="886" spans="1:26" x14ac:dyDescent="0.3">
      <c r="A886" t="s">
        <v>24</v>
      </c>
      <c r="B886" t="s">
        <v>942</v>
      </c>
      <c r="C886">
        <v>34.299577261178698</v>
      </c>
      <c r="D886">
        <v>76</v>
      </c>
      <c r="E886">
        <v>914</v>
      </c>
      <c r="F886">
        <v>28214.8322550456</v>
      </c>
      <c r="G886" t="s">
        <v>35</v>
      </c>
      <c r="H886">
        <v>83</v>
      </c>
      <c r="I886">
        <v>7</v>
      </c>
      <c r="J886">
        <v>90</v>
      </c>
      <c r="K886">
        <v>8</v>
      </c>
      <c r="L886" t="s">
        <v>44</v>
      </c>
      <c r="M886">
        <v>9.7740789212931602</v>
      </c>
      <c r="N886" t="s">
        <v>57</v>
      </c>
      <c r="O886" t="s">
        <v>38</v>
      </c>
      <c r="P886">
        <f>VLOOKUP(O886, Coordinates!$A$2:$C$6, 2, FALSE)</f>
        <v>25.761700000000001</v>
      </c>
      <c r="Q886">
        <f>VLOOKUP(O886, Coordinates!$A$2:$C$6, 3, FALSE)</f>
        <v>-80.191800000000001</v>
      </c>
      <c r="R886">
        <v>23</v>
      </c>
      <c r="S886">
        <v>264</v>
      </c>
      <c r="T886">
        <v>4</v>
      </c>
      <c r="U886">
        <v>86.499663162921706</v>
      </c>
      <c r="V886" t="s">
        <v>39</v>
      </c>
      <c r="W886">
        <v>1.97069002053855</v>
      </c>
      <c r="X886" t="s">
        <v>46</v>
      </c>
      <c r="Y886" t="s">
        <v>41</v>
      </c>
      <c r="Z886">
        <v>881.47770675904201</v>
      </c>
    </row>
    <row r="887" spans="1:26" x14ac:dyDescent="0.3">
      <c r="A887" t="s">
        <v>82</v>
      </c>
      <c r="B887" t="s">
        <v>943</v>
      </c>
      <c r="C887">
        <v>54.996453732129197</v>
      </c>
      <c r="D887">
        <v>55</v>
      </c>
      <c r="E887">
        <v>451</v>
      </c>
      <c r="F887">
        <v>5105.1448810000002</v>
      </c>
      <c r="G887" t="s">
        <v>26</v>
      </c>
      <c r="H887">
        <v>5</v>
      </c>
      <c r="I887">
        <v>2</v>
      </c>
      <c r="J887">
        <v>84</v>
      </c>
      <c r="K887">
        <v>1</v>
      </c>
      <c r="L887" t="s">
        <v>44</v>
      </c>
      <c r="M887">
        <v>14.062422159737601</v>
      </c>
      <c r="N887" t="s">
        <v>28</v>
      </c>
      <c r="O887" t="s">
        <v>58</v>
      </c>
      <c r="P887">
        <f>VLOOKUP(O887, Coordinates!$A$2:$C$6, 2, FALSE)</f>
        <v>34.052199999999999</v>
      </c>
      <c r="Q887">
        <f>VLOOKUP(O887, Coordinates!$A$2:$C$6, 3, FALSE)</f>
        <v>-118.2437</v>
      </c>
      <c r="R887">
        <v>17</v>
      </c>
      <c r="S887">
        <v>357</v>
      </c>
      <c r="T887">
        <v>7</v>
      </c>
      <c r="U887">
        <v>52.994183786031698</v>
      </c>
      <c r="V887" t="s">
        <v>30</v>
      </c>
      <c r="W887">
        <v>3.3823160395204299</v>
      </c>
      <c r="X887" t="s">
        <v>31</v>
      </c>
      <c r="Y887" t="s">
        <v>41</v>
      </c>
      <c r="Z887">
        <v>364.96180287693397</v>
      </c>
    </row>
    <row r="888" spans="1:26" x14ac:dyDescent="0.3">
      <c r="A888" t="s">
        <v>61</v>
      </c>
      <c r="B888" t="s">
        <v>944</v>
      </c>
      <c r="C888">
        <v>49.0014080913774</v>
      </c>
      <c r="D888">
        <v>85</v>
      </c>
      <c r="E888">
        <v>377</v>
      </c>
      <c r="F888">
        <v>1270.18203145602</v>
      </c>
      <c r="G888" t="s">
        <v>48</v>
      </c>
      <c r="H888">
        <v>52</v>
      </c>
      <c r="I888">
        <v>1</v>
      </c>
      <c r="J888">
        <v>74</v>
      </c>
      <c r="K888">
        <v>10</v>
      </c>
      <c r="L888" t="s">
        <v>44</v>
      </c>
      <c r="M888">
        <v>14.4058207990802</v>
      </c>
      <c r="N888" t="s">
        <v>51</v>
      </c>
      <c r="O888" t="s">
        <v>58</v>
      </c>
      <c r="P888">
        <f>VLOOKUP(O888, Coordinates!$A$2:$C$6, 2, FALSE)</f>
        <v>34.052199999999999</v>
      </c>
      <c r="Q888">
        <f>VLOOKUP(O888, Coordinates!$A$2:$C$6, 3, FALSE)</f>
        <v>-118.2437</v>
      </c>
      <c r="R888">
        <v>11</v>
      </c>
      <c r="S888">
        <v>201</v>
      </c>
      <c r="T888">
        <v>20</v>
      </c>
      <c r="U888">
        <v>26.302150864755198</v>
      </c>
      <c r="V888" t="s">
        <v>55</v>
      </c>
      <c r="W888">
        <v>4.4020651009511997</v>
      </c>
      <c r="X888" t="s">
        <v>31</v>
      </c>
      <c r="Y888" t="s">
        <v>32</v>
      </c>
      <c r="Z888">
        <v>823.00280849881005</v>
      </c>
    </row>
    <row r="889" spans="1:26" x14ac:dyDescent="0.3">
      <c r="A889" t="s">
        <v>61</v>
      </c>
      <c r="B889" t="s">
        <v>945</v>
      </c>
      <c r="C889">
        <v>27.292076968705601</v>
      </c>
      <c r="D889">
        <v>56</v>
      </c>
      <c r="E889">
        <v>366</v>
      </c>
      <c r="F889">
        <v>4575.0477660960896</v>
      </c>
      <c r="G889" t="s">
        <v>48</v>
      </c>
      <c r="H889">
        <v>97</v>
      </c>
      <c r="I889">
        <v>7</v>
      </c>
      <c r="J889">
        <v>90</v>
      </c>
      <c r="K889">
        <v>4</v>
      </c>
      <c r="L889" t="s">
        <v>27</v>
      </c>
      <c r="M889">
        <v>9.3563951500541993</v>
      </c>
      <c r="N889" t="s">
        <v>51</v>
      </c>
      <c r="O889" t="s">
        <v>67</v>
      </c>
      <c r="P889">
        <f>VLOOKUP(O889, Coordinates!$A$2:$C$6, 2, FALSE)</f>
        <v>40.712800000000001</v>
      </c>
      <c r="Q889">
        <f>VLOOKUP(O889, Coordinates!$A$2:$C$6, 3, FALSE)</f>
        <v>-74.006</v>
      </c>
      <c r="R889">
        <v>13</v>
      </c>
      <c r="S889">
        <v>554</v>
      </c>
      <c r="T889">
        <v>13</v>
      </c>
      <c r="U889">
        <v>34.3805701218267</v>
      </c>
      <c r="V889" t="s">
        <v>39</v>
      </c>
      <c r="W889">
        <v>0.63390503342015503</v>
      </c>
      <c r="X889" t="s">
        <v>31</v>
      </c>
      <c r="Y889" t="s">
        <v>32</v>
      </c>
      <c r="Z889">
        <v>585.20287200424605</v>
      </c>
    </row>
    <row r="890" spans="1:26" x14ac:dyDescent="0.3">
      <c r="A890" t="s">
        <v>72</v>
      </c>
      <c r="B890" t="s">
        <v>946</v>
      </c>
      <c r="C890">
        <v>22.271151943924899</v>
      </c>
      <c r="D890">
        <v>68</v>
      </c>
      <c r="E890">
        <v>97</v>
      </c>
      <c r="F890">
        <v>1944.27156470464</v>
      </c>
      <c r="G890" t="s">
        <v>54</v>
      </c>
      <c r="H890">
        <v>41</v>
      </c>
      <c r="I890">
        <v>20</v>
      </c>
      <c r="J890">
        <v>55</v>
      </c>
      <c r="K890">
        <v>7</v>
      </c>
      <c r="L890" t="s">
        <v>27</v>
      </c>
      <c r="M890">
        <v>1.2784182513620399</v>
      </c>
      <c r="N890" t="s">
        <v>28</v>
      </c>
      <c r="O890" t="s">
        <v>67</v>
      </c>
      <c r="P890">
        <f>VLOOKUP(O890, Coordinates!$A$2:$C$6, 2, FALSE)</f>
        <v>40.712800000000001</v>
      </c>
      <c r="Q890">
        <f>VLOOKUP(O890, Coordinates!$A$2:$C$6, 3, FALSE)</f>
        <v>-74.006</v>
      </c>
      <c r="R890">
        <v>17</v>
      </c>
      <c r="S890">
        <v>292</v>
      </c>
      <c r="T890">
        <v>8</v>
      </c>
      <c r="U890">
        <v>85.360895629744405</v>
      </c>
      <c r="V890" t="s">
        <v>30</v>
      </c>
      <c r="W890">
        <v>3.6752290321358099</v>
      </c>
      <c r="X890" t="s">
        <v>40</v>
      </c>
      <c r="Y890" t="s">
        <v>41</v>
      </c>
      <c r="Z890">
        <v>504.54740716891001</v>
      </c>
    </row>
    <row r="891" spans="1:26" x14ac:dyDescent="0.3">
      <c r="A891" t="s">
        <v>61</v>
      </c>
      <c r="B891" t="s">
        <v>947</v>
      </c>
      <c r="C891">
        <v>32.547161299642802</v>
      </c>
      <c r="D891">
        <v>95</v>
      </c>
      <c r="E891">
        <v>325</v>
      </c>
      <c r="F891">
        <v>9578.1215125716808</v>
      </c>
      <c r="G891" t="s">
        <v>48</v>
      </c>
      <c r="H891">
        <v>65</v>
      </c>
      <c r="I891">
        <v>11</v>
      </c>
      <c r="J891">
        <v>69</v>
      </c>
      <c r="K891">
        <v>5</v>
      </c>
      <c r="L891" t="s">
        <v>27</v>
      </c>
      <c r="M891">
        <v>2.48453873188337</v>
      </c>
      <c r="N891" t="s">
        <v>45</v>
      </c>
      <c r="O891" t="s">
        <v>38</v>
      </c>
      <c r="P891">
        <f>VLOOKUP(O891, Coordinates!$A$2:$C$6, 2, FALSE)</f>
        <v>25.761700000000001</v>
      </c>
      <c r="Q891">
        <f>VLOOKUP(O891, Coordinates!$A$2:$C$6, 3, FALSE)</f>
        <v>-80.191800000000001</v>
      </c>
      <c r="R891">
        <v>29</v>
      </c>
      <c r="S891">
        <v>870</v>
      </c>
      <c r="T891">
        <v>14</v>
      </c>
      <c r="U891">
        <v>42.8135130393024</v>
      </c>
      <c r="V891" t="s">
        <v>39</v>
      </c>
      <c r="W891">
        <v>3.7751654454401802</v>
      </c>
      <c r="X891" t="s">
        <v>31</v>
      </c>
      <c r="Y891" t="s">
        <v>32</v>
      </c>
      <c r="Z891">
        <v>934.13249711210699</v>
      </c>
    </row>
    <row r="892" spans="1:26" x14ac:dyDescent="0.3">
      <c r="A892" t="s">
        <v>49</v>
      </c>
      <c r="B892" t="s">
        <v>948</v>
      </c>
      <c r="C892">
        <v>58.512448440612303</v>
      </c>
      <c r="D892">
        <v>44</v>
      </c>
      <c r="E892">
        <v>328</v>
      </c>
      <c r="F892">
        <v>5650.6244040000001</v>
      </c>
      <c r="G892" t="s">
        <v>26</v>
      </c>
      <c r="H892">
        <v>29</v>
      </c>
      <c r="I892">
        <v>23</v>
      </c>
      <c r="J892">
        <v>18</v>
      </c>
      <c r="K892">
        <v>2</v>
      </c>
      <c r="L892" t="s">
        <v>36</v>
      </c>
      <c r="M892">
        <v>12.6758673607721</v>
      </c>
      <c r="N892" t="s">
        <v>28</v>
      </c>
      <c r="O892" t="s">
        <v>38</v>
      </c>
      <c r="P892">
        <f>VLOOKUP(O892, Coordinates!$A$2:$C$6, 2, FALSE)</f>
        <v>25.761700000000001</v>
      </c>
      <c r="Q892">
        <f>VLOOKUP(O892, Coordinates!$A$2:$C$6, 3, FALSE)</f>
        <v>-80.191800000000001</v>
      </c>
      <c r="R892">
        <v>27</v>
      </c>
      <c r="S892">
        <v>997</v>
      </c>
      <c r="T892">
        <v>30</v>
      </c>
      <c r="U892">
        <v>41.380548145269003</v>
      </c>
      <c r="V892" t="s">
        <v>30</v>
      </c>
      <c r="W892">
        <v>2.1146230671343398</v>
      </c>
      <c r="X892" t="s">
        <v>52</v>
      </c>
      <c r="Y892" t="s">
        <v>41</v>
      </c>
      <c r="Z892">
        <v>-50</v>
      </c>
    </row>
    <row r="893" spans="1:26" x14ac:dyDescent="0.3">
      <c r="A893" t="s">
        <v>42</v>
      </c>
      <c r="B893" t="s">
        <v>949</v>
      </c>
      <c r="C893">
        <v>16.395600837269502</v>
      </c>
      <c r="D893">
        <v>31</v>
      </c>
      <c r="E893">
        <v>388</v>
      </c>
      <c r="F893">
        <v>8371.9659360000005</v>
      </c>
      <c r="G893" t="s">
        <v>35</v>
      </c>
      <c r="H893">
        <v>8</v>
      </c>
      <c r="I893">
        <v>6</v>
      </c>
      <c r="J893">
        <v>54</v>
      </c>
      <c r="K893">
        <v>8</v>
      </c>
      <c r="L893" t="s">
        <v>36</v>
      </c>
      <c r="M893">
        <v>12.6164221271467</v>
      </c>
      <c r="N893" t="s">
        <v>51</v>
      </c>
      <c r="O893" t="s">
        <v>65</v>
      </c>
      <c r="P893">
        <f>VLOOKUP(O893, Coordinates!$A$2:$C$6, 2, FALSE)</f>
        <v>41.878100000000003</v>
      </c>
      <c r="Q893">
        <f>VLOOKUP(O893, Coordinates!$A$2:$C$6, 3, FALSE)</f>
        <v>-87.629800000000003</v>
      </c>
      <c r="R893">
        <v>7</v>
      </c>
      <c r="S893">
        <v>909</v>
      </c>
      <c r="T893">
        <v>3</v>
      </c>
      <c r="U893">
        <v>21.866842158099701</v>
      </c>
      <c r="V893" t="s">
        <v>30</v>
      </c>
      <c r="W893">
        <v>1.43363461466758</v>
      </c>
      <c r="X893" t="s">
        <v>31</v>
      </c>
      <c r="Y893" t="s">
        <v>32</v>
      </c>
      <c r="Z893">
        <v>780.50641902870098</v>
      </c>
    </row>
    <row r="894" spans="1:26" x14ac:dyDescent="0.3">
      <c r="A894" t="s">
        <v>42</v>
      </c>
      <c r="B894" t="s">
        <v>950</v>
      </c>
      <c r="C894">
        <v>92.095210616721801</v>
      </c>
      <c r="D894">
        <v>58</v>
      </c>
      <c r="E894">
        <v>579</v>
      </c>
      <c r="F894">
        <v>5924.1487831201002</v>
      </c>
      <c r="G894" t="s">
        <v>48</v>
      </c>
      <c r="H894">
        <v>90</v>
      </c>
      <c r="I894">
        <v>23</v>
      </c>
      <c r="J894">
        <v>69</v>
      </c>
      <c r="K894">
        <v>2</v>
      </c>
      <c r="L894" t="s">
        <v>27</v>
      </c>
      <c r="M894">
        <v>14.244218473757</v>
      </c>
      <c r="N894" t="s">
        <v>57</v>
      </c>
      <c r="O894" t="s">
        <v>58</v>
      </c>
      <c r="P894">
        <f>VLOOKUP(O894, Coordinates!$A$2:$C$6, 2, FALSE)</f>
        <v>34.052199999999999</v>
      </c>
      <c r="Q894">
        <f>VLOOKUP(O894, Coordinates!$A$2:$C$6, 3, FALSE)</f>
        <v>-118.2437</v>
      </c>
      <c r="R894">
        <v>9</v>
      </c>
      <c r="S894">
        <v>398</v>
      </c>
      <c r="T894">
        <v>2</v>
      </c>
      <c r="U894">
        <v>92.197922695385401</v>
      </c>
      <c r="V894" t="s">
        <v>30</v>
      </c>
      <c r="W894">
        <v>3.3886857338746799</v>
      </c>
      <c r="X894" t="s">
        <v>40</v>
      </c>
      <c r="Y894" t="s">
        <v>41</v>
      </c>
      <c r="Z894">
        <v>566.20586257710704</v>
      </c>
    </row>
    <row r="895" spans="1:26" x14ac:dyDescent="0.3">
      <c r="A895" t="s">
        <v>24</v>
      </c>
      <c r="B895" t="s">
        <v>951</v>
      </c>
      <c r="C895">
        <v>24.953140096086301</v>
      </c>
      <c r="D895">
        <v>87</v>
      </c>
      <c r="E895">
        <v>740</v>
      </c>
      <c r="F895">
        <v>16618.791303993399</v>
      </c>
      <c r="G895" t="s">
        <v>26</v>
      </c>
      <c r="H895">
        <v>41</v>
      </c>
      <c r="I895">
        <v>4</v>
      </c>
      <c r="J895">
        <v>37</v>
      </c>
      <c r="K895">
        <v>8</v>
      </c>
      <c r="L895" t="s">
        <v>27</v>
      </c>
      <c r="M895">
        <v>8.8928419201353801</v>
      </c>
      <c r="N895" t="s">
        <v>45</v>
      </c>
      <c r="O895" t="s">
        <v>38</v>
      </c>
      <c r="P895">
        <f>VLOOKUP(O895, Coordinates!$A$2:$C$6, 2, FALSE)</f>
        <v>25.761700000000001</v>
      </c>
      <c r="Q895">
        <f>VLOOKUP(O895, Coordinates!$A$2:$C$6, 3, FALSE)</f>
        <v>-80.191800000000001</v>
      </c>
      <c r="R895">
        <v>25</v>
      </c>
      <c r="S895">
        <v>120</v>
      </c>
      <c r="T895">
        <v>10</v>
      </c>
      <c r="U895">
        <v>81.483470166324295</v>
      </c>
      <c r="V895" t="s">
        <v>55</v>
      </c>
      <c r="W895">
        <v>4.4592199414450597</v>
      </c>
      <c r="X895" t="s">
        <v>46</v>
      </c>
      <c r="Y895" t="s">
        <v>32</v>
      </c>
      <c r="Z895">
        <v>204.95047605767499</v>
      </c>
    </row>
    <row r="896" spans="1:26" x14ac:dyDescent="0.3">
      <c r="A896" t="s">
        <v>82</v>
      </c>
      <c r="B896" t="s">
        <v>952</v>
      </c>
      <c r="C896">
        <v>43.137334940000002</v>
      </c>
      <c r="D896">
        <v>53</v>
      </c>
      <c r="E896">
        <v>741</v>
      </c>
      <c r="F896">
        <v>3835.07447670796</v>
      </c>
      <c r="G896" t="s">
        <v>26</v>
      </c>
      <c r="H896">
        <v>33</v>
      </c>
      <c r="I896">
        <v>19</v>
      </c>
      <c r="J896">
        <v>12</v>
      </c>
      <c r="K896">
        <v>2</v>
      </c>
      <c r="L896" t="s">
        <v>44</v>
      </c>
      <c r="M896">
        <v>13.0934281225581</v>
      </c>
      <c r="N896" t="s">
        <v>28</v>
      </c>
      <c r="O896" t="s">
        <v>38</v>
      </c>
      <c r="P896">
        <f>VLOOKUP(O896, Coordinates!$A$2:$C$6, 2, FALSE)</f>
        <v>25.761700000000001</v>
      </c>
      <c r="Q896">
        <f>VLOOKUP(O896, Coordinates!$A$2:$C$6, 3, FALSE)</f>
        <v>-80.191800000000001</v>
      </c>
      <c r="R896">
        <v>23</v>
      </c>
      <c r="S896">
        <v>144</v>
      </c>
      <c r="T896">
        <v>6</v>
      </c>
      <c r="U896">
        <v>49.600191508817602</v>
      </c>
      <c r="V896" t="s">
        <v>30</v>
      </c>
      <c r="W896">
        <v>1.92144873273643</v>
      </c>
      <c r="X896" t="s">
        <v>40</v>
      </c>
      <c r="Y896" t="s">
        <v>60</v>
      </c>
      <c r="Z896">
        <v>737.15485145175103</v>
      </c>
    </row>
    <row r="897" spans="1:26" x14ac:dyDescent="0.3">
      <c r="A897" t="s">
        <v>72</v>
      </c>
      <c r="B897" t="s">
        <v>953</v>
      </c>
      <c r="C897">
        <v>26.2735752195433</v>
      </c>
      <c r="D897">
        <v>84</v>
      </c>
      <c r="E897">
        <v>885</v>
      </c>
      <c r="F897">
        <v>20926.902662366199</v>
      </c>
      <c r="G897" t="s">
        <v>48</v>
      </c>
      <c r="H897">
        <v>39</v>
      </c>
      <c r="I897">
        <v>28</v>
      </c>
      <c r="J897">
        <v>60</v>
      </c>
      <c r="K897">
        <v>5</v>
      </c>
      <c r="L897" t="s">
        <v>44</v>
      </c>
      <c r="M897">
        <v>12.5484169595462</v>
      </c>
      <c r="N897" t="s">
        <v>57</v>
      </c>
      <c r="O897" t="s">
        <v>38</v>
      </c>
      <c r="P897">
        <f>VLOOKUP(O897, Coordinates!$A$2:$C$6, 2, FALSE)</f>
        <v>25.761700000000001</v>
      </c>
      <c r="Q897">
        <f>VLOOKUP(O897, Coordinates!$A$2:$C$6, 3, FALSE)</f>
        <v>-80.191800000000001</v>
      </c>
      <c r="R897">
        <v>18</v>
      </c>
      <c r="S897">
        <v>579</v>
      </c>
      <c r="T897">
        <v>23</v>
      </c>
      <c r="U897">
        <v>89.083020580678095</v>
      </c>
      <c r="V897" t="s">
        <v>30</v>
      </c>
      <c r="W897">
        <v>4.4845668704490098</v>
      </c>
      <c r="X897" t="s">
        <v>52</v>
      </c>
      <c r="Y897" t="s">
        <v>60</v>
      </c>
      <c r="Z897">
        <v>833.60109804183401</v>
      </c>
    </row>
    <row r="898" spans="1:26" x14ac:dyDescent="0.3">
      <c r="A898" t="s">
        <v>82</v>
      </c>
      <c r="B898" t="s">
        <v>954</v>
      </c>
      <c r="C898">
        <v>88.789256120000005</v>
      </c>
      <c r="D898">
        <v>79</v>
      </c>
      <c r="E898">
        <v>350</v>
      </c>
      <c r="F898">
        <v>9555.3456933801099</v>
      </c>
      <c r="G898" t="s">
        <v>54</v>
      </c>
      <c r="H898">
        <v>87</v>
      </c>
      <c r="I898">
        <v>21</v>
      </c>
      <c r="J898">
        <v>17</v>
      </c>
      <c r="K898">
        <v>4</v>
      </c>
      <c r="L898" t="s">
        <v>36</v>
      </c>
      <c r="M898">
        <v>9.2518912868994008</v>
      </c>
      <c r="N898" t="s">
        <v>28</v>
      </c>
      <c r="O898" t="s">
        <v>67</v>
      </c>
      <c r="P898">
        <f>VLOOKUP(O898, Coordinates!$A$2:$C$6, 2, FALSE)</f>
        <v>40.712800000000001</v>
      </c>
      <c r="Q898">
        <f>VLOOKUP(O898, Coordinates!$A$2:$C$6, 3, FALSE)</f>
        <v>-74.006</v>
      </c>
      <c r="R898">
        <v>30</v>
      </c>
      <c r="S898">
        <v>595</v>
      </c>
      <c r="T898">
        <v>7</v>
      </c>
      <c r="U898">
        <v>69.375154494169095</v>
      </c>
      <c r="V898" t="s">
        <v>30</v>
      </c>
      <c r="W898">
        <v>2.9516627629568801</v>
      </c>
      <c r="X898" t="s">
        <v>52</v>
      </c>
      <c r="Y898" t="s">
        <v>32</v>
      </c>
      <c r="Z898">
        <v>866.83750062079798</v>
      </c>
    </row>
    <row r="899" spans="1:26" x14ac:dyDescent="0.3">
      <c r="A899" t="s">
        <v>61</v>
      </c>
      <c r="B899" t="s">
        <v>955</v>
      </c>
      <c r="C899">
        <v>83.258918559610606</v>
      </c>
      <c r="D899">
        <v>23</v>
      </c>
      <c r="E899">
        <v>853</v>
      </c>
      <c r="F899">
        <v>8732.1732379999994</v>
      </c>
      <c r="G899" t="s">
        <v>48</v>
      </c>
      <c r="H899">
        <v>16</v>
      </c>
      <c r="I899">
        <v>19</v>
      </c>
      <c r="J899">
        <v>79</v>
      </c>
      <c r="K899">
        <v>1</v>
      </c>
      <c r="L899" t="s">
        <v>36</v>
      </c>
      <c r="M899">
        <v>11.970925747138701</v>
      </c>
      <c r="N899" t="s">
        <v>45</v>
      </c>
      <c r="O899" t="s">
        <v>38</v>
      </c>
      <c r="P899">
        <f>VLOOKUP(O899, Coordinates!$A$2:$C$6, 2, FALSE)</f>
        <v>25.761700000000001</v>
      </c>
      <c r="Q899">
        <f>VLOOKUP(O899, Coordinates!$A$2:$C$6, 3, FALSE)</f>
        <v>-80.191800000000001</v>
      </c>
      <c r="R899">
        <v>29</v>
      </c>
      <c r="S899">
        <v>887</v>
      </c>
      <c r="T899">
        <v>16</v>
      </c>
      <c r="U899">
        <v>41.9869597359774</v>
      </c>
      <c r="V899" t="s">
        <v>39</v>
      </c>
      <c r="W899">
        <v>3.6469378913218802</v>
      </c>
      <c r="X899" t="s">
        <v>40</v>
      </c>
      <c r="Y899" t="s">
        <v>41</v>
      </c>
      <c r="Z899">
        <v>623.67874751741704</v>
      </c>
    </row>
    <row r="900" spans="1:26" x14ac:dyDescent="0.3">
      <c r="A900" t="s">
        <v>24</v>
      </c>
      <c r="B900" t="s">
        <v>956</v>
      </c>
      <c r="C900">
        <v>30.650114683714001</v>
      </c>
      <c r="D900">
        <v>28</v>
      </c>
      <c r="E900">
        <v>107</v>
      </c>
      <c r="F900">
        <v>2951.60604404166</v>
      </c>
      <c r="G900" t="s">
        <v>48</v>
      </c>
      <c r="H900">
        <v>28</v>
      </c>
      <c r="I900">
        <v>14</v>
      </c>
      <c r="J900">
        <v>68</v>
      </c>
      <c r="K900">
        <v>8</v>
      </c>
      <c r="L900" t="s">
        <v>44</v>
      </c>
      <c r="M900">
        <v>2.7599476231745999</v>
      </c>
      <c r="N900" t="s">
        <v>51</v>
      </c>
      <c r="O900" t="s">
        <v>29</v>
      </c>
      <c r="P900">
        <f>VLOOKUP(O900, Coordinates!$A$2:$C$6, 2, FALSE)</f>
        <v>29.760400000000001</v>
      </c>
      <c r="Q900">
        <f>VLOOKUP(O900, Coordinates!$A$2:$C$6, 3, FALSE)</f>
        <v>-95.369799999999998</v>
      </c>
      <c r="R900">
        <v>12</v>
      </c>
      <c r="S900">
        <v>782</v>
      </c>
      <c r="T900">
        <v>6</v>
      </c>
      <c r="U900">
        <v>83.479332360000001</v>
      </c>
      <c r="V900" t="s">
        <v>30</v>
      </c>
      <c r="W900">
        <v>1.6484876572318501</v>
      </c>
      <c r="X900" t="s">
        <v>46</v>
      </c>
      <c r="Y900" t="s">
        <v>32</v>
      </c>
      <c r="Z900">
        <v>655.15518182493304</v>
      </c>
    </row>
    <row r="901" spans="1:26" x14ac:dyDescent="0.3">
      <c r="A901" t="s">
        <v>82</v>
      </c>
      <c r="B901" t="s">
        <v>957</v>
      </c>
      <c r="C901">
        <v>30.796969504067999</v>
      </c>
      <c r="D901">
        <v>16</v>
      </c>
      <c r="E901">
        <v>219</v>
      </c>
      <c r="F901">
        <v>2980.98847017247</v>
      </c>
      <c r="G901" t="s">
        <v>54</v>
      </c>
      <c r="H901">
        <v>99</v>
      </c>
      <c r="I901">
        <v>3</v>
      </c>
      <c r="J901">
        <v>70</v>
      </c>
      <c r="K901">
        <v>10</v>
      </c>
      <c r="L901" t="s">
        <v>36</v>
      </c>
      <c r="M901">
        <v>9.9488385963216803</v>
      </c>
      <c r="N901" t="s">
        <v>45</v>
      </c>
      <c r="O901" t="s">
        <v>38</v>
      </c>
      <c r="P901">
        <f>VLOOKUP(O901, Coordinates!$A$2:$C$6, 2, FALSE)</f>
        <v>25.761700000000001</v>
      </c>
      <c r="Q901">
        <f>VLOOKUP(O901, Coordinates!$A$2:$C$6, 3, FALSE)</f>
        <v>-80.191800000000001</v>
      </c>
      <c r="R901">
        <v>25</v>
      </c>
      <c r="S901">
        <v>789</v>
      </c>
      <c r="T901">
        <v>16</v>
      </c>
      <c r="U901">
        <v>96.748534508118397</v>
      </c>
      <c r="V901" t="s">
        <v>55</v>
      </c>
      <c r="W901">
        <v>4.6349242244171096</v>
      </c>
      <c r="X901" t="s">
        <v>31</v>
      </c>
      <c r="Y901" t="s">
        <v>32</v>
      </c>
      <c r="Z901">
        <v>738.36184743146396</v>
      </c>
    </row>
    <row r="902" spans="1:26" x14ac:dyDescent="0.3">
      <c r="A902" t="s">
        <v>49</v>
      </c>
      <c r="B902" t="s">
        <v>958</v>
      </c>
      <c r="C902">
        <v>43.232430556198501</v>
      </c>
      <c r="D902">
        <v>37</v>
      </c>
      <c r="E902">
        <v>196</v>
      </c>
      <c r="F902">
        <v>2810.5567040250999</v>
      </c>
      <c r="G902" t="s">
        <v>26</v>
      </c>
      <c r="H902">
        <v>49</v>
      </c>
      <c r="I902">
        <v>4</v>
      </c>
      <c r="J902">
        <v>67</v>
      </c>
      <c r="K902">
        <v>3</v>
      </c>
      <c r="L902" t="s">
        <v>27</v>
      </c>
      <c r="M902">
        <v>14.348313388720699</v>
      </c>
      <c r="N902" t="s">
        <v>37</v>
      </c>
      <c r="O902" t="s">
        <v>67</v>
      </c>
      <c r="P902">
        <f>VLOOKUP(O902, Coordinates!$A$2:$C$6, 2, FALSE)</f>
        <v>40.712800000000001</v>
      </c>
      <c r="Q902">
        <f>VLOOKUP(O902, Coordinates!$A$2:$C$6, 3, FALSE)</f>
        <v>-74.006</v>
      </c>
      <c r="R902">
        <v>18</v>
      </c>
      <c r="S902">
        <v>322</v>
      </c>
      <c r="T902">
        <v>27</v>
      </c>
      <c r="U902">
        <v>11.258772568583399</v>
      </c>
      <c r="V902" t="s">
        <v>30</v>
      </c>
      <c r="W902">
        <v>2.4074881857733801</v>
      </c>
      <c r="X902" t="s">
        <v>52</v>
      </c>
      <c r="Y902" t="s">
        <v>60</v>
      </c>
      <c r="Z902">
        <v>886.53598725865902</v>
      </c>
    </row>
    <row r="903" spans="1:26" x14ac:dyDescent="0.3">
      <c r="A903" t="s">
        <v>42</v>
      </c>
      <c r="B903" t="s">
        <v>959</v>
      </c>
      <c r="C903">
        <v>14.7610839829802</v>
      </c>
      <c r="D903">
        <v>21</v>
      </c>
      <c r="E903">
        <v>676</v>
      </c>
      <c r="G903" t="s">
        <v>48</v>
      </c>
      <c r="H903">
        <v>75</v>
      </c>
      <c r="I903">
        <v>8</v>
      </c>
      <c r="J903">
        <v>79</v>
      </c>
      <c r="K903">
        <v>4</v>
      </c>
      <c r="L903" t="s">
        <v>44</v>
      </c>
      <c r="M903">
        <v>3.2674049781517001</v>
      </c>
      <c r="N903" t="s">
        <v>28</v>
      </c>
      <c r="O903" t="s">
        <v>38</v>
      </c>
      <c r="P903">
        <f>VLOOKUP(O903, Coordinates!$A$2:$C$6, 2, FALSE)</f>
        <v>25.761700000000001</v>
      </c>
      <c r="Q903">
        <f>VLOOKUP(O903, Coordinates!$A$2:$C$6, 3, FALSE)</f>
        <v>-80.191800000000001</v>
      </c>
      <c r="R903">
        <v>21</v>
      </c>
      <c r="S903">
        <v>398</v>
      </c>
      <c r="T903">
        <v>24</v>
      </c>
      <c r="U903">
        <v>71.324881355182896</v>
      </c>
      <c r="V903" t="s">
        <v>30</v>
      </c>
      <c r="W903">
        <v>3.3016965837579502</v>
      </c>
      <c r="X903" t="s">
        <v>31</v>
      </c>
      <c r="Y903" t="s">
        <v>60</v>
      </c>
      <c r="Z903">
        <v>140.88151745223499</v>
      </c>
    </row>
    <row r="904" spans="1:26" x14ac:dyDescent="0.3">
      <c r="A904" t="s">
        <v>61</v>
      </c>
      <c r="B904" t="s">
        <v>960</v>
      </c>
      <c r="C904">
        <v>22.9587548491155</v>
      </c>
      <c r="D904">
        <v>79</v>
      </c>
      <c r="E904">
        <v>888</v>
      </c>
      <c r="F904">
        <v>8673.9953779154803</v>
      </c>
      <c r="G904" t="s">
        <v>54</v>
      </c>
      <c r="H904">
        <v>94</v>
      </c>
      <c r="I904">
        <v>18</v>
      </c>
      <c r="J904">
        <v>21</v>
      </c>
      <c r="K904">
        <v>4</v>
      </c>
      <c r="L904" t="s">
        <v>44</v>
      </c>
      <c r="M904">
        <v>11.4165975452</v>
      </c>
      <c r="N904" t="s">
        <v>57</v>
      </c>
      <c r="O904" t="s">
        <v>38</v>
      </c>
      <c r="P904">
        <f>VLOOKUP(O904, Coordinates!$A$2:$C$6, 2, FALSE)</f>
        <v>25.761700000000001</v>
      </c>
      <c r="Q904">
        <f>VLOOKUP(O904, Coordinates!$A$2:$C$6, 3, FALSE)</f>
        <v>-80.191800000000001</v>
      </c>
      <c r="R904">
        <v>9</v>
      </c>
      <c r="S904">
        <v>580</v>
      </c>
      <c r="T904">
        <v>12</v>
      </c>
      <c r="U904">
        <v>89.212372430079398</v>
      </c>
      <c r="V904" t="s">
        <v>55</v>
      </c>
      <c r="W904">
        <v>3.8072070884017002</v>
      </c>
      <c r="X904" t="s">
        <v>46</v>
      </c>
      <c r="Y904" t="s">
        <v>60</v>
      </c>
      <c r="Z904">
        <v>606.89975104618998</v>
      </c>
    </row>
    <row r="905" spans="1:26" x14ac:dyDescent="0.3">
      <c r="A905" t="s">
        <v>24</v>
      </c>
      <c r="B905" t="s">
        <v>961</v>
      </c>
      <c r="C905">
        <v>39.520538530557097</v>
      </c>
      <c r="D905">
        <v>17</v>
      </c>
      <c r="E905">
        <v>723</v>
      </c>
      <c r="F905">
        <v>25716.014421833501</v>
      </c>
      <c r="G905" t="s">
        <v>35</v>
      </c>
      <c r="H905">
        <v>48</v>
      </c>
      <c r="I905">
        <v>4</v>
      </c>
      <c r="J905">
        <v>18</v>
      </c>
      <c r="K905">
        <v>5</v>
      </c>
      <c r="L905" t="s">
        <v>36</v>
      </c>
      <c r="M905">
        <v>5.4910011628073798</v>
      </c>
      <c r="N905" t="s">
        <v>57</v>
      </c>
      <c r="O905" t="s">
        <v>58</v>
      </c>
      <c r="P905">
        <f>VLOOKUP(O905, Coordinates!$A$2:$C$6, 2, FALSE)</f>
        <v>34.052199999999999</v>
      </c>
      <c r="Q905">
        <f>VLOOKUP(O905, Coordinates!$A$2:$C$6, 3, FALSE)</f>
        <v>-118.2437</v>
      </c>
      <c r="R905">
        <v>9</v>
      </c>
      <c r="S905">
        <v>123</v>
      </c>
      <c r="T905">
        <v>22</v>
      </c>
      <c r="U905">
        <v>92.976275504001094</v>
      </c>
      <c r="V905" t="s">
        <v>30</v>
      </c>
      <c r="W905">
        <v>2.4030756010235401</v>
      </c>
      <c r="X905" t="s">
        <v>52</v>
      </c>
      <c r="Y905" t="s">
        <v>32</v>
      </c>
      <c r="Z905">
        <v>432.18657781523098</v>
      </c>
    </row>
    <row r="906" spans="1:26" x14ac:dyDescent="0.3">
      <c r="A906" t="s">
        <v>82</v>
      </c>
      <c r="B906" t="s">
        <v>962</v>
      </c>
      <c r="C906">
        <v>72.928678290814901</v>
      </c>
      <c r="D906">
        <v>37</v>
      </c>
      <c r="E906">
        <v>785</v>
      </c>
      <c r="F906">
        <v>4534.6160280180402</v>
      </c>
      <c r="G906" t="s">
        <v>35</v>
      </c>
      <c r="H906">
        <v>72</v>
      </c>
      <c r="I906">
        <v>11</v>
      </c>
      <c r="J906">
        <v>58</v>
      </c>
      <c r="K906">
        <v>3</v>
      </c>
      <c r="L906" t="s">
        <v>44</v>
      </c>
      <c r="M906">
        <v>12.4394549320496</v>
      </c>
      <c r="N906" t="s">
        <v>45</v>
      </c>
      <c r="O906" t="s">
        <v>38</v>
      </c>
      <c r="P906">
        <f>VLOOKUP(O906, Coordinates!$A$2:$C$6, 2, FALSE)</f>
        <v>25.761700000000001</v>
      </c>
      <c r="Q906">
        <f>VLOOKUP(O906, Coordinates!$A$2:$C$6, 3, FALSE)</f>
        <v>-80.191800000000001</v>
      </c>
      <c r="R906">
        <v>25</v>
      </c>
      <c r="S906">
        <v>437</v>
      </c>
      <c r="T906">
        <v>15</v>
      </c>
      <c r="U906">
        <v>75.265737770000001</v>
      </c>
      <c r="V906" t="s">
        <v>55</v>
      </c>
      <c r="W906">
        <v>4.5896719846435499</v>
      </c>
      <c r="X906" t="s">
        <v>46</v>
      </c>
      <c r="Y906" t="s">
        <v>60</v>
      </c>
      <c r="Z906">
        <v>849.84330484614804</v>
      </c>
    </row>
    <row r="907" spans="1:26" x14ac:dyDescent="0.3">
      <c r="A907" t="s">
        <v>72</v>
      </c>
      <c r="B907" t="s">
        <v>963</v>
      </c>
      <c r="C907">
        <v>37.260248806654097</v>
      </c>
      <c r="D907">
        <v>77</v>
      </c>
      <c r="E907">
        <v>198</v>
      </c>
      <c r="F907">
        <v>6639.7763373457601</v>
      </c>
      <c r="G907" t="s">
        <v>54</v>
      </c>
      <c r="H907">
        <v>60</v>
      </c>
      <c r="I907">
        <v>16</v>
      </c>
      <c r="J907">
        <v>92</v>
      </c>
      <c r="K907">
        <v>9</v>
      </c>
      <c r="L907" t="s">
        <v>44</v>
      </c>
      <c r="M907">
        <v>10.7609530718793</v>
      </c>
      <c r="N907" t="s">
        <v>45</v>
      </c>
      <c r="O907" t="s">
        <v>38</v>
      </c>
      <c r="P907">
        <f>VLOOKUP(O907, Coordinates!$A$2:$C$6, 2, FALSE)</f>
        <v>25.761700000000001</v>
      </c>
      <c r="Q907">
        <f>VLOOKUP(O907, Coordinates!$A$2:$C$6, 3, FALSE)</f>
        <v>-80.191800000000001</v>
      </c>
      <c r="R907">
        <v>25</v>
      </c>
      <c r="S907">
        <v>183</v>
      </c>
      <c r="T907">
        <v>22</v>
      </c>
      <c r="U907">
        <v>87.031974309999995</v>
      </c>
      <c r="V907" t="s">
        <v>39</v>
      </c>
      <c r="W907">
        <v>3.50691482523664</v>
      </c>
      <c r="X907" t="s">
        <v>46</v>
      </c>
      <c r="Y907" t="s">
        <v>60</v>
      </c>
      <c r="Z907">
        <v>220.43002745220801</v>
      </c>
    </row>
    <row r="908" spans="1:26" x14ac:dyDescent="0.3">
      <c r="A908" t="s">
        <v>49</v>
      </c>
      <c r="B908" t="s">
        <v>964</v>
      </c>
      <c r="C908">
        <v>90.094038962986403</v>
      </c>
      <c r="D908">
        <v>19</v>
      </c>
      <c r="E908">
        <v>384</v>
      </c>
      <c r="F908">
        <v>5178.9857031563697</v>
      </c>
      <c r="G908" t="s">
        <v>26</v>
      </c>
      <c r="H908">
        <v>82</v>
      </c>
      <c r="I908">
        <v>3</v>
      </c>
      <c r="J908">
        <v>26</v>
      </c>
      <c r="K908">
        <v>4</v>
      </c>
      <c r="L908" t="s">
        <v>27</v>
      </c>
      <c r="M908">
        <v>13.966439606492701</v>
      </c>
      <c r="N908" t="s">
        <v>45</v>
      </c>
      <c r="O908" t="s">
        <v>38</v>
      </c>
      <c r="P908">
        <f>VLOOKUP(O908, Coordinates!$A$2:$C$6, 2, FALSE)</f>
        <v>25.761700000000001</v>
      </c>
      <c r="Q908">
        <f>VLOOKUP(O908, Coordinates!$A$2:$C$6, 3, FALSE)</f>
        <v>-80.191800000000001</v>
      </c>
      <c r="R908">
        <v>25</v>
      </c>
      <c r="S908">
        <v>159</v>
      </c>
      <c r="T908">
        <v>3</v>
      </c>
      <c r="U908">
        <v>67.567822171601406</v>
      </c>
      <c r="V908" t="s">
        <v>39</v>
      </c>
      <c r="W908">
        <v>4.6880797543822599</v>
      </c>
      <c r="X908" t="s">
        <v>40</v>
      </c>
      <c r="Y908" t="s">
        <v>60</v>
      </c>
      <c r="Z908">
        <v>918.73121984762702</v>
      </c>
    </row>
    <row r="909" spans="1:26" x14ac:dyDescent="0.3">
      <c r="A909" t="s">
        <v>49</v>
      </c>
      <c r="B909" t="s">
        <v>965</v>
      </c>
      <c r="C909">
        <v>60.410319192239299</v>
      </c>
      <c r="D909">
        <v>30</v>
      </c>
      <c r="E909">
        <v>407</v>
      </c>
      <c r="F909">
        <v>3280.58296803435</v>
      </c>
      <c r="G909" t="s">
        <v>54</v>
      </c>
      <c r="H909">
        <v>45</v>
      </c>
      <c r="I909">
        <v>7</v>
      </c>
      <c r="J909">
        <v>63</v>
      </c>
      <c r="K909">
        <v>10</v>
      </c>
      <c r="L909" t="s">
        <v>44</v>
      </c>
      <c r="M909">
        <v>10.967095875714501</v>
      </c>
      <c r="N909" t="s">
        <v>57</v>
      </c>
      <c r="O909" t="s">
        <v>38</v>
      </c>
      <c r="P909">
        <f>VLOOKUP(O909, Coordinates!$A$2:$C$6, 2, FALSE)</f>
        <v>25.761700000000001</v>
      </c>
      <c r="Q909">
        <f>VLOOKUP(O909, Coordinates!$A$2:$C$6, 3, FALSE)</f>
        <v>-80.191800000000001</v>
      </c>
      <c r="R909">
        <v>14</v>
      </c>
      <c r="S909">
        <v>387</v>
      </c>
      <c r="T909">
        <v>28</v>
      </c>
      <c r="U909">
        <v>47.321105305905803</v>
      </c>
      <c r="V909" t="s">
        <v>30</v>
      </c>
      <c r="W909">
        <v>1.3321556887510899</v>
      </c>
      <c r="X909" t="s">
        <v>46</v>
      </c>
      <c r="Y909" t="s">
        <v>41</v>
      </c>
      <c r="Z909">
        <v>992.921921381792</v>
      </c>
    </row>
    <row r="910" spans="1:26" x14ac:dyDescent="0.3">
      <c r="A910" t="s">
        <v>82</v>
      </c>
      <c r="B910" t="s">
        <v>966</v>
      </c>
      <c r="C910">
        <v>49.361959996543</v>
      </c>
      <c r="D910">
        <v>45</v>
      </c>
      <c r="E910">
        <v>668</v>
      </c>
      <c r="F910">
        <v>5545.2524153389004</v>
      </c>
      <c r="G910" t="s">
        <v>26</v>
      </c>
      <c r="H910">
        <v>45</v>
      </c>
      <c r="I910">
        <v>2</v>
      </c>
      <c r="J910">
        <v>53</v>
      </c>
      <c r="K910">
        <v>4</v>
      </c>
      <c r="L910" t="s">
        <v>44</v>
      </c>
      <c r="M910">
        <v>6.7443483294800597</v>
      </c>
      <c r="N910" t="s">
        <v>51</v>
      </c>
      <c r="O910" t="s">
        <v>58</v>
      </c>
      <c r="P910">
        <f>VLOOKUP(O910, Coordinates!$A$2:$C$6, 2, FALSE)</f>
        <v>34.052199999999999</v>
      </c>
      <c r="Q910">
        <f>VLOOKUP(O910, Coordinates!$A$2:$C$6, 3, FALSE)</f>
        <v>-118.2437</v>
      </c>
      <c r="R910">
        <v>23</v>
      </c>
      <c r="S910">
        <v>733</v>
      </c>
      <c r="T910">
        <v>16</v>
      </c>
      <c r="U910">
        <v>88.696064742065303</v>
      </c>
      <c r="V910" t="s">
        <v>30</v>
      </c>
      <c r="W910">
        <v>1.5027175615489199</v>
      </c>
      <c r="X910" t="s">
        <v>52</v>
      </c>
      <c r="Y910" t="s">
        <v>41</v>
      </c>
      <c r="Z910">
        <v>180.3940359584</v>
      </c>
    </row>
    <row r="911" spans="1:26" x14ac:dyDescent="0.3">
      <c r="A911" t="s">
        <v>42</v>
      </c>
      <c r="B911" t="s">
        <v>967</v>
      </c>
      <c r="C911">
        <v>37.3352208990474</v>
      </c>
      <c r="D911">
        <v>18</v>
      </c>
      <c r="E911">
        <v>753</v>
      </c>
      <c r="F911">
        <v>1274.4689310000001</v>
      </c>
      <c r="G911" t="s">
        <v>35</v>
      </c>
      <c r="H911">
        <v>16</v>
      </c>
      <c r="I911">
        <v>1</v>
      </c>
      <c r="J911">
        <v>41</v>
      </c>
      <c r="K911">
        <v>6</v>
      </c>
      <c r="L911" t="s">
        <v>44</v>
      </c>
      <c r="M911">
        <v>1.1524954828645599</v>
      </c>
      <c r="N911" t="s">
        <v>57</v>
      </c>
      <c r="O911" t="s">
        <v>29</v>
      </c>
      <c r="P911">
        <f>VLOOKUP(O911, Coordinates!$A$2:$C$6, 2, FALSE)</f>
        <v>29.760400000000001</v>
      </c>
      <c r="Q911">
        <f>VLOOKUP(O911, Coordinates!$A$2:$C$6, 3, FALSE)</f>
        <v>-95.369799999999998</v>
      </c>
      <c r="R911">
        <v>26</v>
      </c>
      <c r="S911">
        <v>616</v>
      </c>
      <c r="T911">
        <v>18</v>
      </c>
      <c r="U911">
        <v>59.876132178036499</v>
      </c>
      <c r="V911" t="s">
        <v>30</v>
      </c>
      <c r="W911">
        <v>0.92145178299999997</v>
      </c>
      <c r="X911" t="s">
        <v>40</v>
      </c>
      <c r="Y911" t="s">
        <v>32</v>
      </c>
      <c r="Z911">
        <v>411.849275070386</v>
      </c>
    </row>
    <row r="912" spans="1:26" x14ac:dyDescent="0.3">
      <c r="A912" t="s">
        <v>82</v>
      </c>
      <c r="B912" t="s">
        <v>968</v>
      </c>
      <c r="C912">
        <v>94.342608040000002</v>
      </c>
      <c r="D912">
        <v>78</v>
      </c>
      <c r="E912">
        <v>604</v>
      </c>
      <c r="F912">
        <v>2186.29336147713</v>
      </c>
      <c r="G912" t="s">
        <v>48</v>
      </c>
      <c r="H912">
        <v>65</v>
      </c>
      <c r="I912">
        <v>26</v>
      </c>
      <c r="J912">
        <v>44</v>
      </c>
      <c r="K912">
        <v>8</v>
      </c>
      <c r="L912" t="s">
        <v>44</v>
      </c>
      <c r="M912">
        <v>12.100836554791501</v>
      </c>
      <c r="N912" t="s">
        <v>51</v>
      </c>
      <c r="O912" t="s">
        <v>65</v>
      </c>
      <c r="P912">
        <f>VLOOKUP(O912, Coordinates!$A$2:$C$6, 2, FALSE)</f>
        <v>41.878100000000003</v>
      </c>
      <c r="Q912">
        <f>VLOOKUP(O912, Coordinates!$A$2:$C$6, 3, FALSE)</f>
        <v>-87.629800000000003</v>
      </c>
      <c r="R912">
        <v>30</v>
      </c>
      <c r="S912">
        <v>997</v>
      </c>
      <c r="T912">
        <v>15</v>
      </c>
      <c r="U912">
        <v>77.449676210000007</v>
      </c>
      <c r="V912" t="s">
        <v>30</v>
      </c>
      <c r="W912">
        <v>1.5600825152524</v>
      </c>
      <c r="X912" t="s">
        <v>52</v>
      </c>
      <c r="Y912" t="s">
        <v>60</v>
      </c>
      <c r="Z912">
        <v>995.251791418685</v>
      </c>
    </row>
    <row r="913" spans="1:26" x14ac:dyDescent="0.3">
      <c r="A913" t="s">
        <v>61</v>
      </c>
      <c r="B913" t="s">
        <v>969</v>
      </c>
      <c r="C913">
        <v>12.857968844813501</v>
      </c>
      <c r="D913">
        <v>62</v>
      </c>
      <c r="E913">
        <v>15</v>
      </c>
      <c r="F913">
        <v>8979.3063655205096</v>
      </c>
      <c r="G913" t="s">
        <v>54</v>
      </c>
      <c r="H913">
        <v>4</v>
      </c>
      <c r="I913">
        <v>1</v>
      </c>
      <c r="J913">
        <v>87</v>
      </c>
      <c r="K913">
        <v>7</v>
      </c>
      <c r="L913" t="s">
        <v>27</v>
      </c>
      <c r="M913">
        <v>6.7185095331756699</v>
      </c>
      <c r="N913" t="s">
        <v>45</v>
      </c>
      <c r="O913" t="s">
        <v>38</v>
      </c>
      <c r="P913">
        <f>VLOOKUP(O913, Coordinates!$A$2:$C$6, 2, FALSE)</f>
        <v>25.761700000000001</v>
      </c>
      <c r="Q913">
        <f>VLOOKUP(O913, Coordinates!$A$2:$C$6, 3, FALSE)</f>
        <v>-80.191800000000001</v>
      </c>
      <c r="R913">
        <v>27</v>
      </c>
      <c r="S913">
        <v>253</v>
      </c>
      <c r="T913">
        <v>23</v>
      </c>
      <c r="U913">
        <v>62.900109263665399</v>
      </c>
      <c r="V913" t="s">
        <v>39</v>
      </c>
      <c r="W913">
        <v>3.74568098640834</v>
      </c>
      <c r="X913" t="s">
        <v>40</v>
      </c>
      <c r="Y913" t="s">
        <v>32</v>
      </c>
      <c r="Z913">
        <v>670.42244939675197</v>
      </c>
    </row>
    <row r="914" spans="1:26" x14ac:dyDescent="0.3">
      <c r="A914" t="s">
        <v>82</v>
      </c>
      <c r="B914" t="s">
        <v>970</v>
      </c>
      <c r="C914">
        <v>93.434300350000001</v>
      </c>
      <c r="D914">
        <v>36</v>
      </c>
      <c r="E914">
        <v>191</v>
      </c>
      <c r="F914">
        <v>7765.1179032828004</v>
      </c>
      <c r="G914" t="s">
        <v>35</v>
      </c>
      <c r="H914">
        <v>53</v>
      </c>
      <c r="I914">
        <v>6</v>
      </c>
      <c r="J914">
        <v>58</v>
      </c>
      <c r="K914">
        <v>4</v>
      </c>
      <c r="L914" t="s">
        <v>44</v>
      </c>
      <c r="M914">
        <v>10.388877327688</v>
      </c>
      <c r="N914" t="s">
        <v>37</v>
      </c>
      <c r="O914" t="s">
        <v>29</v>
      </c>
      <c r="P914">
        <f>VLOOKUP(O914, Coordinates!$A$2:$C$6, 2, FALSE)</f>
        <v>29.760400000000001</v>
      </c>
      <c r="Q914">
        <f>VLOOKUP(O914, Coordinates!$A$2:$C$6, 3, FALSE)</f>
        <v>-95.369799999999998</v>
      </c>
      <c r="R914">
        <v>28</v>
      </c>
      <c r="S914">
        <v>380</v>
      </c>
      <c r="T914">
        <v>6</v>
      </c>
      <c r="U914">
        <v>13.4461983239154</v>
      </c>
      <c r="V914" t="s">
        <v>39</v>
      </c>
      <c r="W914">
        <v>0.25775489496228798</v>
      </c>
      <c r="X914" t="s">
        <v>40</v>
      </c>
      <c r="Y914" t="s">
        <v>32</v>
      </c>
      <c r="Z914">
        <v>123.794712196001</v>
      </c>
    </row>
    <row r="915" spans="1:26" x14ac:dyDescent="0.3">
      <c r="A915" t="s">
        <v>49</v>
      </c>
      <c r="B915" t="s">
        <v>971</v>
      </c>
      <c r="C915">
        <v>83.537892693446693</v>
      </c>
      <c r="D915">
        <v>100</v>
      </c>
      <c r="E915">
        <v>730</v>
      </c>
      <c r="F915">
        <v>4805.8156815317798</v>
      </c>
      <c r="H915">
        <v>15</v>
      </c>
      <c r="I915">
        <v>19</v>
      </c>
      <c r="J915">
        <v>63</v>
      </c>
      <c r="K915">
        <v>4</v>
      </c>
      <c r="L915" t="s">
        <v>27</v>
      </c>
      <c r="M915">
        <v>2.4709307374778602</v>
      </c>
      <c r="N915" t="s">
        <v>57</v>
      </c>
      <c r="O915" t="s">
        <v>67</v>
      </c>
      <c r="P915">
        <f>VLOOKUP(O915, Coordinates!$A$2:$C$6, 2, FALSE)</f>
        <v>40.712800000000001</v>
      </c>
      <c r="Q915">
        <f>VLOOKUP(O915, Coordinates!$A$2:$C$6, 3, FALSE)</f>
        <v>-74.006</v>
      </c>
      <c r="R915">
        <v>14</v>
      </c>
      <c r="S915">
        <v>533</v>
      </c>
      <c r="T915">
        <v>17</v>
      </c>
      <c r="U915">
        <v>29.1830489384812</v>
      </c>
      <c r="V915" t="s">
        <v>39</v>
      </c>
      <c r="W915">
        <v>0.63650118066207195</v>
      </c>
      <c r="X915" t="s">
        <v>46</v>
      </c>
      <c r="Y915" t="s">
        <v>60</v>
      </c>
      <c r="Z915">
        <v>324.33799556632198</v>
      </c>
    </row>
    <row r="916" spans="1:26" x14ac:dyDescent="0.3">
      <c r="A916" t="s">
        <v>24</v>
      </c>
      <c r="B916" t="s">
        <v>972</v>
      </c>
      <c r="C916">
        <v>24.940902029807599</v>
      </c>
      <c r="D916">
        <v>84</v>
      </c>
      <c r="E916">
        <v>19</v>
      </c>
      <c r="F916">
        <v>426.48942470971099</v>
      </c>
      <c r="G916" t="s">
        <v>35</v>
      </c>
      <c r="H916">
        <v>80</v>
      </c>
      <c r="I916">
        <v>7</v>
      </c>
      <c r="J916">
        <v>25</v>
      </c>
      <c r="K916">
        <v>5</v>
      </c>
      <c r="L916" t="s">
        <v>27</v>
      </c>
      <c r="M916">
        <v>13.473560902567099</v>
      </c>
      <c r="N916" t="s">
        <v>45</v>
      </c>
      <c r="O916" t="s">
        <v>38</v>
      </c>
      <c r="P916">
        <f>VLOOKUP(O916, Coordinates!$A$2:$C$6, 2, FALSE)</f>
        <v>25.761700000000001</v>
      </c>
      <c r="Q916">
        <f>VLOOKUP(O916, Coordinates!$A$2:$C$6, 3, FALSE)</f>
        <v>-80.191800000000001</v>
      </c>
      <c r="R916">
        <v>27</v>
      </c>
      <c r="S916">
        <v>441</v>
      </c>
      <c r="T916">
        <v>2</v>
      </c>
      <c r="U916">
        <v>85.766252011566095</v>
      </c>
      <c r="V916" t="s">
        <v>55</v>
      </c>
      <c r="W916">
        <v>3.66393520595016</v>
      </c>
      <c r="X916" t="s">
        <v>46</v>
      </c>
      <c r="Y916" t="s">
        <v>32</v>
      </c>
      <c r="Z916">
        <v>234.248847156267</v>
      </c>
    </row>
    <row r="917" spans="1:26" x14ac:dyDescent="0.3">
      <c r="A917" t="s">
        <v>82</v>
      </c>
      <c r="B917" t="s">
        <v>973</v>
      </c>
      <c r="C917">
        <v>58.673513979149</v>
      </c>
      <c r="D917">
        <v>52</v>
      </c>
      <c r="E917">
        <v>782</v>
      </c>
      <c r="F917">
        <v>4329.9899736397902</v>
      </c>
      <c r="G917" t="s">
        <v>54</v>
      </c>
      <c r="H917">
        <v>90</v>
      </c>
      <c r="I917">
        <v>24</v>
      </c>
      <c r="J917">
        <v>94</v>
      </c>
      <c r="K917">
        <v>10</v>
      </c>
      <c r="L917" t="s">
        <v>27</v>
      </c>
      <c r="M917">
        <v>7.0992091636910697</v>
      </c>
      <c r="N917" t="s">
        <v>57</v>
      </c>
      <c r="O917" t="s">
        <v>65</v>
      </c>
      <c r="P917">
        <f>VLOOKUP(O917, Coordinates!$A$2:$C$6, 2, FALSE)</f>
        <v>41.878100000000003</v>
      </c>
      <c r="Q917">
        <f>VLOOKUP(O917, Coordinates!$A$2:$C$6, 3, FALSE)</f>
        <v>-87.629800000000003</v>
      </c>
      <c r="R917">
        <v>26</v>
      </c>
      <c r="S917">
        <v>185</v>
      </c>
      <c r="T917">
        <v>2</v>
      </c>
      <c r="U917">
        <v>19.60189861449</v>
      </c>
      <c r="V917" t="s">
        <v>55</v>
      </c>
      <c r="W917">
        <v>0.23158469573325199</v>
      </c>
      <c r="X917" t="s">
        <v>31</v>
      </c>
      <c r="Y917" t="s">
        <v>60</v>
      </c>
      <c r="Z917">
        <v>100.903816978336</v>
      </c>
    </row>
    <row r="918" spans="1:26" x14ac:dyDescent="0.3">
      <c r="A918" t="s">
        <v>42</v>
      </c>
      <c r="B918" t="s">
        <v>974</v>
      </c>
      <c r="C918">
        <v>87.322058266163197</v>
      </c>
      <c r="D918">
        <v>19</v>
      </c>
      <c r="E918">
        <v>301</v>
      </c>
      <c r="F918">
        <v>7667.0188044460501</v>
      </c>
      <c r="G918" t="s">
        <v>54</v>
      </c>
      <c r="H918">
        <v>6</v>
      </c>
      <c r="I918">
        <v>5</v>
      </c>
      <c r="J918">
        <v>21</v>
      </c>
      <c r="K918">
        <v>5</v>
      </c>
      <c r="L918" t="s">
        <v>36</v>
      </c>
      <c r="M918">
        <v>13.8756842733215</v>
      </c>
      <c r="N918" t="s">
        <v>45</v>
      </c>
      <c r="O918" t="s">
        <v>38</v>
      </c>
      <c r="P918">
        <f>VLOOKUP(O918, Coordinates!$A$2:$C$6, 2, FALSE)</f>
        <v>25.761700000000001</v>
      </c>
      <c r="Q918">
        <f>VLOOKUP(O918, Coordinates!$A$2:$C$6, 3, FALSE)</f>
        <v>-80.191800000000001</v>
      </c>
      <c r="R918">
        <v>25</v>
      </c>
      <c r="S918">
        <v>686</v>
      </c>
      <c r="T918">
        <v>17</v>
      </c>
      <c r="U918">
        <v>11.3864944229264</v>
      </c>
      <c r="V918" t="s">
        <v>39</v>
      </c>
      <c r="W918">
        <v>4.25037080919902</v>
      </c>
      <c r="X918" t="s">
        <v>52</v>
      </c>
      <c r="Y918" t="s">
        <v>60</v>
      </c>
      <c r="Z918">
        <v>563.44669391202103</v>
      </c>
    </row>
    <row r="919" spans="1:26" x14ac:dyDescent="0.3">
      <c r="A919" t="s">
        <v>24</v>
      </c>
      <c r="B919" t="s">
        <v>975</v>
      </c>
      <c r="C919">
        <v>24.6596930801403</v>
      </c>
      <c r="D919">
        <v>44</v>
      </c>
      <c r="E919">
        <v>415</v>
      </c>
      <c r="F919">
        <v>9210.3953654324305</v>
      </c>
      <c r="G919" t="s">
        <v>48</v>
      </c>
      <c r="H919">
        <v>7</v>
      </c>
      <c r="I919">
        <v>21</v>
      </c>
      <c r="J919">
        <v>97</v>
      </c>
      <c r="K919">
        <v>1</v>
      </c>
      <c r="L919" t="s">
        <v>36</v>
      </c>
      <c r="M919">
        <v>10.8982440731228</v>
      </c>
      <c r="N919" t="s">
        <v>57</v>
      </c>
      <c r="O919" t="s">
        <v>38</v>
      </c>
      <c r="P919">
        <f>VLOOKUP(O919, Coordinates!$A$2:$C$6, 2, FALSE)</f>
        <v>25.761700000000001</v>
      </c>
      <c r="Q919">
        <f>VLOOKUP(O919, Coordinates!$A$2:$C$6, 3, FALSE)</f>
        <v>-80.191800000000001</v>
      </c>
      <c r="R919">
        <v>17</v>
      </c>
      <c r="S919">
        <v>878</v>
      </c>
      <c r="T919">
        <v>19</v>
      </c>
      <c r="U919">
        <v>91.062689851115707</v>
      </c>
      <c r="V919" t="s">
        <v>55</v>
      </c>
      <c r="W919">
        <v>1.66901541613072</v>
      </c>
      <c r="X919" t="s">
        <v>52</v>
      </c>
      <c r="Y919" t="s">
        <v>41</v>
      </c>
      <c r="Z919">
        <v>442.99690382433897</v>
      </c>
    </row>
    <row r="920" spans="1:26" x14ac:dyDescent="0.3">
      <c r="A920" t="s">
        <v>72</v>
      </c>
      <c r="B920" t="s">
        <v>976</v>
      </c>
      <c r="C920">
        <v>28.712962306687199</v>
      </c>
      <c r="D920">
        <v>7</v>
      </c>
      <c r="E920">
        <v>960</v>
      </c>
      <c r="F920">
        <v>24807.9994329777</v>
      </c>
      <c r="G920" t="s">
        <v>54</v>
      </c>
      <c r="H920">
        <v>71</v>
      </c>
      <c r="I920">
        <v>28</v>
      </c>
      <c r="J920">
        <v>17</v>
      </c>
      <c r="K920">
        <v>8</v>
      </c>
      <c r="L920" t="s">
        <v>44</v>
      </c>
      <c r="M920">
        <v>2.7004716693727402</v>
      </c>
      <c r="N920" t="s">
        <v>28</v>
      </c>
      <c r="O920" t="s">
        <v>58</v>
      </c>
      <c r="P920">
        <f>VLOOKUP(O920, Coordinates!$A$2:$C$6, 2, FALSE)</f>
        <v>34.052199999999999</v>
      </c>
      <c r="Q920">
        <f>VLOOKUP(O920, Coordinates!$A$2:$C$6, 3, FALSE)</f>
        <v>-118.2437</v>
      </c>
      <c r="R920">
        <v>2</v>
      </c>
      <c r="S920">
        <v>290</v>
      </c>
      <c r="T920">
        <v>5</v>
      </c>
      <c r="U920">
        <v>84.708823581744596</v>
      </c>
      <c r="V920" t="s">
        <v>30</v>
      </c>
      <c r="W920">
        <v>4.6772361482485501</v>
      </c>
      <c r="X920" t="s">
        <v>31</v>
      </c>
      <c r="Y920" t="s">
        <v>32</v>
      </c>
      <c r="Z920">
        <v>651.95221810503301</v>
      </c>
    </row>
    <row r="921" spans="1:26" x14ac:dyDescent="0.3">
      <c r="A921" t="s">
        <v>33</v>
      </c>
      <c r="B921" t="s">
        <v>977</v>
      </c>
      <c r="C921">
        <v>94.583462597524004</v>
      </c>
      <c r="D921">
        <v>44</v>
      </c>
      <c r="E921">
        <v>589</v>
      </c>
      <c r="F921">
        <v>7503.5055235100399</v>
      </c>
      <c r="G921" t="s">
        <v>35</v>
      </c>
      <c r="H921">
        <v>86</v>
      </c>
      <c r="I921">
        <v>18</v>
      </c>
      <c r="J921">
        <v>30</v>
      </c>
      <c r="K921">
        <v>10</v>
      </c>
      <c r="L921" t="s">
        <v>27</v>
      </c>
      <c r="M921">
        <v>9.1087525877077802</v>
      </c>
      <c r="N921" t="s">
        <v>57</v>
      </c>
      <c r="O921" t="s">
        <v>38</v>
      </c>
      <c r="P921">
        <f>VLOOKUP(O921, Coordinates!$A$2:$C$6, 2, FALSE)</f>
        <v>25.761700000000001</v>
      </c>
      <c r="Q921">
        <f>VLOOKUP(O921, Coordinates!$A$2:$C$6, 3, FALSE)</f>
        <v>-80.191800000000001</v>
      </c>
      <c r="R921">
        <v>22</v>
      </c>
      <c r="S921">
        <v>351</v>
      </c>
      <c r="T921">
        <v>4</v>
      </c>
      <c r="U921">
        <v>87.012686844457406</v>
      </c>
      <c r="V921" t="s">
        <v>30</v>
      </c>
      <c r="W921">
        <v>0.51380267700000004</v>
      </c>
      <c r="X921" t="s">
        <v>46</v>
      </c>
      <c r="Y921" t="s">
        <v>32</v>
      </c>
      <c r="Z921">
        <v>294.72780789157599</v>
      </c>
    </row>
    <row r="922" spans="1:26" x14ac:dyDescent="0.3">
      <c r="A922" t="s">
        <v>82</v>
      </c>
      <c r="B922" t="s">
        <v>978</v>
      </c>
      <c r="C922">
        <v>45.126529607508999</v>
      </c>
      <c r="D922">
        <v>68</v>
      </c>
      <c r="E922">
        <v>56</v>
      </c>
      <c r="F922">
        <v>2840.53904823516</v>
      </c>
      <c r="G922" t="s">
        <v>48</v>
      </c>
      <c r="H922">
        <v>95</v>
      </c>
      <c r="I922">
        <v>24</v>
      </c>
      <c r="J922">
        <v>57</v>
      </c>
      <c r="K922">
        <v>5</v>
      </c>
      <c r="L922" t="s">
        <v>36</v>
      </c>
      <c r="M922">
        <v>13.739082271185</v>
      </c>
      <c r="N922" t="s">
        <v>28</v>
      </c>
      <c r="O922" t="s">
        <v>65</v>
      </c>
      <c r="P922">
        <f>VLOOKUP(O922, Coordinates!$A$2:$C$6, 2, FALSE)</f>
        <v>41.878100000000003</v>
      </c>
      <c r="Q922">
        <f>VLOOKUP(O922, Coordinates!$A$2:$C$6, 3, FALSE)</f>
        <v>-87.629800000000003</v>
      </c>
      <c r="R922">
        <v>14</v>
      </c>
      <c r="S922">
        <v>167</v>
      </c>
      <c r="T922">
        <v>28</v>
      </c>
      <c r="U922">
        <v>77.503378378659406</v>
      </c>
      <c r="V922" t="s">
        <v>55</v>
      </c>
      <c r="W922">
        <v>4.6301766786783602</v>
      </c>
      <c r="X922" t="s">
        <v>52</v>
      </c>
      <c r="Y922" t="s">
        <v>60</v>
      </c>
      <c r="Z922">
        <v>847.94777792577099</v>
      </c>
    </row>
    <row r="923" spans="1:26" x14ac:dyDescent="0.3">
      <c r="A923" t="s">
        <v>42</v>
      </c>
      <c r="B923" t="s">
        <v>979</v>
      </c>
      <c r="C923">
        <v>40.844797833600701</v>
      </c>
      <c r="D923">
        <v>34</v>
      </c>
      <c r="E923">
        <v>919</v>
      </c>
      <c r="F923">
        <v>4041.7298131643001</v>
      </c>
      <c r="G923" t="s">
        <v>48</v>
      </c>
      <c r="H923">
        <v>5</v>
      </c>
      <c r="I923">
        <v>24</v>
      </c>
      <c r="J923">
        <v>17</v>
      </c>
      <c r="K923">
        <v>3</v>
      </c>
      <c r="L923" t="s">
        <v>44</v>
      </c>
      <c r="M923">
        <v>12.199587838368</v>
      </c>
      <c r="N923" t="s">
        <v>51</v>
      </c>
      <c r="O923" t="s">
        <v>67</v>
      </c>
      <c r="P923">
        <f>VLOOKUP(O923, Coordinates!$A$2:$C$6, 2, FALSE)</f>
        <v>40.712800000000001</v>
      </c>
      <c r="Q923">
        <f>VLOOKUP(O923, Coordinates!$A$2:$C$6, 3, FALSE)</f>
        <v>-74.006</v>
      </c>
      <c r="R923">
        <v>26</v>
      </c>
      <c r="S923">
        <v>964</v>
      </c>
      <c r="T923">
        <v>18</v>
      </c>
      <c r="U923">
        <v>61.585929533394598</v>
      </c>
      <c r="V923" t="s">
        <v>55</v>
      </c>
      <c r="W923">
        <v>0.43272808699729598</v>
      </c>
      <c r="X923" t="s">
        <v>52</v>
      </c>
      <c r="Y923" t="s">
        <v>41</v>
      </c>
      <c r="Z923">
        <v>444.846840561156</v>
      </c>
    </row>
    <row r="924" spans="1:26" x14ac:dyDescent="0.3">
      <c r="A924" t="s">
        <v>24</v>
      </c>
      <c r="B924" t="s">
        <v>980</v>
      </c>
      <c r="C924">
        <v>39.492951859778799</v>
      </c>
      <c r="D924">
        <v>66</v>
      </c>
      <c r="E924">
        <v>32</v>
      </c>
      <c r="F924">
        <v>1137.39701356163</v>
      </c>
      <c r="G924" t="s">
        <v>35</v>
      </c>
      <c r="H924">
        <v>37</v>
      </c>
      <c r="I924">
        <v>13</v>
      </c>
      <c r="J924">
        <v>37</v>
      </c>
      <c r="K924">
        <v>3</v>
      </c>
      <c r="L924" t="s">
        <v>36</v>
      </c>
      <c r="M924">
        <v>6.8517257059999999</v>
      </c>
      <c r="N924" t="s">
        <v>57</v>
      </c>
      <c r="O924" t="s">
        <v>29</v>
      </c>
      <c r="P924">
        <f>VLOOKUP(O924, Coordinates!$A$2:$C$6, 2, FALSE)</f>
        <v>29.760400000000001</v>
      </c>
      <c r="Q924">
        <f>VLOOKUP(O924, Coordinates!$A$2:$C$6, 3, FALSE)</f>
        <v>-95.369799999999998</v>
      </c>
      <c r="R924">
        <v>18</v>
      </c>
      <c r="S924">
        <v>245</v>
      </c>
      <c r="T924">
        <v>8</v>
      </c>
      <c r="U924">
        <v>80.585766599999999</v>
      </c>
      <c r="V924" t="s">
        <v>30</v>
      </c>
      <c r="W924">
        <v>3.0960867330221702</v>
      </c>
      <c r="X924" t="s">
        <v>46</v>
      </c>
      <c r="Y924" t="s">
        <v>41</v>
      </c>
      <c r="Z924">
        <v>534.61422704772804</v>
      </c>
    </row>
    <row r="925" spans="1:26" x14ac:dyDescent="0.3">
      <c r="A925" t="s">
        <v>42</v>
      </c>
      <c r="B925" t="s">
        <v>981</v>
      </c>
      <c r="C925">
        <v>69.138305809218394</v>
      </c>
      <c r="D925">
        <v>69</v>
      </c>
      <c r="E925">
        <v>581</v>
      </c>
      <c r="F925">
        <v>3977.1369228489002</v>
      </c>
      <c r="H925">
        <v>53</v>
      </c>
      <c r="I925">
        <v>1</v>
      </c>
      <c r="J925">
        <v>89</v>
      </c>
      <c r="K925">
        <v>4</v>
      </c>
      <c r="L925" t="s">
        <v>27</v>
      </c>
      <c r="M925">
        <v>14.3709015615546</v>
      </c>
      <c r="N925" t="s">
        <v>51</v>
      </c>
      <c r="O925" t="s">
        <v>29</v>
      </c>
      <c r="P925">
        <f>VLOOKUP(O925, Coordinates!$A$2:$C$6, 2, FALSE)</f>
        <v>29.760400000000001</v>
      </c>
      <c r="Q925">
        <f>VLOOKUP(O925, Coordinates!$A$2:$C$6, 3, FALSE)</f>
        <v>-95.369799999999998</v>
      </c>
      <c r="R925">
        <v>2</v>
      </c>
      <c r="S925">
        <v>975</v>
      </c>
      <c r="T925">
        <v>9</v>
      </c>
      <c r="U925">
        <v>33.028177651837801</v>
      </c>
      <c r="V925" t="s">
        <v>39</v>
      </c>
      <c r="W925">
        <v>1.2386516868816</v>
      </c>
      <c r="X925" t="s">
        <v>40</v>
      </c>
      <c r="Y925" t="s">
        <v>32</v>
      </c>
      <c r="Z925">
        <v>759.237345060542</v>
      </c>
    </row>
    <row r="926" spans="1:26" x14ac:dyDescent="0.3">
      <c r="A926" t="s">
        <v>72</v>
      </c>
      <c r="B926" t="s">
        <v>982</v>
      </c>
      <c r="C926">
        <v>23.0490761184553</v>
      </c>
      <c r="D926">
        <v>55</v>
      </c>
      <c r="E926">
        <v>21</v>
      </c>
      <c r="F926">
        <v>435.62753859999998</v>
      </c>
      <c r="G926" t="s">
        <v>48</v>
      </c>
      <c r="H926">
        <v>75</v>
      </c>
      <c r="I926">
        <v>10</v>
      </c>
      <c r="J926">
        <v>19</v>
      </c>
      <c r="K926">
        <v>10</v>
      </c>
      <c r="L926" t="s">
        <v>44</v>
      </c>
      <c r="M926">
        <v>4.7600665312213701</v>
      </c>
      <c r="N926" t="s">
        <v>37</v>
      </c>
      <c r="O926" t="s">
        <v>38</v>
      </c>
      <c r="P926">
        <f>VLOOKUP(O926, Coordinates!$A$2:$C$6, 2, FALSE)</f>
        <v>25.761700000000001</v>
      </c>
      <c r="Q926">
        <f>VLOOKUP(O926, Coordinates!$A$2:$C$6, 3, FALSE)</f>
        <v>-80.191800000000001</v>
      </c>
      <c r="R926">
        <v>20</v>
      </c>
      <c r="S926">
        <v>733</v>
      </c>
      <c r="T926">
        <v>24</v>
      </c>
      <c r="U926">
        <v>78.101940207348306</v>
      </c>
      <c r="V926" t="s">
        <v>39</v>
      </c>
      <c r="W926">
        <v>4.1340282324693698</v>
      </c>
      <c r="X926" t="s">
        <v>46</v>
      </c>
      <c r="Y926" t="s">
        <v>41</v>
      </c>
      <c r="Z926">
        <v>955.32379586135005</v>
      </c>
    </row>
    <row r="927" spans="1:26" x14ac:dyDescent="0.3">
      <c r="A927" t="s">
        <v>49</v>
      </c>
      <c r="B927" t="s">
        <v>983</v>
      </c>
      <c r="C927">
        <v>9.0177161761547104</v>
      </c>
      <c r="D927">
        <v>10</v>
      </c>
      <c r="E927">
        <v>355</v>
      </c>
      <c r="F927">
        <v>3964.1817182495902</v>
      </c>
      <c r="G927" t="s">
        <v>26</v>
      </c>
      <c r="H927">
        <v>14</v>
      </c>
      <c r="I927">
        <v>9</v>
      </c>
      <c r="J927">
        <v>61</v>
      </c>
      <c r="K927">
        <v>5</v>
      </c>
      <c r="L927" t="s">
        <v>27</v>
      </c>
      <c r="M927">
        <v>6.2515078464564198</v>
      </c>
      <c r="N927" t="s">
        <v>28</v>
      </c>
      <c r="O927" t="s">
        <v>38</v>
      </c>
      <c r="P927">
        <f>VLOOKUP(O927, Coordinates!$A$2:$C$6, 2, FALSE)</f>
        <v>25.761700000000001</v>
      </c>
      <c r="Q927">
        <f>VLOOKUP(O927, Coordinates!$A$2:$C$6, 3, FALSE)</f>
        <v>-80.191800000000001</v>
      </c>
      <c r="R927">
        <v>19</v>
      </c>
      <c r="S927">
        <v>653</v>
      </c>
      <c r="T927">
        <v>23</v>
      </c>
      <c r="U927">
        <v>67.710634827796895</v>
      </c>
      <c r="V927" t="s">
        <v>30</v>
      </c>
      <c r="W927">
        <v>0.30737413519984902</v>
      </c>
      <c r="X927" t="s">
        <v>31</v>
      </c>
      <c r="Y927" t="s">
        <v>32</v>
      </c>
      <c r="Z927">
        <v>336.10904285381298</v>
      </c>
    </row>
    <row r="928" spans="1:26" x14ac:dyDescent="0.3">
      <c r="A928" t="s">
        <v>42</v>
      </c>
      <c r="B928" t="s">
        <v>984</v>
      </c>
      <c r="C928">
        <v>58.639759840000004</v>
      </c>
      <c r="D928">
        <v>96</v>
      </c>
      <c r="E928">
        <v>970</v>
      </c>
      <c r="F928">
        <v>2244.0887810680301</v>
      </c>
      <c r="G928" t="s">
        <v>35</v>
      </c>
      <c r="H928">
        <v>0</v>
      </c>
      <c r="I928">
        <v>22</v>
      </c>
      <c r="J928">
        <v>24</v>
      </c>
      <c r="K928">
        <v>1</v>
      </c>
      <c r="L928" t="s">
        <v>27</v>
      </c>
      <c r="M928">
        <v>11.495998426015101</v>
      </c>
      <c r="N928" t="s">
        <v>57</v>
      </c>
      <c r="O928" t="s">
        <v>67</v>
      </c>
      <c r="P928">
        <f>VLOOKUP(O928, Coordinates!$A$2:$C$6, 2, FALSE)</f>
        <v>40.712800000000001</v>
      </c>
      <c r="Q928">
        <f>VLOOKUP(O928, Coordinates!$A$2:$C$6, 3, FALSE)</f>
        <v>-74.006</v>
      </c>
      <c r="R928">
        <v>24</v>
      </c>
      <c r="S928">
        <v>927</v>
      </c>
      <c r="T928">
        <v>26</v>
      </c>
      <c r="U928">
        <v>80.400597419999997</v>
      </c>
      <c r="V928" t="s">
        <v>55</v>
      </c>
      <c r="W928">
        <v>4.7625407788481198</v>
      </c>
      <c r="X928" t="s">
        <v>52</v>
      </c>
      <c r="Y928" t="s">
        <v>32</v>
      </c>
      <c r="Z928">
        <v>239.27679627676301</v>
      </c>
    </row>
    <row r="929" spans="1:26" x14ac:dyDescent="0.3">
      <c r="A929" t="s">
        <v>24</v>
      </c>
      <c r="B929" t="s">
        <v>985</v>
      </c>
      <c r="C929">
        <v>39.138860609066903</v>
      </c>
      <c r="D929">
        <v>42</v>
      </c>
      <c r="E929">
        <v>654</v>
      </c>
      <c r="F929">
        <v>23037.1333544968</v>
      </c>
      <c r="G929" t="s">
        <v>35</v>
      </c>
      <c r="H929">
        <v>49</v>
      </c>
      <c r="I929">
        <v>1</v>
      </c>
      <c r="J929">
        <v>13</v>
      </c>
      <c r="K929">
        <v>5</v>
      </c>
      <c r="L929" t="s">
        <v>36</v>
      </c>
      <c r="M929">
        <v>4.2606638010172198</v>
      </c>
      <c r="N929" t="s">
        <v>51</v>
      </c>
      <c r="O929" t="s">
        <v>29</v>
      </c>
      <c r="P929">
        <f>VLOOKUP(O929, Coordinates!$A$2:$C$6, 2, FALSE)</f>
        <v>29.760400000000001</v>
      </c>
      <c r="Q929">
        <f>VLOOKUP(O929, Coordinates!$A$2:$C$6, 3, FALSE)</f>
        <v>-95.369799999999998</v>
      </c>
      <c r="R929">
        <v>8</v>
      </c>
      <c r="S929">
        <v>761</v>
      </c>
      <c r="T929">
        <v>18</v>
      </c>
      <c r="U929">
        <v>86.236369294901493</v>
      </c>
      <c r="V929" t="s">
        <v>39</v>
      </c>
      <c r="W929">
        <v>0.23628600166450001</v>
      </c>
      <c r="X929" t="s">
        <v>40</v>
      </c>
      <c r="Y929" t="s">
        <v>41</v>
      </c>
      <c r="Z929">
        <v>791.27345160000004</v>
      </c>
    </row>
    <row r="930" spans="1:26" x14ac:dyDescent="0.3">
      <c r="A930" t="s">
        <v>42</v>
      </c>
      <c r="B930" t="s">
        <v>986</v>
      </c>
      <c r="C930">
        <v>85.203626728552706</v>
      </c>
      <c r="D930">
        <v>41</v>
      </c>
      <c r="E930">
        <v>835</v>
      </c>
      <c r="F930">
        <v>9819.2298950414206</v>
      </c>
      <c r="G930" t="s">
        <v>48</v>
      </c>
      <c r="H930">
        <v>55</v>
      </c>
      <c r="I930">
        <v>1</v>
      </c>
      <c r="J930">
        <v>99</v>
      </c>
      <c r="K930">
        <v>5</v>
      </c>
      <c r="L930" t="s">
        <v>44</v>
      </c>
      <c r="M930">
        <v>8.2152425789999999</v>
      </c>
      <c r="N930" t="s">
        <v>45</v>
      </c>
      <c r="O930" t="s">
        <v>38</v>
      </c>
      <c r="P930">
        <f>VLOOKUP(O930, Coordinates!$A$2:$C$6, 2, FALSE)</f>
        <v>25.761700000000001</v>
      </c>
      <c r="Q930">
        <f>VLOOKUP(O930, Coordinates!$A$2:$C$6, 3, FALSE)</f>
        <v>-80.191800000000001</v>
      </c>
      <c r="R930">
        <v>28</v>
      </c>
      <c r="S930">
        <v>673</v>
      </c>
      <c r="T930">
        <v>22</v>
      </c>
      <c r="U930">
        <v>73.761821990000001</v>
      </c>
      <c r="V930" t="s">
        <v>39</v>
      </c>
      <c r="W930">
        <v>4.3851368280099701</v>
      </c>
      <c r="X930" t="s">
        <v>31</v>
      </c>
      <c r="Y930" t="s">
        <v>60</v>
      </c>
      <c r="Z930">
        <v>187.76963298716399</v>
      </c>
    </row>
    <row r="931" spans="1:26" x14ac:dyDescent="0.3">
      <c r="A931" t="s">
        <v>42</v>
      </c>
      <c r="B931" t="s">
        <v>987</v>
      </c>
      <c r="C931">
        <v>69.205535914111906</v>
      </c>
      <c r="D931">
        <v>77</v>
      </c>
      <c r="E931">
        <v>233</v>
      </c>
      <c r="F931">
        <v>3032.9327164021802</v>
      </c>
      <c r="G931" t="s">
        <v>54</v>
      </c>
      <c r="H931">
        <v>94</v>
      </c>
      <c r="I931">
        <v>7</v>
      </c>
      <c r="J931">
        <v>88</v>
      </c>
      <c r="K931">
        <v>6</v>
      </c>
      <c r="L931" t="s">
        <v>44</v>
      </c>
      <c r="M931">
        <v>11.2030486614581</v>
      </c>
      <c r="N931" t="s">
        <v>51</v>
      </c>
      <c r="O931" t="s">
        <v>58</v>
      </c>
      <c r="P931">
        <f>VLOOKUP(O931, Coordinates!$A$2:$C$6, 2, FALSE)</f>
        <v>34.052199999999999</v>
      </c>
      <c r="Q931">
        <f>VLOOKUP(O931, Coordinates!$A$2:$C$6, 3, FALSE)</f>
        <v>-118.2437</v>
      </c>
      <c r="R931">
        <v>20</v>
      </c>
      <c r="S931">
        <v>354</v>
      </c>
      <c r="T931">
        <v>11</v>
      </c>
      <c r="U931">
        <v>76.845688908515598</v>
      </c>
      <c r="V931" t="s">
        <v>30</v>
      </c>
      <c r="W931">
        <v>2.3209236303369498</v>
      </c>
      <c r="X931" t="s">
        <v>46</v>
      </c>
      <c r="Y931" t="s">
        <v>32</v>
      </c>
      <c r="Z931">
        <v>540.10266621534299</v>
      </c>
    </row>
    <row r="932" spans="1:26" x14ac:dyDescent="0.3">
      <c r="A932" t="s">
        <v>42</v>
      </c>
      <c r="B932" t="s">
        <v>988</v>
      </c>
      <c r="C932">
        <v>18.216005644653301</v>
      </c>
      <c r="D932">
        <v>69</v>
      </c>
      <c r="E932">
        <v>770</v>
      </c>
      <c r="F932">
        <v>6509.4279304890597</v>
      </c>
      <c r="H932">
        <v>8</v>
      </c>
      <c r="I932">
        <v>4</v>
      </c>
      <c r="J932">
        <v>71</v>
      </c>
      <c r="K932">
        <v>7</v>
      </c>
      <c r="L932" t="s">
        <v>44</v>
      </c>
      <c r="M932">
        <v>10.015548725992801</v>
      </c>
      <c r="N932" t="s">
        <v>57</v>
      </c>
      <c r="O932" t="s">
        <v>38</v>
      </c>
      <c r="P932">
        <f>VLOOKUP(O932, Coordinates!$A$2:$C$6, 2, FALSE)</f>
        <v>25.761700000000001</v>
      </c>
      <c r="Q932">
        <f>VLOOKUP(O932, Coordinates!$A$2:$C$6, 3, FALSE)</f>
        <v>-80.191800000000001</v>
      </c>
      <c r="R932">
        <v>7</v>
      </c>
      <c r="S932">
        <v>230</v>
      </c>
      <c r="T932">
        <v>16</v>
      </c>
      <c r="U932">
        <v>60.307498083237</v>
      </c>
      <c r="V932" t="s">
        <v>30</v>
      </c>
      <c r="W932">
        <v>3.7802894328310699</v>
      </c>
      <c r="X932" t="s">
        <v>40</v>
      </c>
      <c r="Y932" t="s">
        <v>32</v>
      </c>
      <c r="Z932">
        <v>774.91867390000004</v>
      </c>
    </row>
    <row r="933" spans="1:26" x14ac:dyDescent="0.3">
      <c r="A933" t="s">
        <v>61</v>
      </c>
      <c r="B933" t="s">
        <v>989</v>
      </c>
      <c r="C933">
        <v>29.151981456125998</v>
      </c>
      <c r="D933">
        <v>10</v>
      </c>
      <c r="E933">
        <v>993</v>
      </c>
      <c r="F933">
        <v>4896.7574485573496</v>
      </c>
      <c r="G933" t="s">
        <v>54</v>
      </c>
      <c r="H933">
        <v>7</v>
      </c>
      <c r="I933">
        <v>28</v>
      </c>
      <c r="J933">
        <v>13</v>
      </c>
      <c r="K933">
        <v>5</v>
      </c>
      <c r="L933" t="s">
        <v>36</v>
      </c>
      <c r="M933">
        <v>3.1751787976935502</v>
      </c>
      <c r="N933" t="s">
        <v>37</v>
      </c>
      <c r="O933" t="s">
        <v>38</v>
      </c>
      <c r="P933">
        <f>VLOOKUP(O933, Coordinates!$A$2:$C$6, 2, FALSE)</f>
        <v>25.761700000000001</v>
      </c>
      <c r="Q933">
        <f>VLOOKUP(O933, Coordinates!$A$2:$C$6, 3, FALSE)</f>
        <v>-80.191800000000001</v>
      </c>
      <c r="R933">
        <v>25</v>
      </c>
      <c r="S933">
        <v>938</v>
      </c>
      <c r="T933">
        <v>16</v>
      </c>
      <c r="U933">
        <v>29.288727613288099</v>
      </c>
      <c r="V933" t="s">
        <v>30</v>
      </c>
      <c r="W933">
        <v>4.7555635877168401</v>
      </c>
      <c r="X933" t="s">
        <v>52</v>
      </c>
      <c r="Y933" t="s">
        <v>32</v>
      </c>
      <c r="Z933">
        <v>-50</v>
      </c>
    </row>
    <row r="934" spans="1:26" x14ac:dyDescent="0.3">
      <c r="A934" t="s">
        <v>61</v>
      </c>
      <c r="B934" t="s">
        <v>990</v>
      </c>
      <c r="C934">
        <v>88.173566522498504</v>
      </c>
      <c r="D934">
        <v>10</v>
      </c>
      <c r="E934">
        <v>214</v>
      </c>
      <c r="F934">
        <v>1639.2211088439301</v>
      </c>
      <c r="G934" t="s">
        <v>26</v>
      </c>
      <c r="H934">
        <v>18</v>
      </c>
      <c r="I934">
        <v>23</v>
      </c>
      <c r="J934">
        <v>50</v>
      </c>
      <c r="K934">
        <v>2</v>
      </c>
      <c r="L934" t="s">
        <v>44</v>
      </c>
      <c r="M934">
        <v>9.8152444257896807</v>
      </c>
      <c r="N934" t="s">
        <v>28</v>
      </c>
      <c r="O934" t="s">
        <v>65</v>
      </c>
      <c r="P934">
        <f>VLOOKUP(O934, Coordinates!$A$2:$C$6, 2, FALSE)</f>
        <v>41.878100000000003</v>
      </c>
      <c r="Q934">
        <f>VLOOKUP(O934, Coordinates!$A$2:$C$6, 3, FALSE)</f>
        <v>-87.629800000000003</v>
      </c>
      <c r="R934">
        <v>13</v>
      </c>
      <c r="S934">
        <v>476</v>
      </c>
      <c r="T934">
        <v>4</v>
      </c>
      <c r="U934">
        <v>58.526612875105698</v>
      </c>
      <c r="V934" t="s">
        <v>30</v>
      </c>
      <c r="W934">
        <v>2.140212156</v>
      </c>
      <c r="X934" t="s">
        <v>40</v>
      </c>
      <c r="Y934" t="s">
        <v>32</v>
      </c>
      <c r="Z934">
        <v>557.80920634032498</v>
      </c>
    </row>
    <row r="935" spans="1:26" x14ac:dyDescent="0.3">
      <c r="A935" t="s">
        <v>49</v>
      </c>
      <c r="B935" t="s">
        <v>991</v>
      </c>
      <c r="C935">
        <v>22.366687482405499</v>
      </c>
      <c r="D935">
        <v>91</v>
      </c>
      <c r="E935">
        <v>435</v>
      </c>
      <c r="F935">
        <v>5390.8894539825296</v>
      </c>
      <c r="G935" t="s">
        <v>54</v>
      </c>
      <c r="H935">
        <v>50</v>
      </c>
      <c r="I935">
        <v>21</v>
      </c>
      <c r="J935">
        <v>82</v>
      </c>
      <c r="K935">
        <v>2</v>
      </c>
      <c r="L935" t="s">
        <v>36</v>
      </c>
      <c r="M935">
        <v>9.0179474032714992</v>
      </c>
      <c r="N935" t="s">
        <v>45</v>
      </c>
      <c r="O935" t="s">
        <v>38</v>
      </c>
      <c r="P935">
        <f>VLOOKUP(O935, Coordinates!$A$2:$C$6, 2, FALSE)</f>
        <v>25.761700000000001</v>
      </c>
      <c r="Q935">
        <f>VLOOKUP(O935, Coordinates!$A$2:$C$6, 3, FALSE)</f>
        <v>-80.191800000000001</v>
      </c>
      <c r="R935">
        <v>25</v>
      </c>
      <c r="S935">
        <v>631</v>
      </c>
      <c r="T935">
        <v>21</v>
      </c>
      <c r="U935">
        <v>55.243439363377902</v>
      </c>
      <c r="V935" t="s">
        <v>55</v>
      </c>
      <c r="W935">
        <v>3.6546587139834301</v>
      </c>
      <c r="X935" t="s">
        <v>52</v>
      </c>
      <c r="Y935" t="s">
        <v>41</v>
      </c>
      <c r="Z935">
        <v>157.307273052006</v>
      </c>
    </row>
    <row r="936" spans="1:26" x14ac:dyDescent="0.3">
      <c r="A936" t="s">
        <v>82</v>
      </c>
      <c r="B936" t="s">
        <v>992</v>
      </c>
      <c r="C936">
        <v>31.451743783791201</v>
      </c>
      <c r="D936">
        <v>60</v>
      </c>
      <c r="E936">
        <v>298</v>
      </c>
      <c r="F936">
        <v>7319.47895783481</v>
      </c>
      <c r="G936" t="s">
        <v>48</v>
      </c>
      <c r="H936">
        <v>71</v>
      </c>
      <c r="I936">
        <v>12</v>
      </c>
      <c r="J936">
        <v>64</v>
      </c>
      <c r="K936">
        <v>9</v>
      </c>
      <c r="L936" t="s">
        <v>44</v>
      </c>
      <c r="M936">
        <v>8.8098275505475705</v>
      </c>
      <c r="N936" t="s">
        <v>51</v>
      </c>
      <c r="O936" t="s">
        <v>58</v>
      </c>
      <c r="P936">
        <f>VLOOKUP(O936, Coordinates!$A$2:$C$6, 2, FALSE)</f>
        <v>34.052199999999999</v>
      </c>
      <c r="Q936">
        <f>VLOOKUP(O936, Coordinates!$A$2:$C$6, 3, FALSE)</f>
        <v>-118.2437</v>
      </c>
      <c r="R936">
        <v>22</v>
      </c>
      <c r="S936">
        <v>298</v>
      </c>
      <c r="T936">
        <v>9</v>
      </c>
      <c r="U936">
        <v>52.8139086748116</v>
      </c>
      <c r="V936" t="s">
        <v>55</v>
      </c>
      <c r="W936">
        <v>3.6358127722261901</v>
      </c>
      <c r="X936" t="s">
        <v>46</v>
      </c>
      <c r="Y936" t="s">
        <v>41</v>
      </c>
      <c r="Z936">
        <v>935.14056233879001</v>
      </c>
    </row>
    <row r="937" spans="1:26" x14ac:dyDescent="0.3">
      <c r="A937" t="s">
        <v>42</v>
      </c>
      <c r="B937" t="s">
        <v>993</v>
      </c>
      <c r="C937">
        <v>17.3120618635669</v>
      </c>
      <c r="D937">
        <v>51</v>
      </c>
      <c r="E937">
        <v>910</v>
      </c>
      <c r="F937">
        <v>5618.9797824503603</v>
      </c>
      <c r="G937" t="s">
        <v>54</v>
      </c>
      <c r="H937">
        <v>4</v>
      </c>
      <c r="I937">
        <v>23</v>
      </c>
      <c r="J937">
        <v>37</v>
      </c>
      <c r="K937">
        <v>1</v>
      </c>
      <c r="L937" t="s">
        <v>36</v>
      </c>
      <c r="M937">
        <v>12.564660611521401</v>
      </c>
      <c r="N937" t="s">
        <v>57</v>
      </c>
      <c r="O937" t="s">
        <v>67</v>
      </c>
      <c r="P937">
        <f>VLOOKUP(O937, Coordinates!$A$2:$C$6, 2, FALSE)</f>
        <v>40.712800000000001</v>
      </c>
      <c r="Q937">
        <f>VLOOKUP(O937, Coordinates!$A$2:$C$6, 3, FALSE)</f>
        <v>-74.006</v>
      </c>
      <c r="R937">
        <v>7</v>
      </c>
      <c r="S937">
        <v>938</v>
      </c>
      <c r="T937">
        <v>13</v>
      </c>
      <c r="U937">
        <v>51.4575923920465</v>
      </c>
      <c r="V937" t="s">
        <v>39</v>
      </c>
      <c r="W937">
        <v>2.8558444764545299</v>
      </c>
      <c r="X937" t="s">
        <v>40</v>
      </c>
      <c r="Y937" t="s">
        <v>41</v>
      </c>
      <c r="Z937">
        <v>643.60692053644198</v>
      </c>
    </row>
    <row r="938" spans="1:26" x14ac:dyDescent="0.3">
      <c r="A938" t="s">
        <v>72</v>
      </c>
      <c r="B938" t="s">
        <v>994</v>
      </c>
      <c r="C938">
        <v>23.808381998946398</v>
      </c>
      <c r="D938">
        <v>21</v>
      </c>
      <c r="E938">
        <v>757</v>
      </c>
      <c r="F938">
        <v>16220.6506558822</v>
      </c>
      <c r="G938" t="s">
        <v>35</v>
      </c>
      <c r="H938">
        <v>56</v>
      </c>
      <c r="I938">
        <v>14</v>
      </c>
      <c r="J938">
        <v>56</v>
      </c>
      <c r="K938">
        <v>7</v>
      </c>
      <c r="L938" t="s">
        <v>44</v>
      </c>
      <c r="M938">
        <v>3.5745443153501899</v>
      </c>
      <c r="N938" t="s">
        <v>57</v>
      </c>
      <c r="O938" t="s">
        <v>65</v>
      </c>
      <c r="P938">
        <f>VLOOKUP(O938, Coordinates!$A$2:$C$6, 2, FALSE)</f>
        <v>41.878100000000003</v>
      </c>
      <c r="Q938">
        <f>VLOOKUP(O938, Coordinates!$A$2:$C$6, 3, FALSE)</f>
        <v>-87.629800000000003</v>
      </c>
      <c r="R938">
        <v>1</v>
      </c>
      <c r="S938">
        <v>320</v>
      </c>
      <c r="T938">
        <v>25</v>
      </c>
      <c r="U938">
        <v>83.497132017528997</v>
      </c>
      <c r="V938" t="s">
        <v>30</v>
      </c>
      <c r="W938">
        <v>3.4545958805040899</v>
      </c>
      <c r="X938" t="s">
        <v>40</v>
      </c>
      <c r="Y938" t="s">
        <v>41</v>
      </c>
      <c r="Z938">
        <v>700.76175524619396</v>
      </c>
    </row>
    <row r="939" spans="1:26" x14ac:dyDescent="0.3">
      <c r="A939" t="s">
        <v>82</v>
      </c>
      <c r="B939" t="s">
        <v>995</v>
      </c>
      <c r="C939">
        <v>94.678319009504904</v>
      </c>
      <c r="D939">
        <v>8</v>
      </c>
      <c r="E939">
        <v>586</v>
      </c>
      <c r="F939">
        <v>3600.4331499182399</v>
      </c>
      <c r="G939" t="s">
        <v>26</v>
      </c>
      <c r="H939">
        <v>67</v>
      </c>
      <c r="I939">
        <v>23</v>
      </c>
      <c r="J939">
        <v>18</v>
      </c>
      <c r="K939">
        <v>1</v>
      </c>
      <c r="L939" t="s">
        <v>36</v>
      </c>
      <c r="M939">
        <v>11.521923818608199</v>
      </c>
      <c r="N939" t="s">
        <v>28</v>
      </c>
      <c r="O939" t="s">
        <v>58</v>
      </c>
      <c r="P939">
        <f>VLOOKUP(O939, Coordinates!$A$2:$C$6, 2, FALSE)</f>
        <v>34.052199999999999</v>
      </c>
      <c r="Q939">
        <f>VLOOKUP(O939, Coordinates!$A$2:$C$6, 3, FALSE)</f>
        <v>-118.2437</v>
      </c>
      <c r="R939">
        <v>6</v>
      </c>
      <c r="S939">
        <v>509</v>
      </c>
      <c r="T939">
        <v>20</v>
      </c>
      <c r="U939">
        <v>26.460323637162801</v>
      </c>
      <c r="V939" t="s">
        <v>30</v>
      </c>
      <c r="W939">
        <v>0.19033341533088899</v>
      </c>
      <c r="X939" t="s">
        <v>40</v>
      </c>
      <c r="Y939" t="s">
        <v>32</v>
      </c>
      <c r="Z939">
        <v>789.21962462333204</v>
      </c>
    </row>
    <row r="940" spans="1:26" x14ac:dyDescent="0.3">
      <c r="A940" t="s">
        <v>72</v>
      </c>
      <c r="B940" t="s">
        <v>996</v>
      </c>
      <c r="C940">
        <v>37.728711556241102</v>
      </c>
      <c r="D940">
        <v>65</v>
      </c>
      <c r="E940">
        <v>108</v>
      </c>
      <c r="F940">
        <v>3667.2307632666302</v>
      </c>
      <c r="G940" t="s">
        <v>35</v>
      </c>
      <c r="H940">
        <v>30</v>
      </c>
      <c r="I940">
        <v>10</v>
      </c>
      <c r="J940">
        <v>11</v>
      </c>
      <c r="K940">
        <v>3</v>
      </c>
      <c r="L940" t="s">
        <v>27</v>
      </c>
      <c r="M940">
        <v>11.6529642482911</v>
      </c>
      <c r="N940" t="s">
        <v>45</v>
      </c>
      <c r="O940" t="s">
        <v>38</v>
      </c>
      <c r="P940">
        <f>VLOOKUP(O940, Coordinates!$A$2:$C$6, 2, FALSE)</f>
        <v>25.761700000000001</v>
      </c>
      <c r="Q940">
        <f>VLOOKUP(O940, Coordinates!$A$2:$C$6, 3, FALSE)</f>
        <v>-80.191800000000001</v>
      </c>
      <c r="R940">
        <v>25</v>
      </c>
      <c r="S940">
        <v>742</v>
      </c>
      <c r="T940">
        <v>8</v>
      </c>
      <c r="U940">
        <v>82.947520076441506</v>
      </c>
      <c r="V940" t="s">
        <v>39</v>
      </c>
      <c r="W940">
        <v>3.9571228602069302</v>
      </c>
      <c r="X940" t="s">
        <v>52</v>
      </c>
      <c r="Y940" t="s">
        <v>60</v>
      </c>
      <c r="Z940">
        <v>604.55602168336497</v>
      </c>
    </row>
    <row r="941" spans="1:26" x14ac:dyDescent="0.3">
      <c r="A941" t="s">
        <v>82</v>
      </c>
      <c r="B941" t="s">
        <v>997</v>
      </c>
      <c r="C941">
        <v>50.163627745756997</v>
      </c>
      <c r="D941">
        <v>92</v>
      </c>
      <c r="E941">
        <v>208</v>
      </c>
      <c r="F941">
        <v>9429.0905049220491</v>
      </c>
      <c r="G941" t="s">
        <v>35</v>
      </c>
      <c r="H941">
        <v>2</v>
      </c>
      <c r="I941">
        <v>14</v>
      </c>
      <c r="J941">
        <v>76</v>
      </c>
      <c r="K941">
        <v>10</v>
      </c>
      <c r="L941" t="s">
        <v>27</v>
      </c>
      <c r="M941">
        <v>11.1170361541321</v>
      </c>
      <c r="N941" t="s">
        <v>51</v>
      </c>
      <c r="O941" t="s">
        <v>65</v>
      </c>
      <c r="P941">
        <f>VLOOKUP(O941, Coordinates!$A$2:$C$6, 2, FALSE)</f>
        <v>41.878100000000003</v>
      </c>
      <c r="Q941">
        <f>VLOOKUP(O941, Coordinates!$A$2:$C$6, 3, FALSE)</f>
        <v>-87.629800000000003</v>
      </c>
      <c r="R941">
        <v>8</v>
      </c>
      <c r="S941">
        <v>270</v>
      </c>
      <c r="T941">
        <v>11</v>
      </c>
      <c r="U941">
        <v>31.823004489999999</v>
      </c>
      <c r="V941" t="s">
        <v>30</v>
      </c>
      <c r="W941">
        <v>3.9293034703001499</v>
      </c>
      <c r="X941" t="s">
        <v>46</v>
      </c>
      <c r="Y941" t="s">
        <v>60</v>
      </c>
      <c r="Z941">
        <v>557.76069663246506</v>
      </c>
    </row>
    <row r="942" spans="1:26" x14ac:dyDescent="0.3">
      <c r="A942" t="s">
        <v>49</v>
      </c>
      <c r="B942" t="s">
        <v>998</v>
      </c>
      <c r="C942">
        <v>65.262275272564395</v>
      </c>
      <c r="D942">
        <v>78</v>
      </c>
      <c r="E942">
        <v>57</v>
      </c>
      <c r="F942">
        <v>4403.76714575397</v>
      </c>
      <c r="G942" t="s">
        <v>35</v>
      </c>
      <c r="H942">
        <v>98</v>
      </c>
      <c r="I942">
        <v>7</v>
      </c>
      <c r="J942">
        <v>57</v>
      </c>
      <c r="K942">
        <v>7</v>
      </c>
      <c r="L942" t="s">
        <v>27</v>
      </c>
      <c r="M942">
        <v>8.083556389</v>
      </c>
      <c r="N942" t="s">
        <v>51</v>
      </c>
      <c r="O942" t="s">
        <v>29</v>
      </c>
      <c r="P942">
        <f>VLOOKUP(O942, Coordinates!$A$2:$C$6, 2, FALSE)</f>
        <v>29.760400000000001</v>
      </c>
      <c r="Q942">
        <f>VLOOKUP(O942, Coordinates!$A$2:$C$6, 3, FALSE)</f>
        <v>-95.369799999999998</v>
      </c>
      <c r="R942">
        <v>13</v>
      </c>
      <c r="S942">
        <v>244</v>
      </c>
      <c r="T942">
        <v>21</v>
      </c>
      <c r="U942">
        <v>33.7129104457605</v>
      </c>
      <c r="V942" t="s">
        <v>55</v>
      </c>
      <c r="W942">
        <v>2.37110572501365</v>
      </c>
      <c r="X942" t="s">
        <v>46</v>
      </c>
      <c r="Y942" t="s">
        <v>41</v>
      </c>
      <c r="Z942">
        <v>696.84871657301505</v>
      </c>
    </row>
    <row r="943" spans="1:26" x14ac:dyDescent="0.3">
      <c r="A943" t="s">
        <v>42</v>
      </c>
      <c r="B943" t="s">
        <v>999</v>
      </c>
      <c r="C943">
        <v>99.949293580484905</v>
      </c>
      <c r="D943">
        <v>85</v>
      </c>
      <c r="E943">
        <v>978</v>
      </c>
      <c r="F943">
        <v>6187.6499629999998</v>
      </c>
      <c r="H943">
        <v>82</v>
      </c>
      <c r="I943">
        <v>4</v>
      </c>
      <c r="J943">
        <v>78</v>
      </c>
      <c r="K943">
        <v>6</v>
      </c>
      <c r="L943" t="s">
        <v>44</v>
      </c>
      <c r="M943">
        <v>6.5375424683283203</v>
      </c>
      <c r="N943" t="s">
        <v>51</v>
      </c>
      <c r="O943" t="s">
        <v>58</v>
      </c>
      <c r="P943">
        <f>VLOOKUP(O943, Coordinates!$A$2:$C$6, 2, FALSE)</f>
        <v>34.052199999999999</v>
      </c>
      <c r="Q943">
        <f>VLOOKUP(O943, Coordinates!$A$2:$C$6, 3, FALSE)</f>
        <v>-118.2437</v>
      </c>
      <c r="R943">
        <v>23</v>
      </c>
      <c r="S943">
        <v>587</v>
      </c>
      <c r="T943">
        <v>9</v>
      </c>
      <c r="U943">
        <v>32.056827534374001</v>
      </c>
      <c r="V943" t="s">
        <v>55</v>
      </c>
      <c r="W943">
        <v>4.3675229211347402</v>
      </c>
      <c r="X943" t="s">
        <v>52</v>
      </c>
      <c r="Y943" t="s">
        <v>32</v>
      </c>
      <c r="Z943">
        <v>910.00735254036999</v>
      </c>
    </row>
    <row r="944" spans="1:26" x14ac:dyDescent="0.3">
      <c r="A944" t="s">
        <v>42</v>
      </c>
      <c r="B944" t="s">
        <v>1000</v>
      </c>
      <c r="C944">
        <v>14.956766174769299</v>
      </c>
      <c r="D944">
        <v>30</v>
      </c>
      <c r="E944">
        <v>944</v>
      </c>
      <c r="F944">
        <v>8128.0281351717604</v>
      </c>
      <c r="G944" t="s">
        <v>54</v>
      </c>
      <c r="H944">
        <v>42</v>
      </c>
      <c r="I944">
        <v>2</v>
      </c>
      <c r="J944">
        <v>83</v>
      </c>
      <c r="K944">
        <v>7</v>
      </c>
      <c r="L944" t="s">
        <v>36</v>
      </c>
      <c r="M944">
        <v>6.5254802410203103</v>
      </c>
      <c r="N944" t="s">
        <v>28</v>
      </c>
      <c r="O944" t="s">
        <v>29</v>
      </c>
      <c r="P944">
        <f>VLOOKUP(O944, Coordinates!$A$2:$C$6, 2, FALSE)</f>
        <v>29.760400000000001</v>
      </c>
      <c r="Q944">
        <f>VLOOKUP(O944, Coordinates!$A$2:$C$6, 3, FALSE)</f>
        <v>-95.369799999999998</v>
      </c>
      <c r="R944">
        <v>18</v>
      </c>
      <c r="S944">
        <v>951</v>
      </c>
      <c r="T944">
        <v>18</v>
      </c>
      <c r="U944">
        <v>28.983616136704299</v>
      </c>
      <c r="V944" t="s">
        <v>55</v>
      </c>
      <c r="W944">
        <v>4.1681893828235497</v>
      </c>
      <c r="X944" t="s">
        <v>40</v>
      </c>
      <c r="Y944" t="s">
        <v>41</v>
      </c>
      <c r="Z944">
        <v>674.64750678042606</v>
      </c>
    </row>
    <row r="945" spans="1:26" x14ac:dyDescent="0.3">
      <c r="A945" t="s">
        <v>33</v>
      </c>
      <c r="B945" t="s">
        <v>1001</v>
      </c>
      <c r="C945">
        <v>52.3642259530423</v>
      </c>
      <c r="D945">
        <v>85</v>
      </c>
      <c r="E945">
        <v>379</v>
      </c>
      <c r="F945">
        <v>3918.82297488022</v>
      </c>
      <c r="G945" t="s">
        <v>35</v>
      </c>
      <c r="H945">
        <v>28</v>
      </c>
      <c r="I945">
        <v>24</v>
      </c>
      <c r="J945">
        <v>37</v>
      </c>
      <c r="K945">
        <v>5</v>
      </c>
      <c r="L945" t="s">
        <v>27</v>
      </c>
      <c r="M945">
        <v>11.273321995191299</v>
      </c>
      <c r="N945" t="s">
        <v>28</v>
      </c>
      <c r="O945" t="s">
        <v>38</v>
      </c>
      <c r="P945">
        <f>VLOOKUP(O945, Coordinates!$A$2:$C$6, 2, FALSE)</f>
        <v>25.761700000000001</v>
      </c>
      <c r="Q945">
        <f>VLOOKUP(O945, Coordinates!$A$2:$C$6, 3, FALSE)</f>
        <v>-80.191800000000001</v>
      </c>
      <c r="R945">
        <v>14</v>
      </c>
      <c r="S945">
        <v>453</v>
      </c>
      <c r="T945">
        <v>20</v>
      </c>
      <c r="U945">
        <v>76.18798409</v>
      </c>
      <c r="V945" t="s">
        <v>30</v>
      </c>
      <c r="W945">
        <v>4.3172301508618203</v>
      </c>
      <c r="X945" t="s">
        <v>52</v>
      </c>
      <c r="Y945" t="s">
        <v>60</v>
      </c>
      <c r="Z945">
        <v>809.48957570000005</v>
      </c>
    </row>
    <row r="946" spans="1:26" x14ac:dyDescent="0.3">
      <c r="A946" t="s">
        <v>72</v>
      </c>
      <c r="B946" t="s">
        <v>1002</v>
      </c>
      <c r="C946">
        <v>36.605738649999999</v>
      </c>
      <c r="D946">
        <v>49</v>
      </c>
      <c r="E946">
        <v>846</v>
      </c>
      <c r="F946">
        <v>27871.609408862099</v>
      </c>
      <c r="G946" t="s">
        <v>54</v>
      </c>
      <c r="H946">
        <v>9</v>
      </c>
      <c r="I946">
        <v>18</v>
      </c>
      <c r="J946">
        <v>88</v>
      </c>
      <c r="K946">
        <v>8</v>
      </c>
      <c r="L946" t="s">
        <v>44</v>
      </c>
      <c r="M946">
        <v>7.9705538361601898</v>
      </c>
      <c r="N946" t="s">
        <v>45</v>
      </c>
      <c r="O946" t="s">
        <v>38</v>
      </c>
      <c r="P946">
        <f>VLOOKUP(O946, Coordinates!$A$2:$C$6, 2, FALSE)</f>
        <v>25.761700000000001</v>
      </c>
      <c r="Q946">
        <f>VLOOKUP(O946, Coordinates!$A$2:$C$6, 3, FALSE)</f>
        <v>-80.191800000000001</v>
      </c>
      <c r="R946">
        <v>28</v>
      </c>
      <c r="S946">
        <v>280</v>
      </c>
      <c r="T946">
        <v>3</v>
      </c>
      <c r="U946">
        <v>81.988143795319004</v>
      </c>
      <c r="V946" t="s">
        <v>39</v>
      </c>
      <c r="W946">
        <v>4.1116923533981602</v>
      </c>
      <c r="X946" t="s">
        <v>52</v>
      </c>
      <c r="Y946" t="s">
        <v>41</v>
      </c>
      <c r="Z946">
        <v>532.24457667223999</v>
      </c>
    </row>
    <row r="947" spans="1:26" x14ac:dyDescent="0.3">
      <c r="A947" t="s">
        <v>82</v>
      </c>
      <c r="B947" t="s">
        <v>1003</v>
      </c>
      <c r="C947">
        <v>87.252915696123694</v>
      </c>
      <c r="D947">
        <v>9</v>
      </c>
      <c r="E947">
        <v>58</v>
      </c>
      <c r="F947">
        <v>2218.76964836045</v>
      </c>
      <c r="G947" t="s">
        <v>35</v>
      </c>
      <c r="H947">
        <v>11</v>
      </c>
      <c r="I947">
        <v>16</v>
      </c>
      <c r="J947">
        <v>23</v>
      </c>
      <c r="K947">
        <v>6</v>
      </c>
      <c r="L947" t="s">
        <v>36</v>
      </c>
      <c r="M947">
        <v>5.7380721392329699</v>
      </c>
      <c r="N947" t="s">
        <v>51</v>
      </c>
      <c r="O947" t="s">
        <v>29</v>
      </c>
      <c r="P947">
        <f>VLOOKUP(O947, Coordinates!$A$2:$C$6, 2, FALSE)</f>
        <v>29.760400000000001</v>
      </c>
      <c r="Q947">
        <f>VLOOKUP(O947, Coordinates!$A$2:$C$6, 3, FALSE)</f>
        <v>-95.369799999999998</v>
      </c>
      <c r="R947">
        <v>29</v>
      </c>
      <c r="S947">
        <v>260</v>
      </c>
      <c r="T947">
        <v>23</v>
      </c>
      <c r="U947">
        <v>39.439829491531199</v>
      </c>
      <c r="V947" t="s">
        <v>30</v>
      </c>
      <c r="W947">
        <v>1.2207056228303499</v>
      </c>
      <c r="X947" t="s">
        <v>31</v>
      </c>
      <c r="Y947" t="s">
        <v>32</v>
      </c>
      <c r="Z947">
        <v>630.61474644829298</v>
      </c>
    </row>
    <row r="948" spans="1:26" x14ac:dyDescent="0.3">
      <c r="A948" t="s">
        <v>82</v>
      </c>
      <c r="B948" t="s">
        <v>1004</v>
      </c>
      <c r="C948">
        <v>50.216934446107302</v>
      </c>
      <c r="D948">
        <v>17</v>
      </c>
      <c r="E948">
        <v>280</v>
      </c>
      <c r="F948">
        <v>3621.6437248495399</v>
      </c>
      <c r="G948" t="s">
        <v>48</v>
      </c>
      <c r="H948">
        <v>45</v>
      </c>
      <c r="I948">
        <v>9</v>
      </c>
      <c r="J948">
        <v>55</v>
      </c>
      <c r="K948">
        <v>4</v>
      </c>
      <c r="L948" t="s">
        <v>27</v>
      </c>
      <c r="M948">
        <v>9.7565755816745003</v>
      </c>
      <c r="N948" t="s">
        <v>51</v>
      </c>
      <c r="O948" t="s">
        <v>38</v>
      </c>
      <c r="P948">
        <f>VLOOKUP(O948, Coordinates!$A$2:$C$6, 2, FALSE)</f>
        <v>25.761700000000001</v>
      </c>
      <c r="Q948">
        <f>VLOOKUP(O948, Coordinates!$A$2:$C$6, 3, FALSE)</f>
        <v>-80.191800000000001</v>
      </c>
      <c r="R948">
        <v>4</v>
      </c>
      <c r="S948">
        <v>563</v>
      </c>
      <c r="T948">
        <v>30</v>
      </c>
      <c r="U948">
        <v>37.461600249999996</v>
      </c>
      <c r="V948" t="s">
        <v>39</v>
      </c>
      <c r="W948">
        <v>0.14798636606065099</v>
      </c>
      <c r="X948" t="s">
        <v>46</v>
      </c>
      <c r="Y948" t="s">
        <v>32</v>
      </c>
      <c r="Z948">
        <v>262.13467962945799</v>
      </c>
    </row>
    <row r="949" spans="1:26" x14ac:dyDescent="0.3">
      <c r="A949" t="s">
        <v>61</v>
      </c>
      <c r="B949" t="s">
        <v>1005</v>
      </c>
      <c r="C949">
        <v>15.542864835589</v>
      </c>
      <c r="D949">
        <v>69</v>
      </c>
      <c r="E949">
        <v>339</v>
      </c>
      <c r="F949">
        <v>2302.39572522867</v>
      </c>
      <c r="G949" t="s">
        <v>35</v>
      </c>
      <c r="H949">
        <v>29</v>
      </c>
      <c r="I949">
        <v>5</v>
      </c>
      <c r="J949">
        <v>96</v>
      </c>
      <c r="K949">
        <v>1</v>
      </c>
      <c r="L949" t="s">
        <v>27</v>
      </c>
      <c r="M949">
        <v>12.718157647042201</v>
      </c>
      <c r="N949" t="s">
        <v>45</v>
      </c>
      <c r="O949" t="s">
        <v>38</v>
      </c>
      <c r="P949">
        <f>VLOOKUP(O949, Coordinates!$A$2:$C$6, 2, FALSE)</f>
        <v>25.761700000000001</v>
      </c>
      <c r="Q949">
        <f>VLOOKUP(O949, Coordinates!$A$2:$C$6, 3, FALSE)</f>
        <v>-80.191800000000001</v>
      </c>
      <c r="R949">
        <v>28</v>
      </c>
      <c r="S949">
        <v>159</v>
      </c>
      <c r="T949">
        <v>18</v>
      </c>
      <c r="U949">
        <v>85.962911477725697</v>
      </c>
      <c r="V949" t="s">
        <v>39</v>
      </c>
      <c r="W949">
        <v>4.9154240273005199</v>
      </c>
      <c r="X949" t="s">
        <v>52</v>
      </c>
      <c r="Y949" t="s">
        <v>32</v>
      </c>
      <c r="Z949">
        <v>539.66624133423795</v>
      </c>
    </row>
    <row r="950" spans="1:26" x14ac:dyDescent="0.3">
      <c r="A950" t="s">
        <v>33</v>
      </c>
      <c r="B950" t="s">
        <v>1006</v>
      </c>
      <c r="C950">
        <v>65.270293802225396</v>
      </c>
      <c r="D950">
        <v>58</v>
      </c>
      <c r="E950">
        <v>35</v>
      </c>
      <c r="F950">
        <v>8301.0750260000004</v>
      </c>
      <c r="G950" t="s">
        <v>48</v>
      </c>
      <c r="H950">
        <v>93</v>
      </c>
      <c r="I950">
        <v>9</v>
      </c>
      <c r="J950">
        <v>22</v>
      </c>
      <c r="K950">
        <v>2</v>
      </c>
      <c r="L950" t="s">
        <v>44</v>
      </c>
      <c r="M950">
        <v>1.8611223763559399</v>
      </c>
      <c r="N950" t="s">
        <v>45</v>
      </c>
      <c r="O950" t="s">
        <v>38</v>
      </c>
      <c r="P950">
        <f>VLOOKUP(O950, Coordinates!$A$2:$C$6, 2, FALSE)</f>
        <v>25.761700000000001</v>
      </c>
      <c r="Q950">
        <f>VLOOKUP(O950, Coordinates!$A$2:$C$6, 3, FALSE)</f>
        <v>-80.191800000000001</v>
      </c>
      <c r="R950">
        <v>25</v>
      </c>
      <c r="S950">
        <v>314</v>
      </c>
      <c r="T950">
        <v>19</v>
      </c>
      <c r="U950">
        <v>66.153151149999999</v>
      </c>
      <c r="V950" t="s">
        <v>55</v>
      </c>
      <c r="W950">
        <v>3.8769833867281598</v>
      </c>
      <c r="X950" t="s">
        <v>40</v>
      </c>
      <c r="Y950" t="s">
        <v>41</v>
      </c>
      <c r="Z950">
        <v>234.00092527439301</v>
      </c>
    </row>
    <row r="951" spans="1:26" x14ac:dyDescent="0.3">
      <c r="A951" t="s">
        <v>24</v>
      </c>
      <c r="B951" t="s">
        <v>1007</v>
      </c>
      <c r="C951">
        <v>37.646413714299797</v>
      </c>
      <c r="D951">
        <v>57</v>
      </c>
      <c r="E951">
        <v>139</v>
      </c>
      <c r="F951">
        <v>4709.5663556589097</v>
      </c>
      <c r="G951" t="s">
        <v>54</v>
      </c>
      <c r="H951">
        <v>81</v>
      </c>
      <c r="I951">
        <v>25</v>
      </c>
      <c r="J951">
        <v>25</v>
      </c>
      <c r="K951">
        <v>6</v>
      </c>
      <c r="L951" t="s">
        <v>36</v>
      </c>
      <c r="M951">
        <v>14.609917408800101</v>
      </c>
      <c r="N951" t="s">
        <v>45</v>
      </c>
      <c r="O951" t="s">
        <v>38</v>
      </c>
      <c r="P951">
        <f>VLOOKUP(O951, Coordinates!$A$2:$C$6, 2, FALSE)</f>
        <v>25.761700000000001</v>
      </c>
      <c r="Q951">
        <f>VLOOKUP(O951, Coordinates!$A$2:$C$6, 3, FALSE)</f>
        <v>-80.191800000000001</v>
      </c>
      <c r="R951">
        <v>26</v>
      </c>
      <c r="S951">
        <v>679</v>
      </c>
      <c r="T951">
        <v>9</v>
      </c>
      <c r="U951">
        <v>88.432244317751596</v>
      </c>
      <c r="V951" t="s">
        <v>39</v>
      </c>
      <c r="W951">
        <v>3.8907320683748399</v>
      </c>
      <c r="X951" t="s">
        <v>52</v>
      </c>
      <c r="Y951" t="s">
        <v>60</v>
      </c>
      <c r="Z951">
        <v>520.31930155133296</v>
      </c>
    </row>
    <row r="952" spans="1:26" x14ac:dyDescent="0.3">
      <c r="A952" t="s">
        <v>24</v>
      </c>
      <c r="B952" t="s">
        <v>1008</v>
      </c>
      <c r="C952">
        <v>37.835274815113301</v>
      </c>
      <c r="D952">
        <v>62</v>
      </c>
      <c r="E952">
        <v>62</v>
      </c>
      <c r="F952">
        <v>2111.2083346833201</v>
      </c>
      <c r="G952" t="s">
        <v>26</v>
      </c>
      <c r="H952">
        <v>87</v>
      </c>
      <c r="I952">
        <v>30</v>
      </c>
      <c r="J952">
        <v>49</v>
      </c>
      <c r="K952">
        <v>4</v>
      </c>
      <c r="L952" t="s">
        <v>44</v>
      </c>
      <c r="M952">
        <v>2.3531271541466601</v>
      </c>
      <c r="N952" t="s">
        <v>57</v>
      </c>
      <c r="O952" t="s">
        <v>67</v>
      </c>
      <c r="P952">
        <f>VLOOKUP(O952, Coordinates!$A$2:$C$6, 2, FALSE)</f>
        <v>40.712800000000001</v>
      </c>
      <c r="Q952">
        <f>VLOOKUP(O952, Coordinates!$A$2:$C$6, 3, FALSE)</f>
        <v>-74.006</v>
      </c>
      <c r="R952">
        <v>14</v>
      </c>
      <c r="S952">
        <v>972</v>
      </c>
      <c r="T952">
        <v>24</v>
      </c>
      <c r="U952">
        <v>85.379928737751698</v>
      </c>
      <c r="V952" t="s">
        <v>30</v>
      </c>
      <c r="W952">
        <v>1.3746322361421801</v>
      </c>
      <c r="X952" t="s">
        <v>52</v>
      </c>
      <c r="Y952" t="s">
        <v>32</v>
      </c>
      <c r="Z952">
        <v>158.45651528247299</v>
      </c>
    </row>
    <row r="953" spans="1:26" x14ac:dyDescent="0.3">
      <c r="A953" t="s">
        <v>61</v>
      </c>
      <c r="B953" t="s">
        <v>1009</v>
      </c>
      <c r="C953">
        <v>86.600885114959794</v>
      </c>
      <c r="D953">
        <v>95</v>
      </c>
      <c r="E953">
        <v>109</v>
      </c>
      <c r="F953">
        <v>9489.6855752108695</v>
      </c>
      <c r="G953" t="s">
        <v>54</v>
      </c>
      <c r="H953">
        <v>31</v>
      </c>
      <c r="I953">
        <v>8</v>
      </c>
      <c r="J953">
        <v>81</v>
      </c>
      <c r="K953">
        <v>3</v>
      </c>
      <c r="L953" t="s">
        <v>27</v>
      </c>
      <c r="M953">
        <v>8.1643336898408503</v>
      </c>
      <c r="N953" t="s">
        <v>45</v>
      </c>
      <c r="O953" t="s">
        <v>38</v>
      </c>
      <c r="P953">
        <f>VLOOKUP(O953, Coordinates!$A$2:$C$6, 2, FALSE)</f>
        <v>25.761700000000001</v>
      </c>
      <c r="Q953">
        <f>VLOOKUP(O953, Coordinates!$A$2:$C$6, 3, FALSE)</f>
        <v>-80.191800000000001</v>
      </c>
      <c r="R953">
        <v>26</v>
      </c>
      <c r="S953">
        <v>291</v>
      </c>
      <c r="T953">
        <v>18</v>
      </c>
      <c r="U953">
        <v>41.013352920985</v>
      </c>
      <c r="V953" t="s">
        <v>39</v>
      </c>
      <c r="W953">
        <v>4.4890928407428099</v>
      </c>
      <c r="X953" t="s">
        <v>52</v>
      </c>
      <c r="Y953" t="s">
        <v>60</v>
      </c>
      <c r="Z953">
        <v>618.58663934304104</v>
      </c>
    </row>
    <row r="954" spans="1:26" x14ac:dyDescent="0.3">
      <c r="A954" t="s">
        <v>61</v>
      </c>
      <c r="B954" t="s">
        <v>1010</v>
      </c>
      <c r="C954">
        <v>22.6721850005382</v>
      </c>
      <c r="D954">
        <v>52</v>
      </c>
      <c r="E954">
        <v>270</v>
      </c>
      <c r="F954">
        <v>5749.9498816198902</v>
      </c>
      <c r="G954" t="s">
        <v>26</v>
      </c>
      <c r="H954">
        <v>72</v>
      </c>
      <c r="I954">
        <v>24</v>
      </c>
      <c r="J954">
        <v>90</v>
      </c>
      <c r="K954">
        <v>7</v>
      </c>
      <c r="L954" t="s">
        <v>44</v>
      </c>
      <c r="M954">
        <v>8.8429336165291392</v>
      </c>
      <c r="N954" t="s">
        <v>37</v>
      </c>
      <c r="O954" t="s">
        <v>67</v>
      </c>
      <c r="P954">
        <f>VLOOKUP(O954, Coordinates!$A$2:$C$6, 2, FALSE)</f>
        <v>40.712800000000001</v>
      </c>
      <c r="Q954">
        <f>VLOOKUP(O954, Coordinates!$A$2:$C$6, 3, FALSE)</f>
        <v>-74.006</v>
      </c>
      <c r="R954">
        <v>15</v>
      </c>
      <c r="S954">
        <v>587</v>
      </c>
      <c r="T954">
        <v>22</v>
      </c>
      <c r="U954">
        <v>62.790005290795499</v>
      </c>
      <c r="V954" t="s">
        <v>30</v>
      </c>
      <c r="W954">
        <v>1.3062900480505399</v>
      </c>
      <c r="X954" t="s">
        <v>40</v>
      </c>
      <c r="Y954" t="s">
        <v>60</v>
      </c>
      <c r="Z954">
        <v>358.06190255192001</v>
      </c>
    </row>
    <row r="955" spans="1:26" x14ac:dyDescent="0.3">
      <c r="A955" t="s">
        <v>61</v>
      </c>
      <c r="B955" t="s">
        <v>1011</v>
      </c>
      <c r="C955">
        <v>57.446589639999999</v>
      </c>
      <c r="D955">
        <v>61</v>
      </c>
      <c r="E955">
        <v>526</v>
      </c>
      <c r="F955">
        <v>5860.2627303461804</v>
      </c>
      <c r="G955" t="s">
        <v>26</v>
      </c>
      <c r="H955">
        <v>46</v>
      </c>
      <c r="I955">
        <v>20</v>
      </c>
      <c r="J955">
        <v>39</v>
      </c>
      <c r="K955">
        <v>7</v>
      </c>
      <c r="L955" t="s">
        <v>44</v>
      </c>
      <c r="M955">
        <v>2.9349498750588698</v>
      </c>
      <c r="N955" t="s">
        <v>28</v>
      </c>
      <c r="O955" t="s">
        <v>67</v>
      </c>
      <c r="P955">
        <f>VLOOKUP(O955, Coordinates!$A$2:$C$6, 2, FALSE)</f>
        <v>40.712800000000001</v>
      </c>
      <c r="Q955">
        <f>VLOOKUP(O955, Coordinates!$A$2:$C$6, 3, FALSE)</f>
        <v>-74.006</v>
      </c>
      <c r="R955">
        <v>11</v>
      </c>
      <c r="S955">
        <v>324</v>
      </c>
      <c r="T955">
        <v>16</v>
      </c>
      <c r="U955">
        <v>99.337062698902102</v>
      </c>
      <c r="V955" t="s">
        <v>39</v>
      </c>
      <c r="W955">
        <v>0.490978331038536</v>
      </c>
      <c r="X955" t="s">
        <v>31</v>
      </c>
      <c r="Y955" t="s">
        <v>41</v>
      </c>
      <c r="Z955">
        <v>-50</v>
      </c>
    </row>
    <row r="956" spans="1:26" x14ac:dyDescent="0.3">
      <c r="A956" t="s">
        <v>72</v>
      </c>
      <c r="B956" t="s">
        <v>1012</v>
      </c>
      <c r="C956">
        <v>24.3627235253383</v>
      </c>
      <c r="D956">
        <v>40</v>
      </c>
      <c r="E956">
        <v>500</v>
      </c>
      <c r="F956">
        <v>10963.225586402201</v>
      </c>
      <c r="G956" t="s">
        <v>35</v>
      </c>
      <c r="H956">
        <v>87</v>
      </c>
      <c r="I956">
        <v>16</v>
      </c>
      <c r="J956">
        <v>90</v>
      </c>
      <c r="K956">
        <v>2</v>
      </c>
      <c r="L956" t="s">
        <v>27</v>
      </c>
      <c r="M956">
        <v>13.818312542247501</v>
      </c>
      <c r="N956" t="s">
        <v>45</v>
      </c>
      <c r="O956" t="s">
        <v>38</v>
      </c>
      <c r="P956">
        <f>VLOOKUP(O956, Coordinates!$A$2:$C$6, 2, FALSE)</f>
        <v>25.761700000000001</v>
      </c>
      <c r="Q956">
        <f>VLOOKUP(O956, Coordinates!$A$2:$C$6, 3, FALSE)</f>
        <v>-80.191800000000001</v>
      </c>
      <c r="R956">
        <v>28</v>
      </c>
      <c r="S956">
        <v>491</v>
      </c>
      <c r="T956">
        <v>14</v>
      </c>
      <c r="U956">
        <v>85.744773147654897</v>
      </c>
      <c r="V956" t="s">
        <v>39</v>
      </c>
      <c r="W956">
        <v>4.5907287391690996</v>
      </c>
      <c r="X956" t="s">
        <v>52</v>
      </c>
      <c r="Y956" t="s">
        <v>41</v>
      </c>
      <c r="Z956">
        <v>438.63735559999998</v>
      </c>
    </row>
    <row r="957" spans="1:26" x14ac:dyDescent="0.3">
      <c r="A957" t="s">
        <v>72</v>
      </c>
      <c r="B957" t="s">
        <v>1013</v>
      </c>
      <c r="C957">
        <v>35.574034235870897</v>
      </c>
      <c r="D957">
        <v>38</v>
      </c>
      <c r="E957">
        <v>257</v>
      </c>
      <c r="F957">
        <v>8228.2741187569409</v>
      </c>
      <c r="G957" t="s">
        <v>26</v>
      </c>
      <c r="H957">
        <v>62</v>
      </c>
      <c r="I957">
        <v>30</v>
      </c>
      <c r="J957">
        <v>74</v>
      </c>
      <c r="K957">
        <v>8</v>
      </c>
      <c r="L957" t="s">
        <v>27</v>
      </c>
      <c r="M957">
        <v>7.6005390820949099</v>
      </c>
      <c r="N957" t="s">
        <v>57</v>
      </c>
      <c r="O957" t="s">
        <v>29</v>
      </c>
      <c r="P957">
        <f>VLOOKUP(O957, Coordinates!$A$2:$C$6, 2, FALSE)</f>
        <v>29.760400000000001</v>
      </c>
      <c r="Q957">
        <f>VLOOKUP(O957, Coordinates!$A$2:$C$6, 3, FALSE)</f>
        <v>-95.369799999999998</v>
      </c>
      <c r="R957">
        <v>23</v>
      </c>
      <c r="S957">
        <v>808</v>
      </c>
      <c r="T957">
        <v>19</v>
      </c>
      <c r="U957">
        <v>81.162496025198607</v>
      </c>
      <c r="V957" t="s">
        <v>55</v>
      </c>
      <c r="W957">
        <v>4.8341205916838703</v>
      </c>
      <c r="X957" t="s">
        <v>46</v>
      </c>
      <c r="Y957" t="s">
        <v>60</v>
      </c>
      <c r="Z957">
        <v>925.99592590724296</v>
      </c>
    </row>
    <row r="958" spans="1:26" x14ac:dyDescent="0.3">
      <c r="A958" t="s">
        <v>49</v>
      </c>
      <c r="B958" t="s">
        <v>1014</v>
      </c>
      <c r="C958">
        <v>40.2603534046454</v>
      </c>
      <c r="D958">
        <v>43</v>
      </c>
      <c r="E958">
        <v>299</v>
      </c>
      <c r="F958">
        <v>5280.8952783242503</v>
      </c>
      <c r="G958" t="s">
        <v>54</v>
      </c>
      <c r="H958">
        <v>25</v>
      </c>
      <c r="I958">
        <v>20</v>
      </c>
      <c r="J958">
        <v>67</v>
      </c>
      <c r="K958">
        <v>1</v>
      </c>
      <c r="L958" t="s">
        <v>36</v>
      </c>
      <c r="M958">
        <v>3.0036872024455001</v>
      </c>
      <c r="N958" t="s">
        <v>37</v>
      </c>
      <c r="O958" t="s">
        <v>58</v>
      </c>
      <c r="P958">
        <f>VLOOKUP(O958, Coordinates!$A$2:$C$6, 2, FALSE)</f>
        <v>34.052199999999999</v>
      </c>
      <c r="Q958">
        <f>VLOOKUP(O958, Coordinates!$A$2:$C$6, 3, FALSE)</f>
        <v>-118.2437</v>
      </c>
      <c r="R958">
        <v>24</v>
      </c>
      <c r="S958">
        <v>260</v>
      </c>
      <c r="T958">
        <v>28</v>
      </c>
      <c r="U958">
        <v>38.858717285622802</v>
      </c>
      <c r="V958" t="s">
        <v>30</v>
      </c>
      <c r="W958">
        <v>3.49131186031908</v>
      </c>
      <c r="X958" t="s">
        <v>52</v>
      </c>
      <c r="Y958" t="s">
        <v>32</v>
      </c>
      <c r="Z958">
        <v>525.59887430000003</v>
      </c>
    </row>
    <row r="959" spans="1:26" x14ac:dyDescent="0.3">
      <c r="A959" t="s">
        <v>49</v>
      </c>
      <c r="B959" t="s">
        <v>1015</v>
      </c>
      <c r="C959">
        <v>87.627501784762501</v>
      </c>
      <c r="D959">
        <v>63</v>
      </c>
      <c r="E959">
        <v>672</v>
      </c>
      <c r="F959">
        <v>6425.2677904008297</v>
      </c>
      <c r="G959" t="s">
        <v>35</v>
      </c>
      <c r="H959">
        <v>2</v>
      </c>
      <c r="I959">
        <v>30</v>
      </c>
      <c r="J959">
        <v>97</v>
      </c>
      <c r="K959">
        <v>10</v>
      </c>
      <c r="L959" t="s">
        <v>36</v>
      </c>
      <c r="M959">
        <v>10.962573639868699</v>
      </c>
      <c r="N959" t="s">
        <v>57</v>
      </c>
      <c r="O959" t="s">
        <v>38</v>
      </c>
      <c r="P959">
        <f>VLOOKUP(O959, Coordinates!$A$2:$C$6, 2, FALSE)</f>
        <v>25.761700000000001</v>
      </c>
      <c r="Q959">
        <f>VLOOKUP(O959, Coordinates!$A$2:$C$6, 3, FALSE)</f>
        <v>-80.191800000000001</v>
      </c>
      <c r="R959">
        <v>30</v>
      </c>
      <c r="S959">
        <v>860</v>
      </c>
      <c r="T959">
        <v>29</v>
      </c>
      <c r="U959">
        <v>58.625803390000002</v>
      </c>
      <c r="V959" t="s">
        <v>30</v>
      </c>
      <c r="W959">
        <v>3.5345039490393999</v>
      </c>
      <c r="X959" t="s">
        <v>31</v>
      </c>
      <c r="Y959" t="s">
        <v>32</v>
      </c>
      <c r="Z959">
        <v>863.98571505119401</v>
      </c>
    </row>
    <row r="960" spans="1:26" x14ac:dyDescent="0.3">
      <c r="A960" t="s">
        <v>61</v>
      </c>
      <c r="B960" t="s">
        <v>1016</v>
      </c>
      <c r="C960">
        <v>74.397154291085002</v>
      </c>
      <c r="D960">
        <v>19</v>
      </c>
      <c r="E960">
        <v>162</v>
      </c>
      <c r="F960">
        <v>9873.9241495359292</v>
      </c>
      <c r="G960" t="s">
        <v>26</v>
      </c>
      <c r="H960">
        <v>22</v>
      </c>
      <c r="I960">
        <v>18</v>
      </c>
      <c r="J960">
        <v>57</v>
      </c>
      <c r="K960">
        <v>7</v>
      </c>
      <c r="L960" t="s">
        <v>27</v>
      </c>
      <c r="M960">
        <v>10.287660833396499</v>
      </c>
      <c r="N960" t="s">
        <v>57</v>
      </c>
      <c r="O960" t="s">
        <v>58</v>
      </c>
      <c r="P960">
        <f>VLOOKUP(O960, Coordinates!$A$2:$C$6, 2, FALSE)</f>
        <v>34.052199999999999</v>
      </c>
      <c r="Q960">
        <f>VLOOKUP(O960, Coordinates!$A$2:$C$6, 3, FALSE)</f>
        <v>-118.2437</v>
      </c>
      <c r="R960">
        <v>18</v>
      </c>
      <c r="S960">
        <v>554</v>
      </c>
      <c r="T960">
        <v>22</v>
      </c>
      <c r="U960">
        <v>51.398541059999999</v>
      </c>
      <c r="V960" t="s">
        <v>30</v>
      </c>
      <c r="W960">
        <v>2.2658796664562701</v>
      </c>
      <c r="X960" t="s">
        <v>52</v>
      </c>
      <c r="Y960" t="s">
        <v>41</v>
      </c>
      <c r="Z960">
        <v>367.54431870000002</v>
      </c>
    </row>
    <row r="961" spans="1:26" x14ac:dyDescent="0.3">
      <c r="A961" t="s">
        <v>33</v>
      </c>
      <c r="B961" t="s">
        <v>1017</v>
      </c>
      <c r="C961">
        <v>66.532751250977498</v>
      </c>
      <c r="D961">
        <v>100</v>
      </c>
      <c r="E961">
        <v>553</v>
      </c>
      <c r="G961" t="s">
        <v>54</v>
      </c>
      <c r="H961">
        <v>74</v>
      </c>
      <c r="I961">
        <v>4</v>
      </c>
      <c r="J961">
        <v>58</v>
      </c>
      <c r="K961">
        <v>10</v>
      </c>
      <c r="L961" t="s">
        <v>27</v>
      </c>
      <c r="M961">
        <v>14.4801179769402</v>
      </c>
      <c r="N961" t="s">
        <v>57</v>
      </c>
      <c r="O961" t="s">
        <v>65</v>
      </c>
      <c r="P961">
        <f>VLOOKUP(O961, Coordinates!$A$2:$C$6, 2, FALSE)</f>
        <v>41.878100000000003</v>
      </c>
      <c r="Q961">
        <f>VLOOKUP(O961, Coordinates!$A$2:$C$6, 3, FALSE)</f>
        <v>-87.629800000000003</v>
      </c>
      <c r="R961">
        <v>4</v>
      </c>
      <c r="S961">
        <v>210</v>
      </c>
      <c r="T961">
        <v>30</v>
      </c>
      <c r="U961">
        <v>80.484360610954198</v>
      </c>
      <c r="V961" t="s">
        <v>30</v>
      </c>
      <c r="W961">
        <v>4.0565200534472297</v>
      </c>
      <c r="X961" t="s">
        <v>46</v>
      </c>
      <c r="Y961" t="s">
        <v>32</v>
      </c>
      <c r="Z961">
        <v>506.44190626689903</v>
      </c>
    </row>
    <row r="962" spans="1:26" x14ac:dyDescent="0.3">
      <c r="A962" t="s">
        <v>82</v>
      </c>
      <c r="B962" t="s">
        <v>1018</v>
      </c>
      <c r="C962">
        <v>80.642856578471097</v>
      </c>
      <c r="D962">
        <v>50</v>
      </c>
      <c r="E962">
        <v>635</v>
      </c>
      <c r="F962">
        <v>8759.3766246380892</v>
      </c>
      <c r="G962" t="s">
        <v>26</v>
      </c>
      <c r="H962">
        <v>73</v>
      </c>
      <c r="I962">
        <v>16</v>
      </c>
      <c r="J962">
        <v>98</v>
      </c>
      <c r="K962">
        <v>1</v>
      </c>
      <c r="L962" t="s">
        <v>36</v>
      </c>
      <c r="M962">
        <v>7.1812285456284703</v>
      </c>
      <c r="N962" t="s">
        <v>57</v>
      </c>
      <c r="O962" t="s">
        <v>29</v>
      </c>
      <c r="P962">
        <f>VLOOKUP(O962, Coordinates!$A$2:$C$6, 2, FALSE)</f>
        <v>29.760400000000001</v>
      </c>
      <c r="Q962">
        <f>VLOOKUP(O962, Coordinates!$A$2:$C$6, 3, FALSE)</f>
        <v>-95.369799999999998</v>
      </c>
      <c r="R962">
        <v>15</v>
      </c>
      <c r="S962">
        <v>158</v>
      </c>
      <c r="T962">
        <v>15</v>
      </c>
      <c r="U962">
        <v>15.498342953379501</v>
      </c>
      <c r="V962" t="s">
        <v>55</v>
      </c>
      <c r="W962">
        <v>4.5414208345877896</v>
      </c>
      <c r="X962" t="s">
        <v>31</v>
      </c>
      <c r="Y962" t="s">
        <v>60</v>
      </c>
      <c r="Z962">
        <v>670.29896597114703</v>
      </c>
    </row>
    <row r="963" spans="1:26" x14ac:dyDescent="0.3">
      <c r="A963" t="s">
        <v>72</v>
      </c>
      <c r="B963" t="s">
        <v>1019</v>
      </c>
      <c r="C963">
        <v>33.6414322129623</v>
      </c>
      <c r="D963">
        <v>33</v>
      </c>
      <c r="E963">
        <v>71</v>
      </c>
      <c r="F963">
        <v>2149.6875184082901</v>
      </c>
      <c r="G963" t="s">
        <v>26</v>
      </c>
      <c r="H963">
        <v>49</v>
      </c>
      <c r="I963">
        <v>4</v>
      </c>
      <c r="J963">
        <v>11</v>
      </c>
      <c r="K963">
        <v>3</v>
      </c>
      <c r="L963" t="s">
        <v>44</v>
      </c>
      <c r="M963">
        <v>4.7491436243066296</v>
      </c>
      <c r="N963" t="s">
        <v>51</v>
      </c>
      <c r="O963" t="s">
        <v>38</v>
      </c>
      <c r="P963">
        <f>VLOOKUP(O963, Coordinates!$A$2:$C$6, 2, FALSE)</f>
        <v>25.761700000000001</v>
      </c>
      <c r="Q963">
        <f>VLOOKUP(O963, Coordinates!$A$2:$C$6, 3, FALSE)</f>
        <v>-80.191800000000001</v>
      </c>
      <c r="R963">
        <v>12</v>
      </c>
      <c r="S963">
        <v>644</v>
      </c>
      <c r="T963">
        <v>21</v>
      </c>
      <c r="U963">
        <v>87.273019567448401</v>
      </c>
      <c r="V963" t="s">
        <v>30</v>
      </c>
      <c r="W963">
        <v>4.8077500304190997</v>
      </c>
      <c r="X963" t="s">
        <v>46</v>
      </c>
      <c r="Y963" t="s">
        <v>32</v>
      </c>
      <c r="Z963">
        <v>332.785801014789</v>
      </c>
    </row>
    <row r="964" spans="1:26" x14ac:dyDescent="0.3">
      <c r="A964" t="s">
        <v>33</v>
      </c>
      <c r="B964" t="s">
        <v>1020</v>
      </c>
      <c r="C964">
        <v>8.4141741175475602</v>
      </c>
      <c r="D964">
        <v>13</v>
      </c>
      <c r="E964">
        <v>860</v>
      </c>
      <c r="F964">
        <v>5210.6426496283802</v>
      </c>
      <c r="G964" t="s">
        <v>35</v>
      </c>
      <c r="H964">
        <v>7</v>
      </c>
      <c r="I964">
        <v>28</v>
      </c>
      <c r="J964">
        <v>98</v>
      </c>
      <c r="K964">
        <v>3</v>
      </c>
      <c r="L964" t="s">
        <v>27</v>
      </c>
      <c r="M964">
        <v>1.83991608813366</v>
      </c>
      <c r="N964" t="s">
        <v>28</v>
      </c>
      <c r="O964" t="s">
        <v>67</v>
      </c>
      <c r="P964">
        <f>VLOOKUP(O964, Coordinates!$A$2:$C$6, 2, FALSE)</f>
        <v>40.712800000000001</v>
      </c>
      <c r="Q964">
        <f>VLOOKUP(O964, Coordinates!$A$2:$C$6, 3, FALSE)</f>
        <v>-74.006</v>
      </c>
      <c r="R964">
        <v>27</v>
      </c>
      <c r="S964">
        <v>652</v>
      </c>
      <c r="T964">
        <v>26</v>
      </c>
      <c r="U964">
        <v>78.460024991393993</v>
      </c>
      <c r="V964" t="s">
        <v>55</v>
      </c>
      <c r="W964">
        <v>0.494951113732092</v>
      </c>
      <c r="X964" t="s">
        <v>46</v>
      </c>
      <c r="Y964" t="s">
        <v>41</v>
      </c>
      <c r="Z964">
        <v>691.59549382928105</v>
      </c>
    </row>
    <row r="965" spans="1:26" x14ac:dyDescent="0.3">
      <c r="A965" t="s">
        <v>42</v>
      </c>
      <c r="B965" t="s">
        <v>1021</v>
      </c>
      <c r="C965">
        <v>42.499763615258601</v>
      </c>
      <c r="D965">
        <v>78</v>
      </c>
      <c r="E965">
        <v>303</v>
      </c>
      <c r="F965">
        <v>6916.9989445971796</v>
      </c>
      <c r="G965" t="s">
        <v>35</v>
      </c>
      <c r="H965">
        <v>12</v>
      </c>
      <c r="I965">
        <v>3</v>
      </c>
      <c r="J965">
        <v>23</v>
      </c>
      <c r="K965">
        <v>10</v>
      </c>
      <c r="L965" t="s">
        <v>27</v>
      </c>
      <c r="M965">
        <v>11.2637013511237</v>
      </c>
      <c r="N965" t="s">
        <v>51</v>
      </c>
      <c r="O965" t="s">
        <v>65</v>
      </c>
      <c r="P965">
        <f>VLOOKUP(O965, Coordinates!$A$2:$C$6, 2, FALSE)</f>
        <v>41.878100000000003</v>
      </c>
      <c r="Q965">
        <f>VLOOKUP(O965, Coordinates!$A$2:$C$6, 3, FALSE)</f>
        <v>-87.629800000000003</v>
      </c>
      <c r="R965">
        <v>27</v>
      </c>
      <c r="S965">
        <v>772</v>
      </c>
      <c r="T965">
        <v>4</v>
      </c>
      <c r="U965">
        <v>52.493036624390697</v>
      </c>
      <c r="V965" t="s">
        <v>55</v>
      </c>
      <c r="W965">
        <v>4.3982200432323797</v>
      </c>
      <c r="X965" t="s">
        <v>46</v>
      </c>
      <c r="Y965" t="s">
        <v>60</v>
      </c>
      <c r="Z965">
        <v>359.74212481731303</v>
      </c>
    </row>
    <row r="966" spans="1:26" x14ac:dyDescent="0.3">
      <c r="A966" t="s">
        <v>72</v>
      </c>
      <c r="B966" t="s">
        <v>1022</v>
      </c>
      <c r="C966">
        <v>37.578425655347203</v>
      </c>
      <c r="D966">
        <v>97</v>
      </c>
      <c r="E966">
        <v>467</v>
      </c>
      <c r="F966">
        <v>15794.2123029424</v>
      </c>
      <c r="G966" t="s">
        <v>54</v>
      </c>
      <c r="H966">
        <v>28</v>
      </c>
      <c r="I966">
        <v>18</v>
      </c>
      <c r="J966">
        <v>26</v>
      </c>
      <c r="K966">
        <v>2</v>
      </c>
      <c r="L966" t="s">
        <v>44</v>
      </c>
      <c r="M966">
        <v>9.6418876492259091</v>
      </c>
      <c r="N966" t="s">
        <v>37</v>
      </c>
      <c r="O966" t="s">
        <v>67</v>
      </c>
      <c r="P966">
        <f>VLOOKUP(O966, Coordinates!$A$2:$C$6, 2, FALSE)</f>
        <v>40.712800000000001</v>
      </c>
      <c r="Q966">
        <f>VLOOKUP(O966, Coordinates!$A$2:$C$6, 3, FALSE)</f>
        <v>-74.006</v>
      </c>
      <c r="R966">
        <v>3</v>
      </c>
      <c r="S966">
        <v>128</v>
      </c>
      <c r="T966">
        <v>12</v>
      </c>
      <c r="U966">
        <v>83.070321489604495</v>
      </c>
      <c r="V966" t="s">
        <v>39</v>
      </c>
      <c r="W966">
        <v>1.1254144178793</v>
      </c>
      <c r="X966" t="s">
        <v>31</v>
      </c>
      <c r="Y966" t="s">
        <v>60</v>
      </c>
      <c r="Z966">
        <v>535.86340570000004</v>
      </c>
    </row>
    <row r="967" spans="1:26" x14ac:dyDescent="0.3">
      <c r="A967" t="s">
        <v>72</v>
      </c>
      <c r="B967" t="s">
        <v>1023</v>
      </c>
      <c r="C967">
        <v>29.806262649510298</v>
      </c>
      <c r="D967">
        <v>62</v>
      </c>
      <c r="E967">
        <v>729</v>
      </c>
      <c r="F967">
        <v>19555.888924343701</v>
      </c>
      <c r="G967" t="s">
        <v>35</v>
      </c>
      <c r="H967">
        <v>37</v>
      </c>
      <c r="I967">
        <v>15</v>
      </c>
      <c r="J967">
        <v>40</v>
      </c>
      <c r="K967">
        <v>10</v>
      </c>
      <c r="L967" t="s">
        <v>36</v>
      </c>
      <c r="M967">
        <v>14.616551688610601</v>
      </c>
      <c r="N967" t="s">
        <v>51</v>
      </c>
      <c r="O967" t="s">
        <v>58</v>
      </c>
      <c r="P967">
        <f>VLOOKUP(O967, Coordinates!$A$2:$C$6, 2, FALSE)</f>
        <v>34.052199999999999</v>
      </c>
      <c r="Q967">
        <f>VLOOKUP(O967, Coordinates!$A$2:$C$6, 3, FALSE)</f>
        <v>-118.2437</v>
      </c>
      <c r="R967">
        <v>4</v>
      </c>
      <c r="S967">
        <v>866</v>
      </c>
      <c r="T967">
        <v>7</v>
      </c>
      <c r="U967">
        <v>90.389598795391095</v>
      </c>
      <c r="V967" t="s">
        <v>55</v>
      </c>
      <c r="W967">
        <v>1.9863345099541601</v>
      </c>
      <c r="X967" t="s">
        <v>31</v>
      </c>
      <c r="Y967" t="s">
        <v>32</v>
      </c>
      <c r="Z967">
        <v>121.03282205598001</v>
      </c>
    </row>
    <row r="968" spans="1:26" x14ac:dyDescent="0.3">
      <c r="A968" t="s">
        <v>49</v>
      </c>
      <c r="B968" t="s">
        <v>1024</v>
      </c>
      <c r="C968">
        <v>75.024172291044806</v>
      </c>
      <c r="D968">
        <v>93</v>
      </c>
      <c r="E968">
        <v>824</v>
      </c>
      <c r="F968">
        <v>9655.8623050000006</v>
      </c>
      <c r="G968" t="s">
        <v>35</v>
      </c>
      <c r="H968">
        <v>76</v>
      </c>
      <c r="I968">
        <v>8</v>
      </c>
      <c r="J968">
        <v>19</v>
      </c>
      <c r="K968">
        <v>5</v>
      </c>
      <c r="L968" t="s">
        <v>36</v>
      </c>
      <c r="M968">
        <v>10.9703097172508</v>
      </c>
      <c r="N968" t="s">
        <v>37</v>
      </c>
      <c r="O968" t="s">
        <v>65</v>
      </c>
      <c r="P968">
        <f>VLOOKUP(O968, Coordinates!$A$2:$C$6, 2, FALSE)</f>
        <v>41.878100000000003</v>
      </c>
      <c r="Q968">
        <f>VLOOKUP(O968, Coordinates!$A$2:$C$6, 3, FALSE)</f>
        <v>-87.629800000000003</v>
      </c>
      <c r="R968">
        <v>21</v>
      </c>
      <c r="S968">
        <v>284</v>
      </c>
      <c r="T968">
        <v>11</v>
      </c>
      <c r="U968">
        <v>71.170513309077705</v>
      </c>
      <c r="V968" t="s">
        <v>30</v>
      </c>
      <c r="W968">
        <v>1.72738597356013</v>
      </c>
      <c r="X968" t="s">
        <v>46</v>
      </c>
      <c r="Y968" t="s">
        <v>32</v>
      </c>
      <c r="Z968">
        <v>170.36408996541101</v>
      </c>
    </row>
    <row r="969" spans="1:26" x14ac:dyDescent="0.3">
      <c r="A969" t="s">
        <v>82</v>
      </c>
      <c r="B969" t="s">
        <v>1025</v>
      </c>
      <c r="C969">
        <v>97.586222076856302</v>
      </c>
      <c r="D969">
        <v>43</v>
      </c>
      <c r="E969">
        <v>105</v>
      </c>
      <c r="F969">
        <v>4742.0745586226403</v>
      </c>
      <c r="G969" t="s">
        <v>48</v>
      </c>
      <c r="H969">
        <v>89</v>
      </c>
      <c r="I969">
        <v>18</v>
      </c>
      <c r="J969">
        <v>79</v>
      </c>
      <c r="K969">
        <v>4</v>
      </c>
      <c r="L969" t="s">
        <v>44</v>
      </c>
      <c r="M969">
        <v>14.064260719135</v>
      </c>
      <c r="N969" t="s">
        <v>45</v>
      </c>
      <c r="O969" t="s">
        <v>38</v>
      </c>
      <c r="P969">
        <f>VLOOKUP(O969, Coordinates!$A$2:$C$6, 2, FALSE)</f>
        <v>25.761700000000001</v>
      </c>
      <c r="Q969">
        <f>VLOOKUP(O969, Coordinates!$A$2:$C$6, 3, FALSE)</f>
        <v>-80.191800000000001</v>
      </c>
      <c r="R969">
        <v>25</v>
      </c>
      <c r="S969">
        <v>972</v>
      </c>
      <c r="T969">
        <v>26</v>
      </c>
      <c r="U969">
        <v>90.589364695028294</v>
      </c>
      <c r="V969" t="s">
        <v>39</v>
      </c>
      <c r="W969">
        <v>3.5162332370017402</v>
      </c>
      <c r="X969" t="s">
        <v>46</v>
      </c>
      <c r="Y969" t="s">
        <v>60</v>
      </c>
      <c r="Z969">
        <v>304.39107230000002</v>
      </c>
    </row>
    <row r="970" spans="1:26" x14ac:dyDescent="0.3">
      <c r="A970" t="s">
        <v>82</v>
      </c>
      <c r="B970" t="s">
        <v>1026</v>
      </c>
      <c r="C970">
        <v>9.9588697592723001</v>
      </c>
      <c r="D970">
        <v>49</v>
      </c>
      <c r="E970">
        <v>60</v>
      </c>
      <c r="F970">
        <v>6409.7439889999996</v>
      </c>
      <c r="G970" t="s">
        <v>48</v>
      </c>
      <c r="H970">
        <v>83</v>
      </c>
      <c r="I970">
        <v>24</v>
      </c>
      <c r="J970">
        <v>98</v>
      </c>
      <c r="K970">
        <v>6</v>
      </c>
      <c r="L970" t="s">
        <v>27</v>
      </c>
      <c r="M970">
        <v>14.8821031269141</v>
      </c>
      <c r="N970" t="s">
        <v>37</v>
      </c>
      <c r="O970" t="s">
        <v>67</v>
      </c>
      <c r="P970">
        <f>VLOOKUP(O970, Coordinates!$A$2:$C$6, 2, FALSE)</f>
        <v>40.712800000000001</v>
      </c>
      <c r="Q970">
        <f>VLOOKUP(O970, Coordinates!$A$2:$C$6, 3, FALSE)</f>
        <v>-74.006</v>
      </c>
      <c r="R970">
        <v>6</v>
      </c>
      <c r="S970">
        <v>323</v>
      </c>
      <c r="T970">
        <v>7</v>
      </c>
      <c r="U970">
        <v>47.944774630043902</v>
      </c>
      <c r="V970" t="s">
        <v>55</v>
      </c>
      <c r="W970">
        <v>2.9896227011689498</v>
      </c>
      <c r="X970" t="s">
        <v>40</v>
      </c>
      <c r="Y970" t="s">
        <v>41</v>
      </c>
      <c r="Z970">
        <v>825.84370239416205</v>
      </c>
    </row>
    <row r="971" spans="1:26" x14ac:dyDescent="0.3">
      <c r="A971" t="s">
        <v>24</v>
      </c>
      <c r="B971" t="s">
        <v>1027</v>
      </c>
      <c r="C971">
        <v>28.2690690972784</v>
      </c>
      <c r="D971">
        <v>36</v>
      </c>
      <c r="E971">
        <v>336</v>
      </c>
      <c r="F971">
        <v>8548.5664950169903</v>
      </c>
      <c r="G971" t="s">
        <v>54</v>
      </c>
      <c r="H971">
        <v>4</v>
      </c>
      <c r="I971">
        <v>23</v>
      </c>
      <c r="J971">
        <v>46</v>
      </c>
      <c r="K971">
        <v>2</v>
      </c>
      <c r="L971" t="s">
        <v>44</v>
      </c>
      <c r="M971">
        <v>6.9980360192575999</v>
      </c>
      <c r="N971" t="s">
        <v>51</v>
      </c>
      <c r="O971" t="s">
        <v>67</v>
      </c>
      <c r="P971">
        <f>VLOOKUP(O971, Coordinates!$A$2:$C$6, 2, FALSE)</f>
        <v>40.712800000000001</v>
      </c>
      <c r="Q971">
        <f>VLOOKUP(O971, Coordinates!$A$2:$C$6, 3, FALSE)</f>
        <v>-74.006</v>
      </c>
      <c r="R971">
        <v>2</v>
      </c>
      <c r="S971">
        <v>456</v>
      </c>
      <c r="T971">
        <v>20</v>
      </c>
      <c r="U971">
        <v>85.590611094518806</v>
      </c>
      <c r="V971" t="s">
        <v>39</v>
      </c>
      <c r="W971">
        <v>0.54552437384017904</v>
      </c>
      <c r="X971" t="s">
        <v>31</v>
      </c>
      <c r="Y971" t="s">
        <v>41</v>
      </c>
      <c r="Z971">
        <v>694.34577410644204</v>
      </c>
    </row>
    <row r="972" spans="1:26" x14ac:dyDescent="0.3">
      <c r="A972" t="s">
        <v>24</v>
      </c>
      <c r="B972" t="s">
        <v>1028</v>
      </c>
      <c r="C972">
        <v>34.524452801136597</v>
      </c>
      <c r="D972">
        <v>10</v>
      </c>
      <c r="E972">
        <v>840</v>
      </c>
      <c r="F972">
        <v>26100.486317659299</v>
      </c>
      <c r="G972" t="s">
        <v>35</v>
      </c>
      <c r="H972">
        <v>19</v>
      </c>
      <c r="I972">
        <v>3</v>
      </c>
      <c r="J972">
        <v>73</v>
      </c>
      <c r="K972">
        <v>4</v>
      </c>
      <c r="L972" t="s">
        <v>27</v>
      </c>
      <c r="M972">
        <v>3.1041301871698699</v>
      </c>
      <c r="N972" t="s">
        <v>51</v>
      </c>
      <c r="O972" t="s">
        <v>58</v>
      </c>
      <c r="P972">
        <f>VLOOKUP(O972, Coordinates!$A$2:$C$6, 2, FALSE)</f>
        <v>34.052199999999999</v>
      </c>
      <c r="Q972">
        <f>VLOOKUP(O972, Coordinates!$A$2:$C$6, 3, FALSE)</f>
        <v>-118.2437</v>
      </c>
      <c r="R972">
        <v>26</v>
      </c>
      <c r="S972">
        <v>591</v>
      </c>
      <c r="T972">
        <v>3</v>
      </c>
      <c r="U972">
        <v>80.789050020000005</v>
      </c>
      <c r="V972" t="s">
        <v>30</v>
      </c>
      <c r="W972">
        <v>3.9141131475725799</v>
      </c>
      <c r="X972" t="s">
        <v>52</v>
      </c>
      <c r="Y972" t="s">
        <v>32</v>
      </c>
      <c r="Z972">
        <v>904.10331435785099</v>
      </c>
    </row>
    <row r="973" spans="1:26" x14ac:dyDescent="0.3">
      <c r="A973" t="s">
        <v>24</v>
      </c>
      <c r="B973" t="s">
        <v>1029</v>
      </c>
      <c r="C973">
        <v>25.396873061327</v>
      </c>
      <c r="D973">
        <v>95</v>
      </c>
      <c r="E973">
        <v>755</v>
      </c>
      <c r="F973">
        <v>17257.1752451717</v>
      </c>
      <c r="G973" t="s">
        <v>54</v>
      </c>
      <c r="H973">
        <v>77</v>
      </c>
      <c r="I973">
        <v>6</v>
      </c>
      <c r="J973">
        <v>39</v>
      </c>
      <c r="K973">
        <v>7</v>
      </c>
      <c r="L973" t="s">
        <v>36</v>
      </c>
      <c r="M973">
        <v>3.7419108766456901</v>
      </c>
      <c r="N973" t="s">
        <v>37</v>
      </c>
      <c r="O973" t="s">
        <v>58</v>
      </c>
      <c r="P973">
        <f>VLOOKUP(O973, Coordinates!$A$2:$C$6, 2, FALSE)</f>
        <v>34.052199999999999</v>
      </c>
      <c r="Q973">
        <f>VLOOKUP(O973, Coordinates!$A$2:$C$6, 3, FALSE)</f>
        <v>-118.2437</v>
      </c>
      <c r="R973">
        <v>22</v>
      </c>
      <c r="S973">
        <v>832</v>
      </c>
      <c r="T973">
        <v>4</v>
      </c>
      <c r="U973">
        <v>77.954593340000002</v>
      </c>
      <c r="V973" t="s">
        <v>30</v>
      </c>
      <c r="W973">
        <v>2.1982270090074798</v>
      </c>
      <c r="X973" t="s">
        <v>31</v>
      </c>
      <c r="Y973" t="s">
        <v>41</v>
      </c>
      <c r="Z973">
        <v>914.23982850774803</v>
      </c>
    </row>
    <row r="974" spans="1:26" x14ac:dyDescent="0.3">
      <c r="A974" t="s">
        <v>24</v>
      </c>
      <c r="B974" t="s">
        <v>1030</v>
      </c>
      <c r="C974">
        <v>36.401098304364098</v>
      </c>
      <c r="D974">
        <v>6</v>
      </c>
      <c r="E974">
        <v>397</v>
      </c>
      <c r="F974">
        <v>13006.1124241493</v>
      </c>
      <c r="G974" t="s">
        <v>48</v>
      </c>
      <c r="H974">
        <v>13</v>
      </c>
      <c r="I974">
        <v>22</v>
      </c>
      <c r="J974">
        <v>43</v>
      </c>
      <c r="K974">
        <v>1</v>
      </c>
      <c r="L974" t="s">
        <v>27</v>
      </c>
      <c r="M974">
        <v>5.4572531235724302</v>
      </c>
      <c r="N974" t="s">
        <v>51</v>
      </c>
      <c r="O974" t="s">
        <v>29</v>
      </c>
      <c r="P974">
        <f>VLOOKUP(O974, Coordinates!$A$2:$C$6, 2, FALSE)</f>
        <v>29.760400000000001</v>
      </c>
      <c r="Q974">
        <f>VLOOKUP(O974, Coordinates!$A$2:$C$6, 3, FALSE)</f>
        <v>-95.369799999999998</v>
      </c>
      <c r="R974">
        <v>9</v>
      </c>
      <c r="S974">
        <v>931</v>
      </c>
      <c r="T974">
        <v>2</v>
      </c>
      <c r="U974">
        <v>88.998719975203002</v>
      </c>
      <c r="V974" t="s">
        <v>55</v>
      </c>
      <c r="W974">
        <v>1.1109216999999999E-2</v>
      </c>
      <c r="X974" t="s">
        <v>40</v>
      </c>
      <c r="Y974" t="s">
        <v>60</v>
      </c>
      <c r="Z974">
        <v>437.20426180563101</v>
      </c>
    </row>
    <row r="975" spans="1:26" x14ac:dyDescent="0.3">
      <c r="A975" t="s">
        <v>42</v>
      </c>
      <c r="B975" t="s">
        <v>1031</v>
      </c>
      <c r="C975">
        <v>9.0856604273592492</v>
      </c>
      <c r="D975">
        <v>57</v>
      </c>
      <c r="E975">
        <v>747</v>
      </c>
      <c r="F975">
        <v>5687.3402752967304</v>
      </c>
      <c r="G975" t="s">
        <v>48</v>
      </c>
      <c r="H975">
        <v>7</v>
      </c>
      <c r="I975">
        <v>26</v>
      </c>
      <c r="J975">
        <v>27</v>
      </c>
      <c r="K975">
        <v>3</v>
      </c>
      <c r="L975" t="s">
        <v>27</v>
      </c>
      <c r="M975">
        <v>8.1245407390000004</v>
      </c>
      <c r="N975" t="s">
        <v>37</v>
      </c>
      <c r="O975" t="s">
        <v>29</v>
      </c>
      <c r="P975">
        <f>VLOOKUP(O975, Coordinates!$A$2:$C$6, 2, FALSE)</f>
        <v>29.760400000000001</v>
      </c>
      <c r="Q975">
        <f>VLOOKUP(O975, Coordinates!$A$2:$C$6, 3, FALSE)</f>
        <v>-95.369799999999998</v>
      </c>
      <c r="R975">
        <v>12</v>
      </c>
      <c r="S975">
        <v>697</v>
      </c>
      <c r="T975">
        <v>20</v>
      </c>
      <c r="U975">
        <v>68.997299317437097</v>
      </c>
      <c r="V975" t="s">
        <v>30</v>
      </c>
      <c r="W975">
        <v>2.0725163343041499</v>
      </c>
      <c r="X975" t="s">
        <v>40</v>
      </c>
      <c r="Y975" t="s">
        <v>41</v>
      </c>
      <c r="Z975">
        <v>430.77781555789198</v>
      </c>
    </row>
    <row r="976" spans="1:26" x14ac:dyDescent="0.3">
      <c r="A976" t="s">
        <v>42</v>
      </c>
      <c r="B976" t="s">
        <v>1032</v>
      </c>
      <c r="C976">
        <v>68.352332752337503</v>
      </c>
      <c r="D976">
        <v>1</v>
      </c>
      <c r="E976">
        <v>878</v>
      </c>
      <c r="F976">
        <v>3417.0142655857599</v>
      </c>
      <c r="G976" t="s">
        <v>48</v>
      </c>
      <c r="H976">
        <v>47</v>
      </c>
      <c r="I976">
        <v>30</v>
      </c>
      <c r="J976">
        <v>97</v>
      </c>
      <c r="K976">
        <v>1</v>
      </c>
      <c r="L976" t="s">
        <v>27</v>
      </c>
      <c r="M976">
        <v>2.7138799915489802</v>
      </c>
      <c r="N976" t="s">
        <v>57</v>
      </c>
      <c r="O976" t="s">
        <v>58</v>
      </c>
      <c r="P976">
        <f>VLOOKUP(O976, Coordinates!$A$2:$C$6, 2, FALSE)</f>
        <v>34.052199999999999</v>
      </c>
      <c r="Q976">
        <f>VLOOKUP(O976, Coordinates!$A$2:$C$6, 3, FALSE)</f>
        <v>-118.2437</v>
      </c>
      <c r="R976">
        <v>12</v>
      </c>
      <c r="S976">
        <v>677</v>
      </c>
      <c r="T976">
        <v>15</v>
      </c>
      <c r="U976">
        <v>98.622905650759904</v>
      </c>
      <c r="V976" t="s">
        <v>55</v>
      </c>
      <c r="W976">
        <v>2.5816578787359501</v>
      </c>
      <c r="X976" t="s">
        <v>46</v>
      </c>
      <c r="Y976" t="s">
        <v>60</v>
      </c>
      <c r="Z976">
        <v>852.16874459999997</v>
      </c>
    </row>
    <row r="977" spans="1:26" x14ac:dyDescent="0.3">
      <c r="A977" t="s">
        <v>72</v>
      </c>
      <c r="B977" t="s">
        <v>1033</v>
      </c>
      <c r="C977">
        <v>25.7195909369199</v>
      </c>
      <c r="D977">
        <v>71</v>
      </c>
      <c r="E977">
        <v>385</v>
      </c>
      <c r="F977">
        <v>8911.83825964274</v>
      </c>
      <c r="G977" t="s">
        <v>54</v>
      </c>
      <c r="H977">
        <v>12</v>
      </c>
      <c r="I977">
        <v>21</v>
      </c>
      <c r="J977">
        <v>72</v>
      </c>
      <c r="K977">
        <v>2</v>
      </c>
      <c r="L977" t="s">
        <v>27</v>
      </c>
      <c r="M977">
        <v>5.2240502060000003</v>
      </c>
      <c r="N977" t="s">
        <v>28</v>
      </c>
      <c r="O977" t="s">
        <v>29</v>
      </c>
      <c r="P977">
        <f>VLOOKUP(O977, Coordinates!$A$2:$C$6, 2, FALSE)</f>
        <v>29.760400000000001</v>
      </c>
      <c r="Q977">
        <f>VLOOKUP(O977, Coordinates!$A$2:$C$6, 3, FALSE)</f>
        <v>-95.369799999999998</v>
      </c>
      <c r="R977">
        <v>27</v>
      </c>
      <c r="S977">
        <v>213</v>
      </c>
      <c r="T977">
        <v>20</v>
      </c>
      <c r="U977">
        <v>82.422114026407598</v>
      </c>
      <c r="V977" t="s">
        <v>30</v>
      </c>
      <c r="W977">
        <v>0.34437342604114601</v>
      </c>
      <c r="X977" t="s">
        <v>31</v>
      </c>
      <c r="Y977" t="s">
        <v>32</v>
      </c>
      <c r="Z977">
        <v>483.79894306162299</v>
      </c>
    </row>
    <row r="978" spans="1:26" x14ac:dyDescent="0.3">
      <c r="A978" t="s">
        <v>61</v>
      </c>
      <c r="B978" t="s">
        <v>1034</v>
      </c>
      <c r="C978">
        <v>79.291456818631801</v>
      </c>
      <c r="D978">
        <v>58</v>
      </c>
      <c r="E978">
        <v>96</v>
      </c>
      <c r="F978">
        <v>5970.0005215646097</v>
      </c>
      <c r="G978" t="s">
        <v>35</v>
      </c>
      <c r="H978">
        <v>23</v>
      </c>
      <c r="I978">
        <v>29</v>
      </c>
      <c r="J978">
        <v>58</v>
      </c>
      <c r="K978">
        <v>9</v>
      </c>
      <c r="L978" t="s">
        <v>27</v>
      </c>
      <c r="M978">
        <v>5.3091138633608104</v>
      </c>
      <c r="N978" t="s">
        <v>37</v>
      </c>
      <c r="O978" t="s">
        <v>67</v>
      </c>
      <c r="P978">
        <f>VLOOKUP(O978, Coordinates!$A$2:$C$6, 2, FALSE)</f>
        <v>40.712800000000001</v>
      </c>
      <c r="Q978">
        <f>VLOOKUP(O978, Coordinates!$A$2:$C$6, 3, FALSE)</f>
        <v>-74.006</v>
      </c>
      <c r="R978">
        <v>24</v>
      </c>
      <c r="S978">
        <v>477</v>
      </c>
      <c r="T978">
        <v>12</v>
      </c>
      <c r="U978">
        <v>27.2948126433566</v>
      </c>
      <c r="V978" t="s">
        <v>39</v>
      </c>
      <c r="W978">
        <v>0.75567629708100703</v>
      </c>
      <c r="X978" t="s">
        <v>52</v>
      </c>
      <c r="Y978" t="s">
        <v>41</v>
      </c>
      <c r="Z978">
        <v>871.481174372449</v>
      </c>
    </row>
    <row r="979" spans="1:26" x14ac:dyDescent="0.3">
      <c r="A979" t="s">
        <v>49</v>
      </c>
      <c r="B979" t="s">
        <v>1035</v>
      </c>
      <c r="C979">
        <v>56.661544147292503</v>
      </c>
      <c r="D979">
        <v>91</v>
      </c>
      <c r="E979">
        <v>795</v>
      </c>
      <c r="F979">
        <v>6948.7643858470801</v>
      </c>
      <c r="G979" t="s">
        <v>26</v>
      </c>
      <c r="H979">
        <v>78</v>
      </c>
      <c r="I979">
        <v>24</v>
      </c>
      <c r="J979">
        <v>65</v>
      </c>
      <c r="K979">
        <v>10</v>
      </c>
      <c r="L979" t="s">
        <v>36</v>
      </c>
      <c r="M979">
        <v>1.0571991695059699</v>
      </c>
      <c r="N979" t="s">
        <v>57</v>
      </c>
      <c r="O979" t="s">
        <v>58</v>
      </c>
      <c r="P979">
        <f>VLOOKUP(O979, Coordinates!$A$2:$C$6, 2, FALSE)</f>
        <v>34.052199999999999</v>
      </c>
      <c r="Q979">
        <f>VLOOKUP(O979, Coordinates!$A$2:$C$6, 3, FALSE)</f>
        <v>-118.2437</v>
      </c>
      <c r="R979">
        <v>14</v>
      </c>
      <c r="S979">
        <v>876</v>
      </c>
      <c r="T979">
        <v>21</v>
      </c>
      <c r="U979">
        <v>61.991073397609</v>
      </c>
      <c r="V979" t="s">
        <v>39</v>
      </c>
      <c r="W979">
        <v>4.9678608574543004</v>
      </c>
      <c r="X979" t="s">
        <v>31</v>
      </c>
      <c r="Y979" t="s">
        <v>60</v>
      </c>
      <c r="Z979">
        <v>555.33685235856694</v>
      </c>
    </row>
    <row r="980" spans="1:26" x14ac:dyDescent="0.3">
      <c r="A980" t="s">
        <v>49</v>
      </c>
      <c r="B980" t="s">
        <v>1036</v>
      </c>
      <c r="C980">
        <v>14.4873480079369</v>
      </c>
      <c r="D980">
        <v>21</v>
      </c>
      <c r="E980">
        <v>451</v>
      </c>
      <c r="F980">
        <v>3906.1096172010998</v>
      </c>
      <c r="G980" t="s">
        <v>35</v>
      </c>
      <c r="H980">
        <v>64</v>
      </c>
      <c r="I980">
        <v>15</v>
      </c>
      <c r="J980">
        <v>100</v>
      </c>
      <c r="K980">
        <v>5</v>
      </c>
      <c r="L980" t="s">
        <v>44</v>
      </c>
      <c r="M980">
        <v>5.9583623553294904</v>
      </c>
      <c r="N980" t="s">
        <v>57</v>
      </c>
      <c r="O980" t="s">
        <v>65</v>
      </c>
      <c r="P980">
        <f>VLOOKUP(O980, Coordinates!$A$2:$C$6, 2, FALSE)</f>
        <v>41.878100000000003</v>
      </c>
      <c r="Q980">
        <f>VLOOKUP(O980, Coordinates!$A$2:$C$6, 3, FALSE)</f>
        <v>-87.629800000000003</v>
      </c>
      <c r="R980">
        <v>17</v>
      </c>
      <c r="S980">
        <v>384</v>
      </c>
      <c r="T980">
        <v>17</v>
      </c>
      <c r="U980">
        <v>15.9770543453561</v>
      </c>
      <c r="V980" t="s">
        <v>39</v>
      </c>
      <c r="W980">
        <v>4.3559770101124196</v>
      </c>
      <c r="X980" t="s">
        <v>40</v>
      </c>
      <c r="Y980" t="s">
        <v>32</v>
      </c>
      <c r="Z980">
        <v>482.24181181150101</v>
      </c>
    </row>
    <row r="981" spans="1:26" x14ac:dyDescent="0.3">
      <c r="A981" t="s">
        <v>24</v>
      </c>
      <c r="B981" t="s">
        <v>1037</v>
      </c>
      <c r="C981">
        <v>20.864268438051901</v>
      </c>
      <c r="D981">
        <v>92</v>
      </c>
      <c r="E981">
        <v>113</v>
      </c>
      <c r="F981">
        <v>2121.8960999999999</v>
      </c>
      <c r="G981" t="s">
        <v>54</v>
      </c>
      <c r="H981">
        <v>85</v>
      </c>
      <c r="I981">
        <v>27</v>
      </c>
      <c r="J981">
        <v>67</v>
      </c>
      <c r="K981">
        <v>4</v>
      </c>
      <c r="L981" t="s">
        <v>36</v>
      </c>
      <c r="M981">
        <v>2.6261308011853899</v>
      </c>
      <c r="N981" t="s">
        <v>57</v>
      </c>
      <c r="O981" t="s">
        <v>58</v>
      </c>
      <c r="P981">
        <f>VLOOKUP(O981, Coordinates!$A$2:$C$6, 2, FALSE)</f>
        <v>34.052199999999999</v>
      </c>
      <c r="Q981">
        <f>VLOOKUP(O981, Coordinates!$A$2:$C$6, 3, FALSE)</f>
        <v>-118.2437</v>
      </c>
      <c r="R981">
        <v>9</v>
      </c>
      <c r="S981">
        <v>196</v>
      </c>
      <c r="T981">
        <v>18</v>
      </c>
      <c r="U981">
        <v>76.310223690280694</v>
      </c>
      <c r="V981" t="s">
        <v>30</v>
      </c>
      <c r="W981">
        <v>0.66663709673323901</v>
      </c>
      <c r="X981" t="s">
        <v>52</v>
      </c>
      <c r="Y981" t="s">
        <v>60</v>
      </c>
      <c r="Z981">
        <v>351.16290800427601</v>
      </c>
    </row>
    <row r="982" spans="1:26" x14ac:dyDescent="0.3">
      <c r="A982" t="s">
        <v>72</v>
      </c>
      <c r="B982" t="s">
        <v>1038</v>
      </c>
      <c r="C982">
        <v>31.029571309133701</v>
      </c>
      <c r="D982">
        <v>80</v>
      </c>
      <c r="E982">
        <v>321</v>
      </c>
      <c r="F982">
        <v>8964.4431512087303</v>
      </c>
      <c r="G982" t="s">
        <v>48</v>
      </c>
      <c r="H982">
        <v>33</v>
      </c>
      <c r="I982">
        <v>12</v>
      </c>
      <c r="J982">
        <v>36</v>
      </c>
      <c r="K982">
        <v>4</v>
      </c>
      <c r="L982" t="s">
        <v>27</v>
      </c>
      <c r="M982">
        <v>7.0159593152734399</v>
      </c>
      <c r="N982" t="s">
        <v>57</v>
      </c>
      <c r="O982" t="s">
        <v>38</v>
      </c>
      <c r="P982">
        <f>VLOOKUP(O982, Coordinates!$A$2:$C$6, 2, FALSE)</f>
        <v>25.761700000000001</v>
      </c>
      <c r="Q982">
        <f>VLOOKUP(O982, Coordinates!$A$2:$C$6, 3, FALSE)</f>
        <v>-80.191800000000001</v>
      </c>
      <c r="R982">
        <v>12</v>
      </c>
      <c r="S982">
        <v>941</v>
      </c>
      <c r="T982">
        <v>8</v>
      </c>
      <c r="U982">
        <v>93.298374041502896</v>
      </c>
      <c r="V982" t="s">
        <v>55</v>
      </c>
      <c r="W982">
        <v>2.9015469984812801</v>
      </c>
      <c r="X982" t="s">
        <v>52</v>
      </c>
      <c r="Y982" t="s">
        <v>41</v>
      </c>
      <c r="Z982">
        <v>213.83816001073501</v>
      </c>
    </row>
    <row r="983" spans="1:26" x14ac:dyDescent="0.3">
      <c r="A983" t="s">
        <v>33</v>
      </c>
      <c r="B983" t="s">
        <v>1039</v>
      </c>
      <c r="C983">
        <v>91.551526762901403</v>
      </c>
      <c r="D983">
        <v>56</v>
      </c>
      <c r="E983">
        <v>172</v>
      </c>
      <c r="F983">
        <v>4644.1973284285896</v>
      </c>
      <c r="G983" t="s">
        <v>26</v>
      </c>
      <c r="H983">
        <v>50</v>
      </c>
      <c r="I983">
        <v>5</v>
      </c>
      <c r="J983">
        <v>64</v>
      </c>
      <c r="K983">
        <v>8</v>
      </c>
      <c r="L983" t="s">
        <v>44</v>
      </c>
      <c r="M983">
        <v>3.7515143236524802</v>
      </c>
      <c r="N983" t="s">
        <v>37</v>
      </c>
      <c r="O983" t="s">
        <v>38</v>
      </c>
      <c r="P983">
        <f>VLOOKUP(O983, Coordinates!$A$2:$C$6, 2, FALSE)</f>
        <v>25.761700000000001</v>
      </c>
      <c r="Q983">
        <f>VLOOKUP(O983, Coordinates!$A$2:$C$6, 3, FALSE)</f>
        <v>-80.191800000000001</v>
      </c>
      <c r="R983">
        <v>27</v>
      </c>
      <c r="S983">
        <v>223</v>
      </c>
      <c r="T983">
        <v>24</v>
      </c>
      <c r="U983">
        <v>40.199098387551601</v>
      </c>
      <c r="V983" t="s">
        <v>39</v>
      </c>
      <c r="W983">
        <v>1.8962164860867099</v>
      </c>
      <c r="X983" t="s">
        <v>46</v>
      </c>
      <c r="Y983" t="s">
        <v>60</v>
      </c>
      <c r="Z983">
        <v>573.31207673013796</v>
      </c>
    </row>
    <row r="984" spans="1:26" x14ac:dyDescent="0.3">
      <c r="A984" t="s">
        <v>61</v>
      </c>
      <c r="B984" t="s">
        <v>1040</v>
      </c>
      <c r="C984">
        <v>84.635209156841896</v>
      </c>
      <c r="D984">
        <v>87</v>
      </c>
      <c r="E984">
        <v>816</v>
      </c>
      <c r="F984">
        <v>2785.35285862931</v>
      </c>
      <c r="G984" t="s">
        <v>54</v>
      </c>
      <c r="H984">
        <v>2</v>
      </c>
      <c r="I984">
        <v>7</v>
      </c>
      <c r="J984">
        <v>94</v>
      </c>
      <c r="K984">
        <v>3</v>
      </c>
      <c r="L984" t="s">
        <v>27</v>
      </c>
      <c r="M984">
        <v>12.509599355704699</v>
      </c>
      <c r="N984" t="s">
        <v>51</v>
      </c>
      <c r="O984" t="s">
        <v>58</v>
      </c>
      <c r="P984">
        <f>VLOOKUP(O984, Coordinates!$A$2:$C$6, 2, FALSE)</f>
        <v>34.052199999999999</v>
      </c>
      <c r="Q984">
        <f>VLOOKUP(O984, Coordinates!$A$2:$C$6, 3, FALSE)</f>
        <v>-118.2437</v>
      </c>
      <c r="R984">
        <v>10</v>
      </c>
      <c r="S984">
        <v>255</v>
      </c>
      <c r="T984">
        <v>8</v>
      </c>
      <c r="U984">
        <v>71.0932572139792</v>
      </c>
      <c r="V984" t="s">
        <v>55</v>
      </c>
      <c r="W984">
        <v>2.7187020434995901</v>
      </c>
      <c r="X984" t="s">
        <v>31</v>
      </c>
      <c r="Y984" t="s">
        <v>32</v>
      </c>
      <c r="Z984">
        <v>392.70260376175901</v>
      </c>
    </row>
    <row r="985" spans="1:26" x14ac:dyDescent="0.3">
      <c r="A985" t="s">
        <v>72</v>
      </c>
      <c r="B985" t="s">
        <v>1041</v>
      </c>
      <c r="C985">
        <v>36.719471054016203</v>
      </c>
      <c r="D985">
        <v>20</v>
      </c>
      <c r="E985">
        <v>986</v>
      </c>
      <c r="F985">
        <v>32584.858613333901</v>
      </c>
      <c r="G985" t="s">
        <v>48</v>
      </c>
      <c r="H985">
        <v>89</v>
      </c>
      <c r="I985">
        <v>22</v>
      </c>
      <c r="J985">
        <v>28</v>
      </c>
      <c r="K985">
        <v>4</v>
      </c>
      <c r="L985" t="s">
        <v>36</v>
      </c>
      <c r="M985">
        <v>2.1273549388335198</v>
      </c>
      <c r="N985" t="s">
        <v>57</v>
      </c>
      <c r="O985" t="s">
        <v>65</v>
      </c>
      <c r="P985">
        <f>VLOOKUP(O985, Coordinates!$A$2:$C$6, 2, FALSE)</f>
        <v>41.878100000000003</v>
      </c>
      <c r="Q985">
        <f>VLOOKUP(O985, Coordinates!$A$2:$C$6, 3, FALSE)</f>
        <v>-87.629800000000003</v>
      </c>
      <c r="R985">
        <v>11</v>
      </c>
      <c r="S985">
        <v>209</v>
      </c>
      <c r="T985">
        <v>5</v>
      </c>
      <c r="U985">
        <v>82.732904620011595</v>
      </c>
      <c r="V985" t="s">
        <v>30</v>
      </c>
      <c r="W985">
        <v>2.3526759678369298</v>
      </c>
      <c r="X985" t="s">
        <v>31</v>
      </c>
      <c r="Y985" t="s">
        <v>32</v>
      </c>
      <c r="Z985">
        <v>324.49619978687298</v>
      </c>
    </row>
    <row r="986" spans="1:26" x14ac:dyDescent="0.3">
      <c r="A986" t="s">
        <v>61</v>
      </c>
      <c r="B986" t="s">
        <v>1042</v>
      </c>
      <c r="C986">
        <v>95.140365799999998</v>
      </c>
      <c r="D986">
        <v>54</v>
      </c>
      <c r="E986">
        <v>924</v>
      </c>
      <c r="F986">
        <v>5603.2078603835498</v>
      </c>
      <c r="G986" t="s">
        <v>54</v>
      </c>
      <c r="H986">
        <v>77</v>
      </c>
      <c r="I986">
        <v>27</v>
      </c>
      <c r="J986">
        <v>32</v>
      </c>
      <c r="K986">
        <v>2</v>
      </c>
      <c r="L986" t="s">
        <v>36</v>
      </c>
      <c r="M986">
        <v>13.119246039854801</v>
      </c>
      <c r="N986" t="s">
        <v>45</v>
      </c>
      <c r="O986" t="s">
        <v>38</v>
      </c>
      <c r="P986">
        <f>VLOOKUP(O986, Coordinates!$A$2:$C$6, 2, FALSE)</f>
        <v>25.761700000000001</v>
      </c>
      <c r="Q986">
        <f>VLOOKUP(O986, Coordinates!$A$2:$C$6, 3, FALSE)</f>
        <v>-80.191800000000001</v>
      </c>
      <c r="R986">
        <v>30</v>
      </c>
      <c r="S986">
        <v>152</v>
      </c>
      <c r="T986">
        <v>24</v>
      </c>
      <c r="U986">
        <v>93.9618333846295</v>
      </c>
      <c r="V986" t="s">
        <v>39</v>
      </c>
      <c r="W986">
        <v>3.7010462790737302</v>
      </c>
      <c r="X986" t="s">
        <v>31</v>
      </c>
      <c r="Y986" t="s">
        <v>41</v>
      </c>
      <c r="Z986">
        <v>252.694149656565</v>
      </c>
    </row>
    <row r="987" spans="1:26" x14ac:dyDescent="0.3">
      <c r="A987" t="s">
        <v>61</v>
      </c>
      <c r="B987" t="s">
        <v>1043</v>
      </c>
      <c r="C987">
        <v>7.9850730435709201</v>
      </c>
      <c r="D987">
        <v>25</v>
      </c>
      <c r="E987">
        <v>439</v>
      </c>
      <c r="F987">
        <v>7605.2833325892998</v>
      </c>
      <c r="G987" t="s">
        <v>26</v>
      </c>
      <c r="H987">
        <v>57</v>
      </c>
      <c r="I987">
        <v>15</v>
      </c>
      <c r="J987">
        <v>56</v>
      </c>
      <c r="K987">
        <v>6</v>
      </c>
      <c r="L987" t="s">
        <v>27</v>
      </c>
      <c r="M987">
        <v>9.1273726173443706</v>
      </c>
      <c r="N987" t="s">
        <v>57</v>
      </c>
      <c r="O987" t="s">
        <v>65</v>
      </c>
      <c r="P987">
        <f>VLOOKUP(O987, Coordinates!$A$2:$C$6, 2, FALSE)</f>
        <v>41.878100000000003</v>
      </c>
      <c r="Q987">
        <f>VLOOKUP(O987, Coordinates!$A$2:$C$6, 3, FALSE)</f>
        <v>-87.629800000000003</v>
      </c>
      <c r="R987">
        <v>28</v>
      </c>
      <c r="S987">
        <v>273</v>
      </c>
      <c r="T987">
        <v>9</v>
      </c>
      <c r="U987">
        <v>29.1473955863657</v>
      </c>
      <c r="V987" t="s">
        <v>30</v>
      </c>
      <c r="W987">
        <v>1.57710155495391</v>
      </c>
      <c r="X987" t="s">
        <v>52</v>
      </c>
      <c r="Y987" t="s">
        <v>32</v>
      </c>
      <c r="Z987">
        <v>449.75990905396401</v>
      </c>
    </row>
    <row r="988" spans="1:26" x14ac:dyDescent="0.3">
      <c r="A988" t="s">
        <v>61</v>
      </c>
      <c r="B988" t="s">
        <v>1044</v>
      </c>
      <c r="C988">
        <v>74.939040380772298</v>
      </c>
      <c r="D988">
        <v>28</v>
      </c>
      <c r="E988">
        <v>446</v>
      </c>
      <c r="F988">
        <v>4699.4247420045203</v>
      </c>
      <c r="G988" t="s">
        <v>48</v>
      </c>
      <c r="H988">
        <v>71</v>
      </c>
      <c r="I988">
        <v>7</v>
      </c>
      <c r="J988">
        <v>88</v>
      </c>
      <c r="K988">
        <v>9</v>
      </c>
      <c r="L988" t="s">
        <v>27</v>
      </c>
      <c r="M988">
        <v>7.4209692847769997</v>
      </c>
      <c r="N988" t="s">
        <v>51</v>
      </c>
      <c r="O988" t="s">
        <v>67</v>
      </c>
      <c r="P988">
        <f>VLOOKUP(O988, Coordinates!$A$2:$C$6, 2, FALSE)</f>
        <v>40.712800000000001</v>
      </c>
      <c r="Q988">
        <f>VLOOKUP(O988, Coordinates!$A$2:$C$6, 3, FALSE)</f>
        <v>-74.006</v>
      </c>
      <c r="R988">
        <v>16</v>
      </c>
      <c r="S988">
        <v>778</v>
      </c>
      <c r="T988">
        <v>30</v>
      </c>
      <c r="U988">
        <v>42.7788231628546</v>
      </c>
      <c r="V988" t="s">
        <v>30</v>
      </c>
      <c r="W988">
        <v>0.62760291014063296</v>
      </c>
      <c r="X988" t="s">
        <v>40</v>
      </c>
      <c r="Y988" t="s">
        <v>41</v>
      </c>
      <c r="Z988">
        <v>600.28548538979101</v>
      </c>
    </row>
    <row r="989" spans="1:26" x14ac:dyDescent="0.3">
      <c r="A989" t="s">
        <v>72</v>
      </c>
      <c r="B989" t="s">
        <v>1045</v>
      </c>
      <c r="C989">
        <v>33.809385393300701</v>
      </c>
      <c r="D989">
        <v>5</v>
      </c>
      <c r="E989">
        <v>222</v>
      </c>
      <c r="F989">
        <v>6755.1152015814796</v>
      </c>
      <c r="G989" t="s">
        <v>35</v>
      </c>
      <c r="H989">
        <v>54</v>
      </c>
      <c r="I989">
        <v>13</v>
      </c>
      <c r="J989">
        <v>75</v>
      </c>
      <c r="K989">
        <v>4</v>
      </c>
      <c r="L989" t="s">
        <v>44</v>
      </c>
      <c r="M989">
        <v>8.6963924365147403</v>
      </c>
      <c r="N989" t="s">
        <v>51</v>
      </c>
      <c r="O989" t="s">
        <v>67</v>
      </c>
      <c r="P989">
        <f>VLOOKUP(O989, Coordinates!$A$2:$C$6, 2, FALSE)</f>
        <v>40.712800000000001</v>
      </c>
      <c r="Q989">
        <f>VLOOKUP(O989, Coordinates!$A$2:$C$6, 3, FALSE)</f>
        <v>-74.006</v>
      </c>
      <c r="R989">
        <v>27</v>
      </c>
      <c r="S989">
        <v>687</v>
      </c>
      <c r="T989">
        <v>20</v>
      </c>
      <c r="U989">
        <v>89.918865179999997</v>
      </c>
      <c r="V989" t="s">
        <v>39</v>
      </c>
      <c r="W989">
        <v>2.44484046145373</v>
      </c>
      <c r="X989" t="s">
        <v>40</v>
      </c>
      <c r="Y989" t="s">
        <v>32</v>
      </c>
      <c r="Z989">
        <v>853.32336771136102</v>
      </c>
    </row>
    <row r="990" spans="1:26" x14ac:dyDescent="0.3">
      <c r="A990" t="s">
        <v>24</v>
      </c>
      <c r="B990" t="s">
        <v>1046</v>
      </c>
      <c r="C990">
        <v>39.785844634251298</v>
      </c>
      <c r="D990">
        <v>21</v>
      </c>
      <c r="E990">
        <v>226</v>
      </c>
      <c r="F990">
        <v>8092.4407986067299</v>
      </c>
      <c r="G990" t="s">
        <v>54</v>
      </c>
      <c r="H990">
        <v>79</v>
      </c>
      <c r="I990">
        <v>25</v>
      </c>
      <c r="J990">
        <v>60</v>
      </c>
      <c r="K990">
        <v>10</v>
      </c>
      <c r="L990" t="s">
        <v>44</v>
      </c>
      <c r="M990">
        <v>6.2655278079999999</v>
      </c>
      <c r="N990" t="s">
        <v>28</v>
      </c>
      <c r="O990" t="s">
        <v>65</v>
      </c>
      <c r="P990">
        <f>VLOOKUP(O990, Coordinates!$A$2:$C$6, 2, FALSE)</f>
        <v>41.878100000000003</v>
      </c>
      <c r="Q990">
        <f>VLOOKUP(O990, Coordinates!$A$2:$C$6, 3, FALSE)</f>
        <v>-87.629800000000003</v>
      </c>
      <c r="R990">
        <v>1</v>
      </c>
      <c r="S990">
        <v>413</v>
      </c>
      <c r="T990">
        <v>20</v>
      </c>
      <c r="U990">
        <v>84.178303760144502</v>
      </c>
      <c r="V990" t="s">
        <v>30</v>
      </c>
      <c r="W990">
        <v>4.5365835998977104</v>
      </c>
      <c r="X990" t="s">
        <v>46</v>
      </c>
      <c r="Y990" t="s">
        <v>41</v>
      </c>
      <c r="Z990">
        <v>944.68003026950998</v>
      </c>
    </row>
    <row r="991" spans="1:26" x14ac:dyDescent="0.3">
      <c r="A991" t="s">
        <v>49</v>
      </c>
      <c r="B991" t="s">
        <v>1047</v>
      </c>
      <c r="C991">
        <v>30.334143682887799</v>
      </c>
      <c r="D991">
        <v>18</v>
      </c>
      <c r="E991">
        <v>677</v>
      </c>
      <c r="F991">
        <v>4682.7697940708404</v>
      </c>
      <c r="G991" t="s">
        <v>26</v>
      </c>
      <c r="H991">
        <v>41</v>
      </c>
      <c r="I991">
        <v>3</v>
      </c>
      <c r="J991">
        <v>93</v>
      </c>
      <c r="K991">
        <v>4</v>
      </c>
      <c r="L991" t="s">
        <v>27</v>
      </c>
      <c r="M991">
        <v>2.7865666698872298</v>
      </c>
      <c r="N991" t="s">
        <v>28</v>
      </c>
      <c r="O991" t="s">
        <v>29</v>
      </c>
      <c r="P991">
        <f>VLOOKUP(O991, Coordinates!$A$2:$C$6, 2, FALSE)</f>
        <v>29.760400000000001</v>
      </c>
      <c r="Q991">
        <f>VLOOKUP(O991, Coordinates!$A$2:$C$6, 3, FALSE)</f>
        <v>-95.369799999999998</v>
      </c>
      <c r="R991">
        <v>22</v>
      </c>
      <c r="S991">
        <v>825</v>
      </c>
      <c r="T991">
        <v>23</v>
      </c>
      <c r="U991">
        <v>99.385369221361998</v>
      </c>
      <c r="V991" t="s">
        <v>55</v>
      </c>
      <c r="W991">
        <v>4.9776638628477103</v>
      </c>
      <c r="X991" t="s">
        <v>40</v>
      </c>
      <c r="Y991" t="s">
        <v>32</v>
      </c>
      <c r="Z991">
        <v>869.55707905819497</v>
      </c>
    </row>
    <row r="992" spans="1:26" x14ac:dyDescent="0.3">
      <c r="A992" t="s">
        <v>49</v>
      </c>
      <c r="B992" t="s">
        <v>1048</v>
      </c>
      <c r="C992">
        <v>73.861367434926606</v>
      </c>
      <c r="D992">
        <v>47</v>
      </c>
      <c r="E992">
        <v>532</v>
      </c>
      <c r="G992" t="s">
        <v>35</v>
      </c>
      <c r="H992">
        <v>20</v>
      </c>
      <c r="I992">
        <v>26</v>
      </c>
      <c r="J992">
        <v>37</v>
      </c>
      <c r="K992">
        <v>2</v>
      </c>
      <c r="L992" t="s">
        <v>44</v>
      </c>
      <c r="M992">
        <v>11.7223174209729</v>
      </c>
      <c r="N992" t="s">
        <v>57</v>
      </c>
      <c r="O992" t="s">
        <v>67</v>
      </c>
      <c r="P992">
        <f>VLOOKUP(O992, Coordinates!$A$2:$C$6, 2, FALSE)</f>
        <v>40.712800000000001</v>
      </c>
      <c r="Q992">
        <f>VLOOKUP(O992, Coordinates!$A$2:$C$6, 3, FALSE)</f>
        <v>-74.006</v>
      </c>
      <c r="R992">
        <v>29</v>
      </c>
      <c r="S992">
        <v>793</v>
      </c>
      <c r="T992">
        <v>5</v>
      </c>
      <c r="U992">
        <v>44.85029909</v>
      </c>
      <c r="V992" t="s">
        <v>30</v>
      </c>
      <c r="W992">
        <v>4.7212653424123499</v>
      </c>
      <c r="X992" t="s">
        <v>31</v>
      </c>
      <c r="Y992" t="s">
        <v>41</v>
      </c>
      <c r="Z992">
        <v>618.61025406618501</v>
      </c>
    </row>
    <row r="993" spans="1:26" x14ac:dyDescent="0.3">
      <c r="A993" t="s">
        <v>24</v>
      </c>
      <c r="B993" t="s">
        <v>1049</v>
      </c>
      <c r="C993">
        <v>22.814575411547398</v>
      </c>
      <c r="D993">
        <v>70</v>
      </c>
      <c r="E993">
        <v>282</v>
      </c>
      <c r="F993">
        <v>5790.33923945075</v>
      </c>
      <c r="G993" t="s">
        <v>26</v>
      </c>
      <c r="H993">
        <v>9</v>
      </c>
      <c r="I993">
        <v>23</v>
      </c>
      <c r="J993">
        <v>66</v>
      </c>
      <c r="K993">
        <v>6</v>
      </c>
      <c r="L993" t="s">
        <v>27</v>
      </c>
      <c r="M993">
        <v>13.990762261349801</v>
      </c>
      <c r="N993" t="s">
        <v>57</v>
      </c>
      <c r="O993" t="s">
        <v>38</v>
      </c>
      <c r="P993">
        <f>VLOOKUP(O993, Coordinates!$A$2:$C$6, 2, FALSE)</f>
        <v>25.761700000000001</v>
      </c>
      <c r="Q993">
        <f>VLOOKUP(O993, Coordinates!$A$2:$C$6, 3, FALSE)</f>
        <v>-80.191800000000001</v>
      </c>
      <c r="R993">
        <v>1</v>
      </c>
      <c r="S993">
        <v>489</v>
      </c>
      <c r="T993">
        <v>27</v>
      </c>
      <c r="U993">
        <v>92.818521783544199</v>
      </c>
      <c r="V993" t="s">
        <v>30</v>
      </c>
      <c r="W993">
        <v>4.9284856250000004</v>
      </c>
      <c r="X993" t="s">
        <v>46</v>
      </c>
      <c r="Y993" t="s">
        <v>60</v>
      </c>
      <c r="Z993">
        <v>603.59493440000006</v>
      </c>
    </row>
    <row r="994" spans="1:26" x14ac:dyDescent="0.3">
      <c r="A994" t="s">
        <v>61</v>
      </c>
      <c r="B994" t="s">
        <v>1050</v>
      </c>
      <c r="C994">
        <v>8.9573977459999998</v>
      </c>
      <c r="D994">
        <v>57</v>
      </c>
      <c r="E994">
        <v>573</v>
      </c>
      <c r="F994">
        <v>5474.3843429458402</v>
      </c>
      <c r="G994" t="s">
        <v>54</v>
      </c>
      <c r="H994">
        <v>56</v>
      </c>
      <c r="I994">
        <v>13</v>
      </c>
      <c r="J994">
        <v>67</v>
      </c>
      <c r="K994">
        <v>7</v>
      </c>
      <c r="L994" t="s">
        <v>27</v>
      </c>
      <c r="M994">
        <v>14.3009467236781</v>
      </c>
      <c r="N994" t="s">
        <v>28</v>
      </c>
      <c r="O994" t="s">
        <v>58</v>
      </c>
      <c r="P994">
        <f>VLOOKUP(O994, Coordinates!$A$2:$C$6, 2, FALSE)</f>
        <v>34.052199999999999</v>
      </c>
      <c r="Q994">
        <f>VLOOKUP(O994, Coordinates!$A$2:$C$6, 3, FALSE)</f>
        <v>-118.2437</v>
      </c>
      <c r="R994">
        <v>22</v>
      </c>
      <c r="S994">
        <v>144</v>
      </c>
      <c r="T994">
        <v>10</v>
      </c>
      <c r="U994">
        <v>45.142612646769003</v>
      </c>
      <c r="V994" t="s">
        <v>55</v>
      </c>
      <c r="W994">
        <v>7.6231578999999994E-2</v>
      </c>
      <c r="X994" t="s">
        <v>40</v>
      </c>
      <c r="Y994" t="s">
        <v>60</v>
      </c>
      <c r="Z994">
        <v>914.62750250597196</v>
      </c>
    </row>
    <row r="995" spans="1:26" x14ac:dyDescent="0.3">
      <c r="A995" t="s">
        <v>33</v>
      </c>
      <c r="B995" t="s">
        <v>1051</v>
      </c>
      <c r="C995">
        <v>42.776520061243403</v>
      </c>
      <c r="D995">
        <v>93</v>
      </c>
      <c r="E995">
        <v>578</v>
      </c>
      <c r="F995">
        <v>2213.0720642569399</v>
      </c>
      <c r="G995" t="s">
        <v>26</v>
      </c>
      <c r="H995">
        <v>24</v>
      </c>
      <c r="I995">
        <v>26</v>
      </c>
      <c r="J995">
        <v>24</v>
      </c>
      <c r="K995">
        <v>4</v>
      </c>
      <c r="L995" t="s">
        <v>27</v>
      </c>
      <c r="M995">
        <v>10.389961087118399</v>
      </c>
      <c r="N995" t="s">
        <v>57</v>
      </c>
      <c r="O995" t="s">
        <v>29</v>
      </c>
      <c r="P995">
        <f>VLOOKUP(O995, Coordinates!$A$2:$C$6, 2, FALSE)</f>
        <v>29.760400000000001</v>
      </c>
      <c r="Q995">
        <f>VLOOKUP(O995, Coordinates!$A$2:$C$6, 3, FALSE)</f>
        <v>-95.369799999999998</v>
      </c>
      <c r="R995">
        <v>2</v>
      </c>
      <c r="S995">
        <v>762</v>
      </c>
      <c r="T995">
        <v>1</v>
      </c>
      <c r="U995">
        <v>28.368251086659399</v>
      </c>
      <c r="V995" t="s">
        <v>55</v>
      </c>
      <c r="W995">
        <v>3.6472348922201299</v>
      </c>
      <c r="X995" t="s">
        <v>40</v>
      </c>
      <c r="Y995" t="s">
        <v>41</v>
      </c>
      <c r="Z995">
        <v>359.69222115694498</v>
      </c>
    </row>
    <row r="996" spans="1:26" x14ac:dyDescent="0.3">
      <c r="A996" t="s">
        <v>82</v>
      </c>
      <c r="B996" t="s">
        <v>1052</v>
      </c>
      <c r="C996">
        <v>77.419358042084099</v>
      </c>
      <c r="D996">
        <v>19</v>
      </c>
      <c r="E996">
        <v>879</v>
      </c>
      <c r="F996">
        <v>5464.6793065047796</v>
      </c>
      <c r="G996" t="s">
        <v>48</v>
      </c>
      <c r="H996">
        <v>55</v>
      </c>
      <c r="I996">
        <v>3</v>
      </c>
      <c r="J996">
        <v>25</v>
      </c>
      <c r="K996">
        <v>7</v>
      </c>
      <c r="L996" t="s">
        <v>36</v>
      </c>
      <c r="M996">
        <v>6.7448639712333396</v>
      </c>
      <c r="N996" t="s">
        <v>45</v>
      </c>
      <c r="O996" t="s">
        <v>38</v>
      </c>
      <c r="P996">
        <f>VLOOKUP(O996, Coordinates!$A$2:$C$6, 2, FALSE)</f>
        <v>25.761700000000001</v>
      </c>
      <c r="Q996">
        <f>VLOOKUP(O996, Coordinates!$A$2:$C$6, 3, FALSE)</f>
        <v>-80.191800000000001</v>
      </c>
      <c r="R996">
        <v>29</v>
      </c>
      <c r="S996">
        <v>216</v>
      </c>
      <c r="T996">
        <v>24</v>
      </c>
      <c r="U996">
        <v>20.728569761444</v>
      </c>
      <c r="V996" t="s">
        <v>55</v>
      </c>
      <c r="W996">
        <v>4.0365365540748597</v>
      </c>
      <c r="X996" t="s">
        <v>46</v>
      </c>
      <c r="Y996" t="s">
        <v>32</v>
      </c>
      <c r="Z996">
        <v>230.90549689375999</v>
      </c>
    </row>
    <row r="997" spans="1:26" x14ac:dyDescent="0.3">
      <c r="A997" t="s">
        <v>72</v>
      </c>
      <c r="B997" t="s">
        <v>1053</v>
      </c>
      <c r="D997">
        <v>97</v>
      </c>
      <c r="E997">
        <v>470</v>
      </c>
      <c r="F997">
        <v>11375.0315158177</v>
      </c>
      <c r="G997" t="s">
        <v>26</v>
      </c>
      <c r="H997">
        <v>37</v>
      </c>
      <c r="I997">
        <v>29</v>
      </c>
      <c r="J997">
        <v>56</v>
      </c>
      <c r="K997">
        <v>8</v>
      </c>
      <c r="L997" t="s">
        <v>27</v>
      </c>
      <c r="M997">
        <v>7.6970394718709496</v>
      </c>
      <c r="N997" t="s">
        <v>37</v>
      </c>
      <c r="O997" t="s">
        <v>58</v>
      </c>
      <c r="P997">
        <f>VLOOKUP(O997, Coordinates!$A$2:$C$6, 2, FALSE)</f>
        <v>34.052199999999999</v>
      </c>
      <c r="Q997">
        <f>VLOOKUP(O997, Coordinates!$A$2:$C$6, 3, FALSE)</f>
        <v>-118.2437</v>
      </c>
      <c r="R997">
        <v>27</v>
      </c>
      <c r="S997">
        <v>221</v>
      </c>
      <c r="T997">
        <v>4</v>
      </c>
      <c r="U997">
        <v>75.5814449401269</v>
      </c>
      <c r="V997" t="s">
        <v>55</v>
      </c>
      <c r="W997">
        <v>4.3280898913456802</v>
      </c>
      <c r="X997" t="s">
        <v>52</v>
      </c>
      <c r="Y997" t="s">
        <v>32</v>
      </c>
      <c r="Z997">
        <v>174.49729503144999</v>
      </c>
    </row>
    <row r="998" spans="1:26" x14ac:dyDescent="0.3">
      <c r="A998" t="s">
        <v>82</v>
      </c>
      <c r="B998" t="s">
        <v>1054</v>
      </c>
      <c r="C998">
        <v>30.388999830391501</v>
      </c>
      <c r="D998">
        <v>65</v>
      </c>
      <c r="E998">
        <v>843</v>
      </c>
      <c r="F998">
        <v>2135.2220766618798</v>
      </c>
      <c r="G998" t="s">
        <v>54</v>
      </c>
      <c r="H998">
        <v>85</v>
      </c>
      <c r="I998">
        <v>2</v>
      </c>
      <c r="J998">
        <v>72</v>
      </c>
      <c r="K998">
        <v>3</v>
      </c>
      <c r="L998" t="s">
        <v>27</v>
      </c>
      <c r="M998">
        <v>10.197519757850401</v>
      </c>
      <c r="N998" t="s">
        <v>28</v>
      </c>
      <c r="O998" t="s">
        <v>38</v>
      </c>
      <c r="P998">
        <f>VLOOKUP(O998, Coordinates!$A$2:$C$6, 2, FALSE)</f>
        <v>25.761700000000001</v>
      </c>
      <c r="Q998">
        <f>VLOOKUP(O998, Coordinates!$A$2:$C$6, 3, FALSE)</f>
        <v>-80.191800000000001</v>
      </c>
      <c r="R998">
        <v>23</v>
      </c>
      <c r="S998">
        <v>581</v>
      </c>
      <c r="T998">
        <v>24</v>
      </c>
      <c r="U998">
        <v>12.888787643657</v>
      </c>
      <c r="V998" t="s">
        <v>39</v>
      </c>
      <c r="W998">
        <v>4.0686674531202103</v>
      </c>
      <c r="X998" t="s">
        <v>46</v>
      </c>
      <c r="Y998" t="s">
        <v>41</v>
      </c>
      <c r="Z998">
        <v>892.94017015869997</v>
      </c>
    </row>
    <row r="999" spans="1:26" x14ac:dyDescent="0.3">
      <c r="A999" t="s">
        <v>24</v>
      </c>
      <c r="B999" t="s">
        <v>1055</v>
      </c>
      <c r="C999">
        <v>27.598860133319398</v>
      </c>
      <c r="D999">
        <v>3</v>
      </c>
      <c r="E999">
        <v>758</v>
      </c>
      <c r="F999">
        <v>18827.942382950499</v>
      </c>
      <c r="G999" t="s">
        <v>48</v>
      </c>
      <c r="H999">
        <v>60</v>
      </c>
      <c r="I999">
        <v>28</v>
      </c>
      <c r="J999">
        <v>21</v>
      </c>
      <c r="K999">
        <v>2</v>
      </c>
      <c r="L999" t="s">
        <v>27</v>
      </c>
      <c r="M999">
        <v>12.523015231116799</v>
      </c>
      <c r="N999" t="s">
        <v>28</v>
      </c>
      <c r="O999" t="s">
        <v>29</v>
      </c>
      <c r="P999">
        <f>VLOOKUP(O999, Coordinates!$A$2:$C$6, 2, FALSE)</f>
        <v>29.760400000000001</v>
      </c>
      <c r="Q999">
        <f>VLOOKUP(O999, Coordinates!$A$2:$C$6, 3, FALSE)</f>
        <v>-95.369799999999998</v>
      </c>
      <c r="R999">
        <v>23</v>
      </c>
      <c r="S999">
        <v>269</v>
      </c>
      <c r="T999">
        <v>16</v>
      </c>
      <c r="U999">
        <v>80.188136420000006</v>
      </c>
      <c r="V999" t="s">
        <v>55</v>
      </c>
      <c r="W999">
        <v>2.1183728794147698</v>
      </c>
      <c r="X999" t="s">
        <v>52</v>
      </c>
      <c r="Y999" t="s">
        <v>32</v>
      </c>
      <c r="Z999">
        <v>434.59589427339603</v>
      </c>
    </row>
    <row r="1000" spans="1:26" x14ac:dyDescent="0.3">
      <c r="A1000" t="s">
        <v>33</v>
      </c>
      <c r="B1000" t="s">
        <v>1056</v>
      </c>
      <c r="C1000">
        <v>17.494235360000001</v>
      </c>
      <c r="D1000">
        <v>42</v>
      </c>
      <c r="E1000">
        <v>606</v>
      </c>
      <c r="F1000">
        <v>6444.55011832933</v>
      </c>
      <c r="G1000" t="s">
        <v>26</v>
      </c>
      <c r="H1000">
        <v>46</v>
      </c>
      <c r="I1000">
        <v>23</v>
      </c>
      <c r="J1000">
        <v>52</v>
      </c>
      <c r="K1000">
        <v>5</v>
      </c>
      <c r="L1000" t="s">
        <v>44</v>
      </c>
      <c r="M1000">
        <v>6.2439399256025601</v>
      </c>
      <c r="N1000" t="s">
        <v>51</v>
      </c>
      <c r="O1000" t="s">
        <v>65</v>
      </c>
      <c r="P1000">
        <f>VLOOKUP(O1000, Coordinates!$A$2:$C$6, 2, FALSE)</f>
        <v>41.878100000000003</v>
      </c>
      <c r="Q1000">
        <f>VLOOKUP(O1000, Coordinates!$A$2:$C$6, 3, FALSE)</f>
        <v>-87.629800000000003</v>
      </c>
      <c r="R1000">
        <v>28</v>
      </c>
      <c r="S1000">
        <v>777</v>
      </c>
      <c r="T1000">
        <v>18</v>
      </c>
      <c r="U1000">
        <v>47.637209060699298</v>
      </c>
      <c r="V1000" t="s">
        <v>55</v>
      </c>
      <c r="W1000">
        <v>2.3663033755157801</v>
      </c>
      <c r="X1000" t="s">
        <v>31</v>
      </c>
      <c r="Y1000" t="s">
        <v>41</v>
      </c>
      <c r="Z1000">
        <v>548.85364279999999</v>
      </c>
    </row>
    <row r="1001" spans="1:26" x14ac:dyDescent="0.3">
      <c r="A1001" t="s">
        <v>72</v>
      </c>
      <c r="B1001" t="s">
        <v>1057</v>
      </c>
      <c r="C1001">
        <v>21.162991317739799</v>
      </c>
      <c r="D1001">
        <v>21</v>
      </c>
      <c r="E1001">
        <v>588</v>
      </c>
      <c r="F1001">
        <v>11199.4550053479</v>
      </c>
      <c r="G1001" t="s">
        <v>26</v>
      </c>
      <c r="H1001">
        <v>53</v>
      </c>
      <c r="I1001">
        <v>4</v>
      </c>
      <c r="J1001">
        <v>93</v>
      </c>
      <c r="K1001">
        <v>2</v>
      </c>
      <c r="L1001" t="s">
        <v>27</v>
      </c>
      <c r="M1001">
        <v>13.8349371469355</v>
      </c>
      <c r="N1001" t="s">
        <v>57</v>
      </c>
      <c r="O1001" t="s">
        <v>58</v>
      </c>
      <c r="P1001">
        <f>VLOOKUP(O1001, Coordinates!$A$2:$C$6, 2, FALSE)</f>
        <v>34.052199999999999</v>
      </c>
      <c r="Q1001">
        <f>VLOOKUP(O1001, Coordinates!$A$2:$C$6, 3, FALSE)</f>
        <v>-118.2437</v>
      </c>
      <c r="R1001">
        <v>20</v>
      </c>
      <c r="S1001">
        <v>499</v>
      </c>
      <c r="T1001">
        <v>28</v>
      </c>
      <c r="U1001">
        <v>85.915519189872697</v>
      </c>
      <c r="V1001" t="s">
        <v>55</v>
      </c>
      <c r="W1001">
        <v>1.32545834496269</v>
      </c>
      <c r="X1001" t="s">
        <v>52</v>
      </c>
      <c r="Y1001" t="s">
        <v>60</v>
      </c>
      <c r="Z1001">
        <v>822.75404160000005</v>
      </c>
    </row>
    <row r="1002" spans="1:26" x14ac:dyDescent="0.3">
      <c r="A1002" t="s">
        <v>24</v>
      </c>
      <c r="B1002" t="s">
        <v>1058</v>
      </c>
      <c r="C1002">
        <v>20.860093083705099</v>
      </c>
      <c r="D1002">
        <v>99</v>
      </c>
      <c r="E1002">
        <v>842</v>
      </c>
      <c r="F1002">
        <v>15807.778538831701</v>
      </c>
      <c r="G1002" t="s">
        <v>48</v>
      </c>
      <c r="H1002">
        <v>45</v>
      </c>
      <c r="I1002">
        <v>17</v>
      </c>
      <c r="J1002">
        <v>38</v>
      </c>
      <c r="K1002">
        <v>10</v>
      </c>
      <c r="L1002" t="s">
        <v>36</v>
      </c>
      <c r="M1002">
        <v>5.5398101690285797</v>
      </c>
      <c r="N1002" t="s">
        <v>28</v>
      </c>
      <c r="O1002" t="s">
        <v>38</v>
      </c>
      <c r="P1002">
        <f>VLOOKUP(O1002, Coordinates!$A$2:$C$6, 2, FALSE)</f>
        <v>25.761700000000001</v>
      </c>
      <c r="Q1002">
        <f>VLOOKUP(O1002, Coordinates!$A$2:$C$6, 3, FALSE)</f>
        <v>-80.191800000000001</v>
      </c>
      <c r="R1002">
        <v>18</v>
      </c>
      <c r="S1002">
        <v>941</v>
      </c>
      <c r="T1002">
        <v>12</v>
      </c>
      <c r="U1002">
        <v>81.464582481461093</v>
      </c>
      <c r="V1002" t="s">
        <v>30</v>
      </c>
      <c r="W1002">
        <v>1.4440201811015001</v>
      </c>
      <c r="X1002" t="s">
        <v>46</v>
      </c>
      <c r="Y1002" t="s">
        <v>41</v>
      </c>
      <c r="Z1002">
        <v>435.85124038155402</v>
      </c>
    </row>
    <row r="1003" spans="1:26" x14ac:dyDescent="0.3">
      <c r="A1003" t="s">
        <v>61</v>
      </c>
      <c r="B1003" t="s">
        <v>1059</v>
      </c>
      <c r="C1003">
        <v>12.2565697741883</v>
      </c>
      <c r="D1003">
        <v>40</v>
      </c>
      <c r="E1003">
        <v>34</v>
      </c>
      <c r="F1003">
        <v>9180.8280272337706</v>
      </c>
      <c r="G1003" t="s">
        <v>35</v>
      </c>
      <c r="H1003">
        <v>67</v>
      </c>
      <c r="I1003">
        <v>6</v>
      </c>
      <c r="J1003">
        <v>58</v>
      </c>
      <c r="K1003">
        <v>5</v>
      </c>
      <c r="L1003" t="s">
        <v>36</v>
      </c>
      <c r="M1003">
        <v>8.4320368545808506</v>
      </c>
      <c r="N1003" t="s">
        <v>28</v>
      </c>
      <c r="O1003" t="s">
        <v>38</v>
      </c>
      <c r="P1003">
        <f>VLOOKUP(O1003, Coordinates!$A$2:$C$6, 2, FALSE)</f>
        <v>25.761700000000001</v>
      </c>
      <c r="Q1003">
        <f>VLOOKUP(O1003, Coordinates!$A$2:$C$6, 3, FALSE)</f>
        <v>-80.191800000000001</v>
      </c>
      <c r="R1003">
        <v>12</v>
      </c>
      <c r="S1003">
        <v>760</v>
      </c>
      <c r="T1003">
        <v>20</v>
      </c>
      <c r="U1003">
        <v>21.962169265256701</v>
      </c>
      <c r="V1003" t="s">
        <v>55</v>
      </c>
      <c r="W1003">
        <v>4.9058721168024197</v>
      </c>
      <c r="X1003" t="s">
        <v>31</v>
      </c>
      <c r="Y1003" t="s">
        <v>32</v>
      </c>
      <c r="Z1003">
        <v>881.15927553436597</v>
      </c>
    </row>
    <row r="1004" spans="1:26" x14ac:dyDescent="0.3">
      <c r="A1004" t="s">
        <v>49</v>
      </c>
      <c r="B1004" t="s">
        <v>1060</v>
      </c>
      <c r="C1004">
        <v>41.345130739210298</v>
      </c>
      <c r="D1004">
        <v>67</v>
      </c>
      <c r="E1004">
        <v>363</v>
      </c>
      <c r="F1004">
        <v>6741.3744062169799</v>
      </c>
      <c r="G1004" t="s">
        <v>35</v>
      </c>
      <c r="H1004">
        <v>3</v>
      </c>
      <c r="I1004">
        <v>11</v>
      </c>
      <c r="J1004">
        <v>12</v>
      </c>
      <c r="K1004">
        <v>10</v>
      </c>
      <c r="L1004" t="s">
        <v>27</v>
      </c>
      <c r="M1004">
        <v>14.4590652004985</v>
      </c>
      <c r="N1004" t="s">
        <v>45</v>
      </c>
      <c r="O1004" t="s">
        <v>38</v>
      </c>
      <c r="P1004">
        <f>VLOOKUP(O1004, Coordinates!$A$2:$C$6, 2, FALSE)</f>
        <v>25.761700000000001</v>
      </c>
      <c r="Q1004">
        <f>VLOOKUP(O1004, Coordinates!$A$2:$C$6, 3, FALSE)</f>
        <v>-80.191800000000001</v>
      </c>
      <c r="R1004">
        <v>29</v>
      </c>
      <c r="S1004">
        <v>599</v>
      </c>
      <c r="T1004">
        <v>15</v>
      </c>
      <c r="U1004">
        <v>16.493101620971998</v>
      </c>
      <c r="V1004" t="s">
        <v>39</v>
      </c>
      <c r="W1004">
        <v>4.4480165116561601</v>
      </c>
      <c r="X1004" t="s">
        <v>46</v>
      </c>
      <c r="Y1004" t="s">
        <v>32</v>
      </c>
      <c r="Z1004">
        <v>389.52808272709001</v>
      </c>
    </row>
    <row r="1005" spans="1:26" x14ac:dyDescent="0.3">
      <c r="A1005" t="s">
        <v>82</v>
      </c>
      <c r="B1005" t="s">
        <v>1061</v>
      </c>
      <c r="C1005">
        <v>39.9346968264854</v>
      </c>
      <c r="D1005">
        <v>25</v>
      </c>
      <c r="E1005">
        <v>923</v>
      </c>
      <c r="F1005">
        <v>7922.5288257122802</v>
      </c>
      <c r="G1005" t="s">
        <v>48</v>
      </c>
      <c r="H1005">
        <v>93</v>
      </c>
      <c r="I1005">
        <v>6</v>
      </c>
      <c r="J1005">
        <v>78</v>
      </c>
      <c r="K1005">
        <v>6</v>
      </c>
      <c r="L1005" t="s">
        <v>27</v>
      </c>
      <c r="M1005">
        <v>14.134784815958501</v>
      </c>
      <c r="N1005" t="s">
        <v>57</v>
      </c>
      <c r="O1005" t="s">
        <v>29</v>
      </c>
      <c r="P1005">
        <f>VLOOKUP(O1005, Coordinates!$A$2:$C$6, 2, FALSE)</f>
        <v>29.760400000000001</v>
      </c>
      <c r="Q1005">
        <f>VLOOKUP(O1005, Coordinates!$A$2:$C$6, 3, FALSE)</f>
        <v>-95.369799999999998</v>
      </c>
      <c r="R1005">
        <v>23</v>
      </c>
      <c r="S1005">
        <v>173</v>
      </c>
      <c r="T1005">
        <v>18</v>
      </c>
      <c r="U1005">
        <v>84.500501671861002</v>
      </c>
      <c r="V1005" t="s">
        <v>30</v>
      </c>
      <c r="W1005">
        <v>0.959344860574873</v>
      </c>
      <c r="X1005" t="s">
        <v>46</v>
      </c>
      <c r="Y1005" t="s">
        <v>41</v>
      </c>
      <c r="Z1005">
        <v>759.14400370394901</v>
      </c>
    </row>
    <row r="1006" spans="1:26" x14ac:dyDescent="0.3">
      <c r="A1006" t="s">
        <v>42</v>
      </c>
      <c r="B1006" t="s">
        <v>1062</v>
      </c>
      <c r="C1006">
        <v>22.2652231173989</v>
      </c>
      <c r="D1006">
        <v>55</v>
      </c>
      <c r="E1006">
        <v>292</v>
      </c>
      <c r="F1006">
        <v>4317.06222124942</v>
      </c>
      <c r="G1006" t="s">
        <v>26</v>
      </c>
      <c r="H1006">
        <v>65</v>
      </c>
      <c r="I1006">
        <v>22</v>
      </c>
      <c r="J1006">
        <v>69</v>
      </c>
      <c r="K1006">
        <v>8</v>
      </c>
      <c r="L1006" t="s">
        <v>27</v>
      </c>
      <c r="M1006">
        <v>10.740431253388399</v>
      </c>
      <c r="N1006" t="s">
        <v>37</v>
      </c>
      <c r="O1006" t="s">
        <v>29</v>
      </c>
      <c r="P1006">
        <f>VLOOKUP(O1006, Coordinates!$A$2:$C$6, 2, FALSE)</f>
        <v>29.760400000000001</v>
      </c>
      <c r="Q1006">
        <f>VLOOKUP(O1006, Coordinates!$A$2:$C$6, 3, FALSE)</f>
        <v>-95.369799999999998</v>
      </c>
      <c r="R1006">
        <v>1</v>
      </c>
      <c r="S1006">
        <v>248</v>
      </c>
      <c r="T1006">
        <v>5</v>
      </c>
      <c r="U1006">
        <v>48.2203697162794</v>
      </c>
      <c r="V1006" t="s">
        <v>30</v>
      </c>
      <c r="W1006">
        <v>1.3776233893246601</v>
      </c>
      <c r="X1006" t="s">
        <v>52</v>
      </c>
      <c r="Y1006" t="s">
        <v>41</v>
      </c>
      <c r="Z1006">
        <v>700.63294463858097</v>
      </c>
    </row>
    <row r="1007" spans="1:26" x14ac:dyDescent="0.3">
      <c r="A1007" t="s">
        <v>42</v>
      </c>
      <c r="B1007" t="s">
        <v>1063</v>
      </c>
      <c r="C1007">
        <v>46.373224419858097</v>
      </c>
      <c r="D1007">
        <v>84</v>
      </c>
      <c r="E1007">
        <v>90</v>
      </c>
      <c r="F1007">
        <v>9640.1069270000007</v>
      </c>
      <c r="G1007" t="s">
        <v>35</v>
      </c>
      <c r="H1007">
        <v>92</v>
      </c>
      <c r="I1007">
        <v>2</v>
      </c>
      <c r="J1007">
        <v>75</v>
      </c>
      <c r="K1007">
        <v>6</v>
      </c>
      <c r="L1007" t="s">
        <v>36</v>
      </c>
      <c r="M1007">
        <v>5.5438427226501199</v>
      </c>
      <c r="N1007" t="s">
        <v>45</v>
      </c>
      <c r="O1007" t="s">
        <v>38</v>
      </c>
      <c r="P1007">
        <f>VLOOKUP(O1007, Coordinates!$A$2:$C$6, 2, FALSE)</f>
        <v>25.761700000000001</v>
      </c>
      <c r="Q1007">
        <f>VLOOKUP(O1007, Coordinates!$A$2:$C$6, 3, FALSE)</f>
        <v>-80.191800000000001</v>
      </c>
      <c r="R1007">
        <v>25</v>
      </c>
      <c r="S1007">
        <v>636</v>
      </c>
      <c r="T1007">
        <v>26</v>
      </c>
      <c r="U1007">
        <v>56.642942089407804</v>
      </c>
      <c r="V1007" t="s">
        <v>55</v>
      </c>
      <c r="W1007">
        <v>3.7011785212629098</v>
      </c>
      <c r="X1007" t="s">
        <v>52</v>
      </c>
      <c r="Y1007" t="s">
        <v>41</v>
      </c>
      <c r="Z1007">
        <v>281.21149473280002</v>
      </c>
    </row>
    <row r="1008" spans="1:26" x14ac:dyDescent="0.3">
      <c r="A1008" t="s">
        <v>33</v>
      </c>
      <c r="B1008" t="s">
        <v>1064</v>
      </c>
      <c r="C1008">
        <v>36.549439712347898</v>
      </c>
      <c r="D1008">
        <v>52</v>
      </c>
      <c r="E1008">
        <v>965</v>
      </c>
      <c r="F1008">
        <v>8384.1516114248298</v>
      </c>
      <c r="G1008" t="s">
        <v>48</v>
      </c>
      <c r="H1008">
        <v>3</v>
      </c>
      <c r="I1008">
        <v>30</v>
      </c>
      <c r="J1008">
        <v>96</v>
      </c>
      <c r="K1008">
        <v>4</v>
      </c>
      <c r="L1008" t="s">
        <v>44</v>
      </c>
      <c r="M1008">
        <v>4.0664904650000002</v>
      </c>
      <c r="N1008" t="s">
        <v>37</v>
      </c>
      <c r="O1008" t="s">
        <v>67</v>
      </c>
      <c r="P1008">
        <f>VLOOKUP(O1008, Coordinates!$A$2:$C$6, 2, FALSE)</f>
        <v>40.712800000000001</v>
      </c>
      <c r="Q1008">
        <f>VLOOKUP(O1008, Coordinates!$A$2:$C$6, 3, FALSE)</f>
        <v>-74.006</v>
      </c>
      <c r="R1008">
        <v>27</v>
      </c>
      <c r="S1008">
        <v>991</v>
      </c>
      <c r="T1008">
        <v>26</v>
      </c>
      <c r="U1008">
        <v>25.902640798755801</v>
      </c>
      <c r="V1008" t="s">
        <v>39</v>
      </c>
      <c r="W1008">
        <v>4.9443539148984499</v>
      </c>
      <c r="X1008" t="s">
        <v>52</v>
      </c>
      <c r="Y1008" t="s">
        <v>41</v>
      </c>
      <c r="Z1008">
        <v>212.048024783324</v>
      </c>
    </row>
    <row r="1009" spans="1:26" x14ac:dyDescent="0.3">
      <c r="A1009" t="s">
        <v>61</v>
      </c>
      <c r="B1009" t="s">
        <v>1065</v>
      </c>
      <c r="C1009">
        <v>37.471352021757298</v>
      </c>
      <c r="D1009">
        <v>44</v>
      </c>
      <c r="E1009">
        <v>751</v>
      </c>
      <c r="F1009">
        <v>8685.5361671308892</v>
      </c>
      <c r="G1009" t="s">
        <v>54</v>
      </c>
      <c r="H1009">
        <v>61</v>
      </c>
      <c r="I1009">
        <v>3</v>
      </c>
      <c r="J1009">
        <v>99</v>
      </c>
      <c r="K1009">
        <v>3</v>
      </c>
      <c r="L1009" t="s">
        <v>44</v>
      </c>
      <c r="M1009">
        <v>2.1220069746696102</v>
      </c>
      <c r="N1009" t="s">
        <v>51</v>
      </c>
      <c r="O1009" t="s">
        <v>38</v>
      </c>
      <c r="P1009">
        <f>VLOOKUP(O1009, Coordinates!$A$2:$C$6, 2, FALSE)</f>
        <v>25.761700000000001</v>
      </c>
      <c r="Q1009">
        <f>VLOOKUP(O1009, Coordinates!$A$2:$C$6, 3, FALSE)</f>
        <v>-80.191800000000001</v>
      </c>
      <c r="R1009">
        <v>11</v>
      </c>
      <c r="S1009">
        <v>160</v>
      </c>
      <c r="T1009">
        <v>14</v>
      </c>
      <c r="U1009">
        <v>15.5281820074248</v>
      </c>
      <c r="V1009" t="s">
        <v>55</v>
      </c>
      <c r="W1009">
        <v>4.5360492526527301</v>
      </c>
      <c r="X1009" t="s">
        <v>31</v>
      </c>
      <c r="Y1009" t="s">
        <v>60</v>
      </c>
      <c r="Z1009">
        <v>200.399206041084</v>
      </c>
    </row>
    <row r="1010" spans="1:26" x14ac:dyDescent="0.3">
      <c r="A1010" t="s">
        <v>82</v>
      </c>
      <c r="B1010" t="s">
        <v>1066</v>
      </c>
      <c r="C1010">
        <v>75.207522989856002</v>
      </c>
      <c r="D1010">
        <v>98</v>
      </c>
      <c r="E1010">
        <v>317</v>
      </c>
      <c r="F1010">
        <v>2549.7484068317799</v>
      </c>
      <c r="G1010" t="s">
        <v>26</v>
      </c>
      <c r="H1010">
        <v>99</v>
      </c>
      <c r="I1010">
        <v>12</v>
      </c>
      <c r="J1010">
        <v>35</v>
      </c>
      <c r="K1010">
        <v>2</v>
      </c>
      <c r="L1010" t="s">
        <v>27</v>
      </c>
      <c r="M1010">
        <v>10.921161666351299</v>
      </c>
      <c r="N1010" t="s">
        <v>28</v>
      </c>
      <c r="O1010" t="s">
        <v>65</v>
      </c>
      <c r="P1010">
        <f>VLOOKUP(O1010, Coordinates!$A$2:$C$6, 2, FALSE)</f>
        <v>41.878100000000003</v>
      </c>
      <c r="Q1010">
        <f>VLOOKUP(O1010, Coordinates!$A$2:$C$6, 3, FALSE)</f>
        <v>-87.629800000000003</v>
      </c>
      <c r="R1010">
        <v>2</v>
      </c>
      <c r="S1010">
        <v>965</v>
      </c>
      <c r="T1010">
        <v>24</v>
      </c>
      <c r="U1010">
        <v>43.099851938666198</v>
      </c>
      <c r="V1010" t="s">
        <v>30</v>
      </c>
      <c r="W1010">
        <v>2.76048993493698</v>
      </c>
      <c r="X1010" t="s">
        <v>52</v>
      </c>
      <c r="Y1010" t="s">
        <v>32</v>
      </c>
      <c r="Z1010">
        <v>685.82245213944202</v>
      </c>
    </row>
    <row r="1011" spans="1:26" x14ac:dyDescent="0.3">
      <c r="A1011" t="s">
        <v>61</v>
      </c>
      <c r="B1011" t="s">
        <v>1067</v>
      </c>
      <c r="C1011">
        <v>26.210021622993601</v>
      </c>
      <c r="D1011">
        <v>85</v>
      </c>
      <c r="E1011">
        <v>369</v>
      </c>
      <c r="F1011">
        <v>3438.6688708409702</v>
      </c>
      <c r="G1011" t="s">
        <v>54</v>
      </c>
      <c r="H1011">
        <v>84</v>
      </c>
      <c r="I1011">
        <v>14</v>
      </c>
      <c r="J1011">
        <v>80</v>
      </c>
      <c r="K1011">
        <v>1</v>
      </c>
      <c r="L1011" t="s">
        <v>44</v>
      </c>
      <c r="M1011">
        <v>8.0483097160284895</v>
      </c>
      <c r="N1011" t="s">
        <v>45</v>
      </c>
      <c r="O1011" t="s">
        <v>38</v>
      </c>
      <c r="P1011">
        <f>VLOOKUP(O1011, Coordinates!$A$2:$C$6, 2, FALSE)</f>
        <v>25.761700000000001</v>
      </c>
      <c r="Q1011">
        <f>VLOOKUP(O1011, Coordinates!$A$2:$C$6, 3, FALSE)</f>
        <v>-80.191800000000001</v>
      </c>
      <c r="R1011">
        <v>25</v>
      </c>
      <c r="S1011">
        <v>153</v>
      </c>
      <c r="T1011">
        <v>27</v>
      </c>
      <c r="U1011">
        <v>55.553162714208</v>
      </c>
      <c r="V1011" t="s">
        <v>55</v>
      </c>
      <c r="W1011">
        <v>4.0354236731608397</v>
      </c>
      <c r="X1011" t="s">
        <v>31</v>
      </c>
      <c r="Y1011" t="s">
        <v>32</v>
      </c>
      <c r="Z1011">
        <v>111.649384911562</v>
      </c>
    </row>
    <row r="1012" spans="1:26" x14ac:dyDescent="0.3">
      <c r="A1012" t="s">
        <v>82</v>
      </c>
      <c r="B1012" t="s">
        <v>1068</v>
      </c>
      <c r="C1012">
        <v>65.976696091258702</v>
      </c>
      <c r="D1012">
        <v>56</v>
      </c>
      <c r="E1012">
        <v>781</v>
      </c>
      <c r="F1012">
        <v>3570.6393971521902</v>
      </c>
      <c r="G1012" t="s">
        <v>26</v>
      </c>
      <c r="H1012">
        <v>84</v>
      </c>
      <c r="I1012">
        <v>2</v>
      </c>
      <c r="J1012">
        <v>83</v>
      </c>
      <c r="K1012">
        <v>2</v>
      </c>
      <c r="L1012" t="s">
        <v>36</v>
      </c>
      <c r="M1012">
        <v>9.0120277152196007</v>
      </c>
      <c r="N1012" t="s">
        <v>37</v>
      </c>
      <c r="O1012" t="s">
        <v>65</v>
      </c>
      <c r="P1012">
        <f>VLOOKUP(O1012, Coordinates!$A$2:$C$6, 2, FALSE)</f>
        <v>41.878100000000003</v>
      </c>
      <c r="Q1012">
        <f>VLOOKUP(O1012, Coordinates!$A$2:$C$6, 3, FALSE)</f>
        <v>-87.629800000000003</v>
      </c>
      <c r="R1012">
        <v>2</v>
      </c>
      <c r="S1012">
        <v>322</v>
      </c>
      <c r="T1012">
        <v>7</v>
      </c>
      <c r="U1012">
        <v>78.888755969022498</v>
      </c>
      <c r="V1012" t="s">
        <v>30</v>
      </c>
      <c r="W1012">
        <v>3.7397346979532702</v>
      </c>
      <c r="X1012" t="s">
        <v>46</v>
      </c>
      <c r="Y1012" t="s">
        <v>41</v>
      </c>
      <c r="Z1012">
        <v>694.60676750524499</v>
      </c>
    </row>
    <row r="1013" spans="1:26" x14ac:dyDescent="0.3">
      <c r="A1013" t="s">
        <v>33</v>
      </c>
      <c r="B1013" t="s">
        <v>1069</v>
      </c>
      <c r="C1013">
        <v>59.211714268688802</v>
      </c>
      <c r="D1013">
        <v>55</v>
      </c>
      <c r="E1013">
        <v>803</v>
      </c>
      <c r="F1013">
        <v>3438.1830092218402</v>
      </c>
      <c r="G1013" t="s">
        <v>35</v>
      </c>
      <c r="H1013">
        <v>84</v>
      </c>
      <c r="I1013">
        <v>22</v>
      </c>
      <c r="J1013">
        <v>78</v>
      </c>
      <c r="K1013">
        <v>2</v>
      </c>
      <c r="L1013" t="s">
        <v>27</v>
      </c>
      <c r="M1013">
        <v>7.6134904350000001</v>
      </c>
      <c r="N1013" t="s">
        <v>57</v>
      </c>
      <c r="O1013" t="s">
        <v>58</v>
      </c>
      <c r="P1013">
        <f>VLOOKUP(O1013, Coordinates!$A$2:$C$6, 2, FALSE)</f>
        <v>34.052199999999999</v>
      </c>
      <c r="Q1013">
        <f>VLOOKUP(O1013, Coordinates!$A$2:$C$6, 3, FALSE)</f>
        <v>-118.2437</v>
      </c>
      <c r="R1013">
        <v>17</v>
      </c>
      <c r="S1013">
        <v>830</v>
      </c>
      <c r="T1013">
        <v>11</v>
      </c>
      <c r="U1013">
        <v>55.094680021191699</v>
      </c>
      <c r="V1013" t="s">
        <v>39</v>
      </c>
      <c r="W1013">
        <v>1.01905613730112</v>
      </c>
      <c r="X1013" t="s">
        <v>46</v>
      </c>
      <c r="Y1013" t="s">
        <v>41</v>
      </c>
      <c r="Z1013">
        <v>803.76919134268303</v>
      </c>
    </row>
    <row r="1014" spans="1:26" x14ac:dyDescent="0.3">
      <c r="A1014" t="s">
        <v>33</v>
      </c>
      <c r="B1014" t="s">
        <v>1070</v>
      </c>
      <c r="C1014">
        <v>58.968788672097297</v>
      </c>
      <c r="D1014">
        <v>87</v>
      </c>
      <c r="E1014">
        <v>955</v>
      </c>
      <c r="F1014">
        <v>8698.6734589385906</v>
      </c>
      <c r="G1014" t="s">
        <v>54</v>
      </c>
      <c r="H1014">
        <v>4</v>
      </c>
      <c r="I1014">
        <v>30</v>
      </c>
      <c r="J1014">
        <v>56</v>
      </c>
      <c r="K1014">
        <v>5</v>
      </c>
      <c r="L1014" t="s">
        <v>44</v>
      </c>
      <c r="M1014">
        <v>7.7612500700281997</v>
      </c>
      <c r="N1014" t="s">
        <v>51</v>
      </c>
      <c r="O1014" t="s">
        <v>67</v>
      </c>
      <c r="P1014">
        <f>VLOOKUP(O1014, Coordinates!$A$2:$C$6, 2, FALSE)</f>
        <v>40.712800000000001</v>
      </c>
      <c r="Q1014">
        <f>VLOOKUP(O1014, Coordinates!$A$2:$C$6, 3, FALSE)</f>
        <v>-74.006</v>
      </c>
      <c r="R1014">
        <v>25</v>
      </c>
      <c r="S1014">
        <v>572</v>
      </c>
      <c r="T1014">
        <v>15</v>
      </c>
      <c r="U1014">
        <v>80.425631591731204</v>
      </c>
      <c r="V1014" t="s">
        <v>39</v>
      </c>
      <c r="W1014">
        <v>4.6733316866557804</v>
      </c>
      <c r="X1014" t="s">
        <v>52</v>
      </c>
      <c r="Y1014" t="s">
        <v>41</v>
      </c>
      <c r="Z1014">
        <v>372.25920782885601</v>
      </c>
    </row>
    <row r="1015" spans="1:26" x14ac:dyDescent="0.3">
      <c r="A1015" t="s">
        <v>42</v>
      </c>
      <c r="B1015" t="s">
        <v>1071</v>
      </c>
      <c r="C1015">
        <v>67.985697880000004</v>
      </c>
      <c r="D1015">
        <v>70</v>
      </c>
      <c r="E1015">
        <v>909</v>
      </c>
      <c r="F1015">
        <v>1286.96315687732</v>
      </c>
      <c r="G1015" t="s">
        <v>54</v>
      </c>
      <c r="H1015">
        <v>64</v>
      </c>
      <c r="I1015">
        <v>28</v>
      </c>
      <c r="J1015">
        <v>85</v>
      </c>
      <c r="K1015">
        <v>9</v>
      </c>
      <c r="L1015" t="s">
        <v>27</v>
      </c>
      <c r="M1015">
        <v>8.9978306688695096</v>
      </c>
      <c r="N1015" t="s">
        <v>51</v>
      </c>
      <c r="O1015" t="s">
        <v>38</v>
      </c>
      <c r="P1015">
        <f>VLOOKUP(O1015, Coordinates!$A$2:$C$6, 2, FALSE)</f>
        <v>25.761700000000001</v>
      </c>
      <c r="Q1015">
        <f>VLOOKUP(O1015, Coordinates!$A$2:$C$6, 3, FALSE)</f>
        <v>-80.191800000000001</v>
      </c>
      <c r="R1015">
        <v>6</v>
      </c>
      <c r="S1015">
        <v>415</v>
      </c>
      <c r="T1015">
        <v>21</v>
      </c>
      <c r="U1015">
        <v>20.388950170688201</v>
      </c>
      <c r="V1015" t="s">
        <v>39</v>
      </c>
      <c r="W1015">
        <v>2.6337135686080799</v>
      </c>
      <c r="X1015" t="s">
        <v>40</v>
      </c>
      <c r="Y1015" t="s">
        <v>60</v>
      </c>
      <c r="Z1015">
        <v>771.13044788355103</v>
      </c>
    </row>
    <row r="1016" spans="1:26" x14ac:dyDescent="0.3">
      <c r="A1016" t="s">
        <v>61</v>
      </c>
      <c r="B1016" t="s">
        <v>1072</v>
      </c>
      <c r="C1016">
        <v>57.096293438587097</v>
      </c>
      <c r="D1016">
        <v>77</v>
      </c>
      <c r="E1016">
        <v>273</v>
      </c>
      <c r="F1016">
        <v>1684.89990082696</v>
      </c>
      <c r="G1016" t="s">
        <v>48</v>
      </c>
      <c r="H1016">
        <v>61</v>
      </c>
      <c r="I1016">
        <v>22</v>
      </c>
      <c r="J1016">
        <v>51</v>
      </c>
      <c r="K1016">
        <v>1</v>
      </c>
      <c r="L1016" t="s">
        <v>27</v>
      </c>
      <c r="M1016">
        <v>13.7996680864645</v>
      </c>
      <c r="N1016" t="s">
        <v>28</v>
      </c>
      <c r="O1016" t="s">
        <v>29</v>
      </c>
      <c r="P1016">
        <f>VLOOKUP(O1016, Coordinates!$A$2:$C$6, 2, FALSE)</f>
        <v>29.760400000000001</v>
      </c>
      <c r="Q1016">
        <f>VLOOKUP(O1016, Coordinates!$A$2:$C$6, 3, FALSE)</f>
        <v>-95.369799999999998</v>
      </c>
      <c r="R1016">
        <v>16</v>
      </c>
      <c r="S1016">
        <v>269</v>
      </c>
      <c r="T1016">
        <v>11</v>
      </c>
      <c r="U1016">
        <v>15.7566494839556</v>
      </c>
      <c r="V1016" t="s">
        <v>30</v>
      </c>
      <c r="W1016">
        <v>0.46225768750213397</v>
      </c>
      <c r="X1016" t="s">
        <v>46</v>
      </c>
      <c r="Y1016" t="s">
        <v>60</v>
      </c>
      <c r="Z1016">
        <v>248.847660140502</v>
      </c>
    </row>
    <row r="1017" spans="1:26" x14ac:dyDescent="0.3">
      <c r="A1017" t="s">
        <v>72</v>
      </c>
      <c r="B1017" t="s">
        <v>1073</v>
      </c>
      <c r="C1017">
        <v>20.588901819901999</v>
      </c>
      <c r="D1017">
        <v>87</v>
      </c>
      <c r="E1017">
        <v>702</v>
      </c>
      <c r="F1017">
        <v>13008.0681698141</v>
      </c>
      <c r="G1017" t="s">
        <v>35</v>
      </c>
      <c r="H1017">
        <v>89</v>
      </c>
      <c r="I1017">
        <v>29</v>
      </c>
      <c r="J1017">
        <v>40</v>
      </c>
      <c r="K1017">
        <v>4</v>
      </c>
      <c r="L1017" t="s">
        <v>36</v>
      </c>
      <c r="M1017">
        <v>1.41112819255266</v>
      </c>
      <c r="N1017" t="s">
        <v>28</v>
      </c>
      <c r="O1017" t="s">
        <v>67</v>
      </c>
      <c r="P1017">
        <f>VLOOKUP(O1017, Coordinates!$A$2:$C$6, 2, FALSE)</f>
        <v>40.712800000000001</v>
      </c>
      <c r="Q1017">
        <f>VLOOKUP(O1017, Coordinates!$A$2:$C$6, 3, FALSE)</f>
        <v>-74.006</v>
      </c>
      <c r="R1017">
        <v>19</v>
      </c>
      <c r="S1017">
        <v>800</v>
      </c>
      <c r="T1017">
        <v>7</v>
      </c>
      <c r="U1017">
        <v>89.853771073091394</v>
      </c>
      <c r="V1017" t="s">
        <v>30</v>
      </c>
      <c r="W1017">
        <v>1.98541303916834</v>
      </c>
      <c r="X1017" t="s">
        <v>40</v>
      </c>
      <c r="Y1017" t="s">
        <v>41</v>
      </c>
      <c r="Z1017">
        <v>964.44185268303102</v>
      </c>
    </row>
    <row r="1018" spans="1:26" x14ac:dyDescent="0.3">
      <c r="A1018" t="s">
        <v>42</v>
      </c>
      <c r="B1018" t="s">
        <v>1074</v>
      </c>
      <c r="C1018">
        <v>69.180108735274601</v>
      </c>
      <c r="D1018">
        <v>73</v>
      </c>
      <c r="E1018">
        <v>135</v>
      </c>
      <c r="F1018">
        <v>2798.8567718449899</v>
      </c>
      <c r="G1018" t="s">
        <v>35</v>
      </c>
      <c r="H1018">
        <v>1</v>
      </c>
      <c r="I1018">
        <v>5</v>
      </c>
      <c r="J1018">
        <v>31</v>
      </c>
      <c r="K1018">
        <v>10</v>
      </c>
      <c r="L1018" t="s">
        <v>36</v>
      </c>
      <c r="M1018">
        <v>12.2229149140242</v>
      </c>
      <c r="N1018" t="s">
        <v>37</v>
      </c>
      <c r="O1018" t="s">
        <v>38</v>
      </c>
      <c r="P1018">
        <f>VLOOKUP(O1018, Coordinates!$A$2:$C$6, 2, FALSE)</f>
        <v>25.761700000000001</v>
      </c>
      <c r="Q1018">
        <f>VLOOKUP(O1018, Coordinates!$A$2:$C$6, 3, FALSE)</f>
        <v>-80.191800000000001</v>
      </c>
      <c r="R1018">
        <v>28</v>
      </c>
      <c r="S1018">
        <v>131</v>
      </c>
      <c r="T1018">
        <v>21</v>
      </c>
      <c r="U1018">
        <v>79.481091419985503</v>
      </c>
      <c r="V1018" t="s">
        <v>30</v>
      </c>
      <c r="W1018">
        <v>3.00823278088283</v>
      </c>
      <c r="X1018" t="s">
        <v>40</v>
      </c>
      <c r="Y1018" t="s">
        <v>32</v>
      </c>
      <c r="Z1018">
        <v>308.85956963386701</v>
      </c>
    </row>
    <row r="1019" spans="1:26" x14ac:dyDescent="0.3">
      <c r="A1019" t="s">
        <v>61</v>
      </c>
      <c r="B1019" t="s">
        <v>1075</v>
      </c>
      <c r="C1019">
        <v>56.961508880281798</v>
      </c>
      <c r="D1019">
        <v>81</v>
      </c>
      <c r="E1019">
        <v>807</v>
      </c>
      <c r="F1019">
        <v>3086.7365249456302</v>
      </c>
      <c r="G1019" t="s">
        <v>26</v>
      </c>
      <c r="H1019">
        <v>8</v>
      </c>
      <c r="I1019">
        <v>10</v>
      </c>
      <c r="J1019">
        <v>26</v>
      </c>
      <c r="K1019">
        <v>7</v>
      </c>
      <c r="L1019" t="s">
        <v>44</v>
      </c>
      <c r="M1019">
        <v>6.4672276478157196</v>
      </c>
      <c r="N1019" t="s">
        <v>37</v>
      </c>
      <c r="O1019" t="s">
        <v>58</v>
      </c>
      <c r="P1019">
        <f>VLOOKUP(O1019, Coordinates!$A$2:$C$6, 2, FALSE)</f>
        <v>34.052199999999999</v>
      </c>
      <c r="Q1019">
        <f>VLOOKUP(O1019, Coordinates!$A$2:$C$6, 3, FALSE)</f>
        <v>-118.2437</v>
      </c>
      <c r="R1019">
        <v>6</v>
      </c>
      <c r="S1019">
        <v>152</v>
      </c>
      <c r="T1019">
        <v>23</v>
      </c>
      <c r="U1019">
        <v>78.339720775483102</v>
      </c>
      <c r="V1019" t="s">
        <v>55</v>
      </c>
      <c r="W1019">
        <v>1.7641159573335099</v>
      </c>
      <c r="X1019" t="s">
        <v>40</v>
      </c>
      <c r="Y1019" t="s">
        <v>60</v>
      </c>
      <c r="Z1019">
        <v>539.52853940748696</v>
      </c>
    </row>
    <row r="1020" spans="1:26" x14ac:dyDescent="0.3">
      <c r="A1020" t="s">
        <v>42</v>
      </c>
      <c r="B1020" t="s">
        <v>1076</v>
      </c>
      <c r="C1020">
        <v>83.827496427326196</v>
      </c>
      <c r="D1020">
        <v>66</v>
      </c>
      <c r="E1020">
        <v>997</v>
      </c>
      <c r="F1020">
        <v>8181.488703</v>
      </c>
      <c r="G1020" t="s">
        <v>48</v>
      </c>
      <c r="H1020">
        <v>56</v>
      </c>
      <c r="I1020">
        <v>10</v>
      </c>
      <c r="J1020">
        <v>93</v>
      </c>
      <c r="K1020">
        <v>10</v>
      </c>
      <c r="L1020" t="s">
        <v>36</v>
      </c>
      <c r="M1020">
        <v>11.4289397419619</v>
      </c>
      <c r="N1020" t="s">
        <v>51</v>
      </c>
      <c r="O1020" t="s">
        <v>38</v>
      </c>
      <c r="P1020">
        <f>VLOOKUP(O1020, Coordinates!$A$2:$C$6, 2, FALSE)</f>
        <v>25.761700000000001</v>
      </c>
      <c r="Q1020">
        <f>VLOOKUP(O1020, Coordinates!$A$2:$C$6, 3, FALSE)</f>
        <v>-80.191800000000001</v>
      </c>
      <c r="R1020">
        <v>7</v>
      </c>
      <c r="S1020">
        <v>238</v>
      </c>
      <c r="T1020">
        <v>20</v>
      </c>
      <c r="U1020">
        <v>22.7231024059577</v>
      </c>
      <c r="V1020" t="s">
        <v>30</v>
      </c>
      <c r="W1020">
        <v>3.4960221387591499</v>
      </c>
      <c r="X1020" t="s">
        <v>52</v>
      </c>
      <c r="Y1020" t="s">
        <v>32</v>
      </c>
      <c r="Z1020">
        <v>982.44667770000001</v>
      </c>
    </row>
    <row r="1021" spans="1:26" x14ac:dyDescent="0.3">
      <c r="A1021" t="s">
        <v>72</v>
      </c>
      <c r="B1021" t="s">
        <v>1077</v>
      </c>
      <c r="C1021">
        <v>28.177587780313701</v>
      </c>
      <c r="D1021">
        <v>19</v>
      </c>
      <c r="E1021">
        <v>793</v>
      </c>
      <c r="F1021">
        <v>20110.344398809899</v>
      </c>
      <c r="G1021" t="s">
        <v>48</v>
      </c>
      <c r="H1021">
        <v>44</v>
      </c>
      <c r="I1021">
        <v>21</v>
      </c>
      <c r="J1021">
        <v>29</v>
      </c>
      <c r="K1021">
        <v>3</v>
      </c>
      <c r="L1021" t="s">
        <v>27</v>
      </c>
      <c r="M1021">
        <v>14.279368609420899</v>
      </c>
      <c r="N1021" t="s">
        <v>37</v>
      </c>
      <c r="O1021" t="s">
        <v>38</v>
      </c>
      <c r="P1021">
        <f>VLOOKUP(O1021, Coordinates!$A$2:$C$6, 2, FALSE)</f>
        <v>25.761700000000001</v>
      </c>
      <c r="Q1021">
        <f>VLOOKUP(O1021, Coordinates!$A$2:$C$6, 3, FALSE)</f>
        <v>-80.191800000000001</v>
      </c>
      <c r="R1021">
        <v>19</v>
      </c>
      <c r="S1021">
        <v>473</v>
      </c>
      <c r="T1021">
        <v>20</v>
      </c>
      <c r="U1021">
        <v>88.768362901698893</v>
      </c>
      <c r="V1021" t="s">
        <v>30</v>
      </c>
      <c r="W1021">
        <v>4.4102499020397703</v>
      </c>
      <c r="X1021" t="s">
        <v>31</v>
      </c>
      <c r="Y1021" t="s">
        <v>60</v>
      </c>
      <c r="Z1021">
        <v>916.42417820000003</v>
      </c>
    </row>
    <row r="1022" spans="1:26" x14ac:dyDescent="0.3">
      <c r="A1022" t="s">
        <v>49</v>
      </c>
      <c r="B1022" t="s">
        <v>1078</v>
      </c>
      <c r="C1022">
        <v>32.658703539591997</v>
      </c>
      <c r="D1022">
        <v>83</v>
      </c>
      <c r="E1022">
        <v>836</v>
      </c>
      <c r="F1022">
        <v>1051.9359516367099</v>
      </c>
      <c r="G1022" t="s">
        <v>26</v>
      </c>
      <c r="H1022">
        <v>17</v>
      </c>
      <c r="I1022">
        <v>9</v>
      </c>
      <c r="J1022">
        <v>17</v>
      </c>
      <c r="K1022">
        <v>8</v>
      </c>
      <c r="L1022" t="s">
        <v>36</v>
      </c>
      <c r="M1022">
        <v>5.2880179093686897</v>
      </c>
      <c r="N1022" t="s">
        <v>28</v>
      </c>
      <c r="O1022" t="s">
        <v>38</v>
      </c>
      <c r="P1022">
        <f>VLOOKUP(O1022, Coordinates!$A$2:$C$6, 2, FALSE)</f>
        <v>25.761700000000001</v>
      </c>
      <c r="Q1022">
        <f>VLOOKUP(O1022, Coordinates!$A$2:$C$6, 3, FALSE)</f>
        <v>-80.191800000000001</v>
      </c>
      <c r="R1022">
        <v>20</v>
      </c>
      <c r="S1022">
        <v>146</v>
      </c>
      <c r="T1022">
        <v>26</v>
      </c>
      <c r="U1022">
        <v>71.675374259094795</v>
      </c>
      <c r="V1022" t="s">
        <v>30</v>
      </c>
      <c r="W1022">
        <v>3.85946062191065</v>
      </c>
      <c r="X1022" t="s">
        <v>46</v>
      </c>
      <c r="Y1022" t="s">
        <v>41</v>
      </c>
      <c r="Z1022">
        <v>693.518642</v>
      </c>
    </row>
    <row r="1023" spans="1:26" x14ac:dyDescent="0.3">
      <c r="A1023" t="s">
        <v>49</v>
      </c>
      <c r="B1023" t="s">
        <v>1079</v>
      </c>
      <c r="C1023">
        <v>24.6740172267742</v>
      </c>
      <c r="D1023">
        <v>7</v>
      </c>
      <c r="E1023">
        <v>355</v>
      </c>
      <c r="F1023">
        <v>4863.9048913377501</v>
      </c>
      <c r="G1023" t="s">
        <v>54</v>
      </c>
      <c r="H1023">
        <v>47</v>
      </c>
      <c r="I1023">
        <v>30</v>
      </c>
      <c r="J1023">
        <v>58</v>
      </c>
      <c r="K1023">
        <v>3</v>
      </c>
      <c r="L1023" t="s">
        <v>44</v>
      </c>
      <c r="M1023">
        <v>2.2537649144131802</v>
      </c>
      <c r="N1023" t="s">
        <v>51</v>
      </c>
      <c r="O1023" t="s">
        <v>67</v>
      </c>
      <c r="P1023">
        <f>VLOOKUP(O1023, Coordinates!$A$2:$C$6, 2, FALSE)</f>
        <v>40.712800000000001</v>
      </c>
      <c r="Q1023">
        <f>VLOOKUP(O1023, Coordinates!$A$2:$C$6, 3, FALSE)</f>
        <v>-74.006</v>
      </c>
      <c r="R1023">
        <v>26</v>
      </c>
      <c r="S1023">
        <v>189</v>
      </c>
      <c r="T1023">
        <v>4</v>
      </c>
      <c r="U1023">
        <v>86.975360491867903</v>
      </c>
      <c r="V1023" t="s">
        <v>55</v>
      </c>
      <c r="W1023">
        <v>3.21329010048651</v>
      </c>
      <c r="X1023" t="s">
        <v>40</v>
      </c>
      <c r="Y1023" t="s">
        <v>41</v>
      </c>
      <c r="Z1023">
        <v>432.27348282683897</v>
      </c>
    </row>
    <row r="1024" spans="1:26" x14ac:dyDescent="0.3">
      <c r="A1024" t="s">
        <v>49</v>
      </c>
      <c r="B1024" t="s">
        <v>1080</v>
      </c>
      <c r="C1024">
        <v>19.471139637954401</v>
      </c>
      <c r="D1024">
        <v>63</v>
      </c>
      <c r="E1024">
        <v>184</v>
      </c>
      <c r="F1024">
        <v>4670.9643416532299</v>
      </c>
      <c r="G1024" t="s">
        <v>26</v>
      </c>
      <c r="H1024">
        <v>41</v>
      </c>
      <c r="I1024">
        <v>21</v>
      </c>
      <c r="J1024">
        <v>96</v>
      </c>
      <c r="K1024">
        <v>8</v>
      </c>
      <c r="L1024" t="s">
        <v>44</v>
      </c>
      <c r="M1024">
        <v>4.2521781084089501</v>
      </c>
      <c r="N1024" t="s">
        <v>51</v>
      </c>
      <c r="O1024" t="s">
        <v>38</v>
      </c>
      <c r="P1024">
        <f>VLOOKUP(O1024, Coordinates!$A$2:$C$6, 2, FALSE)</f>
        <v>25.761700000000001</v>
      </c>
      <c r="Q1024">
        <f>VLOOKUP(O1024, Coordinates!$A$2:$C$6, 3, FALSE)</f>
        <v>-80.191800000000001</v>
      </c>
      <c r="R1024">
        <v>17</v>
      </c>
      <c r="S1024">
        <v>927</v>
      </c>
      <c r="T1024">
        <v>27</v>
      </c>
      <c r="U1024">
        <v>77.869692599999993</v>
      </c>
      <c r="V1024" t="s">
        <v>30</v>
      </c>
      <c r="W1024">
        <v>2.5607874070583199</v>
      </c>
      <c r="X1024" t="s">
        <v>31</v>
      </c>
      <c r="Y1024" t="s">
        <v>32</v>
      </c>
      <c r="Z1024">
        <v>730.07950265182706</v>
      </c>
    </row>
    <row r="1025" spans="1:26" x14ac:dyDescent="0.3">
      <c r="A1025" t="s">
        <v>49</v>
      </c>
      <c r="B1025" t="s">
        <v>1081</v>
      </c>
      <c r="C1025">
        <v>90.448245191879593</v>
      </c>
      <c r="D1025">
        <v>42</v>
      </c>
      <c r="E1025">
        <v>806</v>
      </c>
      <c r="F1025">
        <v>2025.50742500089</v>
      </c>
      <c r="G1025" t="s">
        <v>26</v>
      </c>
      <c r="H1025">
        <v>40</v>
      </c>
      <c r="I1025">
        <v>13</v>
      </c>
      <c r="J1025">
        <v>47</v>
      </c>
      <c r="K1025">
        <v>2</v>
      </c>
      <c r="L1025" t="s">
        <v>44</v>
      </c>
      <c r="M1025">
        <v>4.1092996355758702</v>
      </c>
      <c r="N1025" t="s">
        <v>57</v>
      </c>
      <c r="O1025" t="s">
        <v>29</v>
      </c>
      <c r="P1025">
        <f>VLOOKUP(O1025, Coordinates!$A$2:$C$6, 2, FALSE)</f>
        <v>29.760400000000001</v>
      </c>
      <c r="Q1025">
        <f>VLOOKUP(O1025, Coordinates!$A$2:$C$6, 3, FALSE)</f>
        <v>-95.369799999999998</v>
      </c>
      <c r="R1025">
        <v>6</v>
      </c>
      <c r="S1025">
        <v>135</v>
      </c>
      <c r="T1025">
        <v>24</v>
      </c>
      <c r="U1025">
        <v>28.251908255357002</v>
      </c>
      <c r="V1025" t="s">
        <v>30</v>
      </c>
      <c r="W1025">
        <v>1.27231742893956</v>
      </c>
      <c r="X1025" t="s">
        <v>52</v>
      </c>
      <c r="Y1025" t="s">
        <v>41</v>
      </c>
      <c r="Z1025">
        <v>514.24620040096602</v>
      </c>
    </row>
    <row r="1026" spans="1:26" x14ac:dyDescent="0.3">
      <c r="A1026" t="s">
        <v>24</v>
      </c>
      <c r="B1026" t="s">
        <v>1082</v>
      </c>
      <c r="D1026">
        <v>42</v>
      </c>
      <c r="E1026">
        <v>484</v>
      </c>
      <c r="F1026">
        <v>16071.5568869576</v>
      </c>
      <c r="G1026" t="s">
        <v>26</v>
      </c>
      <c r="H1026">
        <v>74</v>
      </c>
      <c r="I1026">
        <v>10</v>
      </c>
      <c r="J1026">
        <v>62</v>
      </c>
      <c r="K1026">
        <v>5</v>
      </c>
      <c r="L1026" t="s">
        <v>36</v>
      </c>
      <c r="M1026">
        <v>11.385891844443501</v>
      </c>
      <c r="N1026" t="s">
        <v>57</v>
      </c>
      <c r="O1026" t="s">
        <v>65</v>
      </c>
      <c r="P1026">
        <f>VLOOKUP(O1026, Coordinates!$A$2:$C$6, 2, FALSE)</f>
        <v>41.878100000000003</v>
      </c>
      <c r="Q1026">
        <f>VLOOKUP(O1026, Coordinates!$A$2:$C$6, 3, FALSE)</f>
        <v>-87.629800000000003</v>
      </c>
      <c r="R1026">
        <v>15</v>
      </c>
      <c r="S1026">
        <v>324</v>
      </c>
      <c r="T1026">
        <v>1</v>
      </c>
      <c r="U1026">
        <v>75.510486051593404</v>
      </c>
      <c r="V1026" t="s">
        <v>39</v>
      </c>
      <c r="W1026">
        <v>2.2747308249871598</v>
      </c>
      <c r="X1026" t="s">
        <v>46</v>
      </c>
      <c r="Y1026" t="s">
        <v>32</v>
      </c>
      <c r="Z1026">
        <v>197.95596540386501</v>
      </c>
    </row>
    <row r="1027" spans="1:26" x14ac:dyDescent="0.3">
      <c r="A1027" t="s">
        <v>82</v>
      </c>
      <c r="B1027" t="s">
        <v>1083</v>
      </c>
      <c r="C1027">
        <v>94.050951625610395</v>
      </c>
      <c r="D1027">
        <v>59</v>
      </c>
      <c r="E1027">
        <v>893</v>
      </c>
      <c r="F1027">
        <v>7318.8746954154103</v>
      </c>
      <c r="G1027" t="s">
        <v>48</v>
      </c>
      <c r="H1027">
        <v>88</v>
      </c>
      <c r="I1027">
        <v>6</v>
      </c>
      <c r="J1027">
        <v>37</v>
      </c>
      <c r="K1027">
        <v>4</v>
      </c>
      <c r="L1027" t="s">
        <v>36</v>
      </c>
      <c r="M1027">
        <v>1.86601454415164</v>
      </c>
      <c r="N1027" t="s">
        <v>37</v>
      </c>
      <c r="O1027" t="s">
        <v>29</v>
      </c>
      <c r="P1027">
        <f>VLOOKUP(O1027, Coordinates!$A$2:$C$6, 2, FALSE)</f>
        <v>29.760400000000001</v>
      </c>
      <c r="Q1027">
        <f>VLOOKUP(O1027, Coordinates!$A$2:$C$6, 3, FALSE)</f>
        <v>-95.369799999999998</v>
      </c>
      <c r="R1027">
        <v>22</v>
      </c>
      <c r="S1027">
        <v>653</v>
      </c>
      <c r="T1027">
        <v>26</v>
      </c>
      <c r="U1027">
        <v>78.162914856298698</v>
      </c>
      <c r="V1027" t="s">
        <v>55</v>
      </c>
      <c r="W1027">
        <v>1.4647645356908801</v>
      </c>
      <c r="X1027" t="s">
        <v>31</v>
      </c>
      <c r="Y1027" t="s">
        <v>41</v>
      </c>
      <c r="Z1027">
        <v>816.37991988265105</v>
      </c>
    </row>
    <row r="1028" spans="1:26" x14ac:dyDescent="0.3">
      <c r="A1028" t="s">
        <v>24</v>
      </c>
      <c r="B1028" t="s">
        <v>1084</v>
      </c>
      <c r="C1028">
        <v>34.192870615667999</v>
      </c>
      <c r="D1028">
        <v>20</v>
      </c>
      <c r="E1028">
        <v>167</v>
      </c>
      <c r="F1028">
        <v>5139.1884535349</v>
      </c>
      <c r="H1028">
        <v>89</v>
      </c>
      <c r="I1028">
        <v>11</v>
      </c>
      <c r="J1028">
        <v>86</v>
      </c>
      <c r="K1028">
        <v>9</v>
      </c>
      <c r="L1028" t="s">
        <v>36</v>
      </c>
      <c r="M1028">
        <v>1.7130701179802701</v>
      </c>
      <c r="N1028" t="s">
        <v>37</v>
      </c>
      <c r="O1028" t="s">
        <v>58</v>
      </c>
      <c r="P1028">
        <f>VLOOKUP(O1028, Coordinates!$A$2:$C$6, 2, FALSE)</f>
        <v>34.052199999999999</v>
      </c>
      <c r="Q1028">
        <f>VLOOKUP(O1028, Coordinates!$A$2:$C$6, 3, FALSE)</f>
        <v>-118.2437</v>
      </c>
      <c r="R1028">
        <v>9</v>
      </c>
      <c r="S1028">
        <v>839</v>
      </c>
      <c r="T1028">
        <v>21</v>
      </c>
      <c r="U1028">
        <v>87.010260006570604</v>
      </c>
      <c r="V1028" t="s">
        <v>39</v>
      </c>
      <c r="W1028">
        <v>4.6701169054486202</v>
      </c>
      <c r="X1028" t="s">
        <v>52</v>
      </c>
      <c r="Y1028" t="s">
        <v>41</v>
      </c>
      <c r="Z1028">
        <v>884.45040577771499</v>
      </c>
    </row>
    <row r="1029" spans="1:26" x14ac:dyDescent="0.3">
      <c r="A1029" t="s">
        <v>24</v>
      </c>
      <c r="B1029" t="s">
        <v>1085</v>
      </c>
      <c r="C1029">
        <v>28.935268216525799</v>
      </c>
      <c r="D1029">
        <v>73</v>
      </c>
      <c r="E1029">
        <v>787</v>
      </c>
      <c r="F1029">
        <v>20494.850477765202</v>
      </c>
      <c r="G1029" t="s">
        <v>26</v>
      </c>
      <c r="H1029">
        <v>57</v>
      </c>
      <c r="I1029">
        <v>4</v>
      </c>
      <c r="J1029">
        <v>38</v>
      </c>
      <c r="K1029">
        <v>3</v>
      </c>
      <c r="L1029" t="s">
        <v>36</v>
      </c>
      <c r="M1029">
        <v>10.7105203227737</v>
      </c>
      <c r="N1029" t="s">
        <v>28</v>
      </c>
      <c r="O1029" t="s">
        <v>67</v>
      </c>
      <c r="P1029">
        <f>VLOOKUP(O1029, Coordinates!$A$2:$C$6, 2, FALSE)</f>
        <v>40.712800000000001</v>
      </c>
      <c r="Q1029">
        <f>VLOOKUP(O1029, Coordinates!$A$2:$C$6, 3, FALSE)</f>
        <v>-74.006</v>
      </c>
      <c r="R1029">
        <v>2</v>
      </c>
      <c r="S1029">
        <v>368</v>
      </c>
      <c r="T1029">
        <v>28</v>
      </c>
      <c r="U1029">
        <v>91.717727830210407</v>
      </c>
      <c r="V1029" t="s">
        <v>30</v>
      </c>
      <c r="W1029">
        <v>4.5365557849332996</v>
      </c>
      <c r="X1029" t="s">
        <v>46</v>
      </c>
      <c r="Y1029" t="s">
        <v>32</v>
      </c>
      <c r="Z1029">
        <v>466.84623976011801</v>
      </c>
    </row>
    <row r="1030" spans="1:26" x14ac:dyDescent="0.3">
      <c r="A1030" t="s">
        <v>24</v>
      </c>
      <c r="B1030" t="s">
        <v>1086</v>
      </c>
      <c r="C1030">
        <v>25.280339621961101</v>
      </c>
      <c r="D1030">
        <v>17</v>
      </c>
      <c r="E1030">
        <v>892</v>
      </c>
      <c r="F1030">
        <v>20295.056648510399</v>
      </c>
      <c r="G1030" t="s">
        <v>26</v>
      </c>
      <c r="H1030">
        <v>99</v>
      </c>
      <c r="I1030">
        <v>26</v>
      </c>
      <c r="J1030">
        <v>81</v>
      </c>
      <c r="K1030">
        <v>5</v>
      </c>
      <c r="L1030" t="s">
        <v>36</v>
      </c>
      <c r="M1030">
        <v>8.7940755882643291</v>
      </c>
      <c r="N1030" t="s">
        <v>28</v>
      </c>
      <c r="O1030" t="s">
        <v>65</v>
      </c>
      <c r="P1030">
        <f>VLOOKUP(O1030, Coordinates!$A$2:$C$6, 2, FALSE)</f>
        <v>41.878100000000003</v>
      </c>
      <c r="Q1030">
        <f>VLOOKUP(O1030, Coordinates!$A$2:$C$6, 3, FALSE)</f>
        <v>-87.629800000000003</v>
      </c>
      <c r="R1030">
        <v>5</v>
      </c>
      <c r="S1030">
        <v>285</v>
      </c>
      <c r="T1030">
        <v>26</v>
      </c>
      <c r="U1030">
        <v>81.312440153466397</v>
      </c>
      <c r="V1030" t="s">
        <v>39</v>
      </c>
      <c r="W1030">
        <v>0.77913191651789704</v>
      </c>
      <c r="X1030" t="s">
        <v>46</v>
      </c>
      <c r="Y1030" t="s">
        <v>41</v>
      </c>
      <c r="Z1030">
        <v>699.15367923295605</v>
      </c>
    </row>
    <row r="1031" spans="1:26" x14ac:dyDescent="0.3">
      <c r="A1031" t="s">
        <v>49</v>
      </c>
      <c r="B1031" t="s">
        <v>1087</v>
      </c>
      <c r="C1031">
        <v>68.8060167468728</v>
      </c>
      <c r="D1031">
        <v>27</v>
      </c>
      <c r="E1031">
        <v>100</v>
      </c>
      <c r="F1031">
        <v>9585.2872349999998</v>
      </c>
      <c r="G1031" t="s">
        <v>35</v>
      </c>
      <c r="H1031">
        <v>41</v>
      </c>
      <c r="I1031">
        <v>14</v>
      </c>
      <c r="J1031">
        <v>20</v>
      </c>
      <c r="K1031">
        <v>10</v>
      </c>
      <c r="L1031" t="s">
        <v>44</v>
      </c>
      <c r="M1031">
        <v>6.8487456278048402</v>
      </c>
      <c r="N1031" t="s">
        <v>57</v>
      </c>
      <c r="O1031" t="s">
        <v>67</v>
      </c>
      <c r="P1031">
        <f>VLOOKUP(O1031, Coordinates!$A$2:$C$6, 2, FALSE)</f>
        <v>40.712800000000001</v>
      </c>
      <c r="Q1031">
        <f>VLOOKUP(O1031, Coordinates!$A$2:$C$6, 3, FALSE)</f>
        <v>-74.006</v>
      </c>
      <c r="R1031">
        <v>21</v>
      </c>
      <c r="S1031">
        <v>470</v>
      </c>
      <c r="T1031">
        <v>2</v>
      </c>
      <c r="U1031">
        <v>30.301787560000001</v>
      </c>
      <c r="V1031" t="s">
        <v>55</v>
      </c>
      <c r="W1031">
        <v>4.11310110597109</v>
      </c>
      <c r="X1031" t="s">
        <v>52</v>
      </c>
      <c r="Y1031" t="s">
        <v>60</v>
      </c>
      <c r="Z1031">
        <v>127.326382633113</v>
      </c>
    </row>
    <row r="1032" spans="1:26" x14ac:dyDescent="0.3">
      <c r="A1032" t="s">
        <v>72</v>
      </c>
      <c r="B1032" t="s">
        <v>1088</v>
      </c>
      <c r="C1032">
        <v>20.311400760000001</v>
      </c>
      <c r="D1032">
        <v>47</v>
      </c>
      <c r="E1032">
        <v>778</v>
      </c>
      <c r="F1032">
        <v>14222.0428088598</v>
      </c>
      <c r="G1032" t="s">
        <v>54</v>
      </c>
      <c r="H1032">
        <v>34</v>
      </c>
      <c r="I1032">
        <v>30</v>
      </c>
      <c r="J1032">
        <v>56</v>
      </c>
      <c r="K1032">
        <v>9</v>
      </c>
      <c r="L1032" t="s">
        <v>44</v>
      </c>
      <c r="M1032">
        <v>9.0551576976786308</v>
      </c>
      <c r="N1032" t="s">
        <v>51</v>
      </c>
      <c r="O1032" t="s">
        <v>67</v>
      </c>
      <c r="P1032">
        <f>VLOOKUP(O1032, Coordinates!$A$2:$C$6, 2, FALSE)</f>
        <v>40.712800000000001</v>
      </c>
      <c r="Q1032">
        <f>VLOOKUP(O1032, Coordinates!$A$2:$C$6, 3, FALSE)</f>
        <v>-74.006</v>
      </c>
      <c r="R1032">
        <v>23</v>
      </c>
      <c r="S1032">
        <v>968</v>
      </c>
      <c r="T1032">
        <v>26</v>
      </c>
      <c r="U1032">
        <v>77.787178909999994</v>
      </c>
      <c r="V1032" t="s">
        <v>39</v>
      </c>
      <c r="W1032">
        <v>3.5145734837787002</v>
      </c>
      <c r="X1032" t="s">
        <v>40</v>
      </c>
      <c r="Y1032" t="s">
        <v>41</v>
      </c>
      <c r="Z1032">
        <v>277.52513147170799</v>
      </c>
    </row>
    <row r="1033" spans="1:26" x14ac:dyDescent="0.3">
      <c r="A1033" t="s">
        <v>33</v>
      </c>
      <c r="B1033" t="s">
        <v>1089</v>
      </c>
      <c r="C1033">
        <v>99.069844890824001</v>
      </c>
      <c r="D1033">
        <v>2</v>
      </c>
      <c r="E1033">
        <v>514</v>
      </c>
      <c r="F1033">
        <v>9135.8352693035595</v>
      </c>
      <c r="G1033" t="s">
        <v>54</v>
      </c>
      <c r="H1033">
        <v>37</v>
      </c>
      <c r="I1033">
        <v>17</v>
      </c>
      <c r="J1033">
        <v>54</v>
      </c>
      <c r="K1033">
        <v>6</v>
      </c>
      <c r="L1033" t="s">
        <v>36</v>
      </c>
      <c r="M1033">
        <v>11.2934706835609</v>
      </c>
      <c r="N1033" t="s">
        <v>45</v>
      </c>
      <c r="O1033" t="s">
        <v>38</v>
      </c>
      <c r="P1033">
        <f>VLOOKUP(O1033, Coordinates!$A$2:$C$6, 2, FALSE)</f>
        <v>25.761700000000001</v>
      </c>
      <c r="Q1033">
        <f>VLOOKUP(O1033, Coordinates!$A$2:$C$6, 3, FALSE)</f>
        <v>-80.191800000000001</v>
      </c>
      <c r="R1033">
        <v>25</v>
      </c>
      <c r="S1033">
        <v>334</v>
      </c>
      <c r="T1033">
        <v>4</v>
      </c>
      <c r="U1033">
        <v>92.1323764348233</v>
      </c>
      <c r="V1033" t="s">
        <v>55</v>
      </c>
      <c r="W1033">
        <v>3.62030392049977</v>
      </c>
      <c r="X1033" t="s">
        <v>46</v>
      </c>
      <c r="Y1033" t="s">
        <v>32</v>
      </c>
      <c r="Z1033">
        <v>613.2375301001</v>
      </c>
    </row>
    <row r="1034" spans="1:26" x14ac:dyDescent="0.3">
      <c r="A1034" t="s">
        <v>33</v>
      </c>
      <c r="B1034" t="s">
        <v>1090</v>
      </c>
      <c r="C1034">
        <v>27.720083889312999</v>
      </c>
      <c r="D1034">
        <v>63</v>
      </c>
      <c r="E1034">
        <v>369</v>
      </c>
      <c r="F1034">
        <v>1140.7896577669001</v>
      </c>
      <c r="G1034" t="s">
        <v>54</v>
      </c>
      <c r="H1034">
        <v>66</v>
      </c>
      <c r="I1034">
        <v>20</v>
      </c>
      <c r="J1034">
        <v>27</v>
      </c>
      <c r="K1034">
        <v>2</v>
      </c>
      <c r="L1034" t="s">
        <v>27</v>
      </c>
      <c r="M1034">
        <v>2.4485992178949099</v>
      </c>
      <c r="N1034" t="s">
        <v>45</v>
      </c>
      <c r="O1034" t="s">
        <v>38</v>
      </c>
      <c r="P1034">
        <f>VLOOKUP(O1034, Coordinates!$A$2:$C$6, 2, FALSE)</f>
        <v>25.761700000000001</v>
      </c>
      <c r="Q1034">
        <f>VLOOKUP(O1034, Coordinates!$A$2:$C$6, 3, FALSE)</f>
        <v>-80.191800000000001</v>
      </c>
      <c r="R1034">
        <v>29</v>
      </c>
      <c r="S1034">
        <v>221</v>
      </c>
      <c r="T1034">
        <v>5</v>
      </c>
      <c r="U1034">
        <v>50.110095785633803</v>
      </c>
      <c r="V1034" t="s">
        <v>39</v>
      </c>
      <c r="W1034">
        <v>4.3566707500968498</v>
      </c>
      <c r="X1034" t="s">
        <v>46</v>
      </c>
      <c r="Y1034" t="s">
        <v>41</v>
      </c>
      <c r="Z1034">
        <v>346.67436116641602</v>
      </c>
    </row>
    <row r="1035" spans="1:26" x14ac:dyDescent="0.3">
      <c r="A1035" t="s">
        <v>82</v>
      </c>
      <c r="B1035" t="s">
        <v>1091</v>
      </c>
      <c r="C1035">
        <v>55.4200487522494</v>
      </c>
      <c r="D1035">
        <v>62</v>
      </c>
      <c r="E1035">
        <v>985</v>
      </c>
      <c r="F1035">
        <v>9404.7291620716496</v>
      </c>
      <c r="G1035" t="s">
        <v>54</v>
      </c>
      <c r="H1035">
        <v>40</v>
      </c>
      <c r="I1035">
        <v>2</v>
      </c>
      <c r="J1035">
        <v>59</v>
      </c>
      <c r="K1035">
        <v>1</v>
      </c>
      <c r="L1035" t="s">
        <v>44</v>
      </c>
      <c r="M1035">
        <v>8.7460098237331891</v>
      </c>
      <c r="N1035" t="s">
        <v>37</v>
      </c>
      <c r="O1035" t="s">
        <v>65</v>
      </c>
      <c r="P1035">
        <f>VLOOKUP(O1035, Coordinates!$A$2:$C$6, 2, FALSE)</f>
        <v>41.878100000000003</v>
      </c>
      <c r="Q1035">
        <f>VLOOKUP(O1035, Coordinates!$A$2:$C$6, 3, FALSE)</f>
        <v>-87.629800000000003</v>
      </c>
      <c r="R1035">
        <v>30</v>
      </c>
      <c r="S1035">
        <v>523</v>
      </c>
      <c r="T1035">
        <v>24</v>
      </c>
      <c r="U1035">
        <v>22.310025495757799</v>
      </c>
      <c r="V1035" t="s">
        <v>55</v>
      </c>
      <c r="W1035">
        <v>3.6108718570719098</v>
      </c>
      <c r="X1035" t="s">
        <v>40</v>
      </c>
      <c r="Y1035" t="s">
        <v>60</v>
      </c>
      <c r="Z1035">
        <v>949.92723215246303</v>
      </c>
    </row>
    <row r="1036" spans="1:26" x14ac:dyDescent="0.3">
      <c r="A1036" t="s">
        <v>49</v>
      </c>
      <c r="B1036" t="s">
        <v>1092</v>
      </c>
      <c r="C1036">
        <v>66.840946840000001</v>
      </c>
      <c r="D1036">
        <v>100</v>
      </c>
      <c r="E1036">
        <v>357</v>
      </c>
      <c r="F1036">
        <v>8288.0967581929399</v>
      </c>
      <c r="G1036" t="s">
        <v>48</v>
      </c>
      <c r="H1036">
        <v>98</v>
      </c>
      <c r="I1036">
        <v>10</v>
      </c>
      <c r="J1036">
        <v>98</v>
      </c>
      <c r="K1036">
        <v>1</v>
      </c>
      <c r="L1036" t="s">
        <v>27</v>
      </c>
      <c r="M1036">
        <v>12.541835660800199</v>
      </c>
      <c r="N1036" t="s">
        <v>45</v>
      </c>
      <c r="O1036" t="s">
        <v>38</v>
      </c>
      <c r="P1036">
        <f>VLOOKUP(O1036, Coordinates!$A$2:$C$6, 2, FALSE)</f>
        <v>25.761700000000001</v>
      </c>
      <c r="Q1036">
        <f>VLOOKUP(O1036, Coordinates!$A$2:$C$6, 3, FALSE)</f>
        <v>-80.191800000000001</v>
      </c>
      <c r="R1036">
        <v>29</v>
      </c>
      <c r="S1036">
        <v>932</v>
      </c>
      <c r="T1036">
        <v>2</v>
      </c>
      <c r="U1036">
        <v>75.511657298858296</v>
      </c>
      <c r="V1036" t="s">
        <v>55</v>
      </c>
      <c r="W1036">
        <v>4.1395479951127401</v>
      </c>
      <c r="X1036" t="s">
        <v>31</v>
      </c>
      <c r="Y1036" t="s">
        <v>41</v>
      </c>
      <c r="Z1036">
        <v>853.33971504923102</v>
      </c>
    </row>
    <row r="1037" spans="1:26" x14ac:dyDescent="0.3">
      <c r="A1037" t="s">
        <v>49</v>
      </c>
      <c r="B1037" t="s">
        <v>1093</v>
      </c>
      <c r="C1037">
        <v>66.236161600522607</v>
      </c>
      <c r="D1037">
        <v>19</v>
      </c>
      <c r="E1037">
        <v>804</v>
      </c>
      <c r="F1037">
        <v>8534.9722866282791</v>
      </c>
      <c r="G1037" t="s">
        <v>48</v>
      </c>
      <c r="H1037">
        <v>49</v>
      </c>
      <c r="I1037">
        <v>3</v>
      </c>
      <c r="J1037">
        <v>58</v>
      </c>
      <c r="K1037">
        <v>7</v>
      </c>
      <c r="L1037" t="s">
        <v>27</v>
      </c>
      <c r="M1037">
        <v>6.0740083880963702</v>
      </c>
      <c r="N1037" t="s">
        <v>45</v>
      </c>
      <c r="O1037" t="s">
        <v>38</v>
      </c>
      <c r="P1037">
        <f>VLOOKUP(O1037, Coordinates!$A$2:$C$6, 2, FALSE)</f>
        <v>25.761700000000001</v>
      </c>
      <c r="Q1037">
        <f>VLOOKUP(O1037, Coordinates!$A$2:$C$6, 3, FALSE)</f>
        <v>-80.191800000000001</v>
      </c>
      <c r="R1037">
        <v>28</v>
      </c>
      <c r="S1037">
        <v>488</v>
      </c>
      <c r="T1037">
        <v>2</v>
      </c>
      <c r="U1037">
        <v>33.013101711539797</v>
      </c>
      <c r="V1037" t="s">
        <v>39</v>
      </c>
      <c r="W1037">
        <v>4.6821218423715099</v>
      </c>
      <c r="X1037" t="s">
        <v>46</v>
      </c>
      <c r="Y1037" t="s">
        <v>41</v>
      </c>
      <c r="Z1037">
        <v>689.50559171476004</v>
      </c>
    </row>
    <row r="1038" spans="1:26" x14ac:dyDescent="0.3">
      <c r="A1038" t="s">
        <v>49</v>
      </c>
      <c r="B1038" t="s">
        <v>1094</v>
      </c>
      <c r="C1038">
        <v>58.322886580098199</v>
      </c>
      <c r="D1038">
        <v>17</v>
      </c>
      <c r="E1038">
        <v>440</v>
      </c>
      <c r="F1038">
        <v>1839.58646249771</v>
      </c>
      <c r="G1038" t="s">
        <v>26</v>
      </c>
      <c r="H1038">
        <v>85</v>
      </c>
      <c r="I1038">
        <v>7</v>
      </c>
      <c r="J1038">
        <v>31</v>
      </c>
      <c r="K1038">
        <v>2</v>
      </c>
      <c r="L1038" t="s">
        <v>44</v>
      </c>
      <c r="M1038">
        <v>11.6822518267169</v>
      </c>
      <c r="N1038" t="s">
        <v>57</v>
      </c>
      <c r="O1038" t="s">
        <v>29</v>
      </c>
      <c r="P1038">
        <f>VLOOKUP(O1038, Coordinates!$A$2:$C$6, 2, FALSE)</f>
        <v>29.760400000000001</v>
      </c>
      <c r="Q1038">
        <f>VLOOKUP(O1038, Coordinates!$A$2:$C$6, 3, FALSE)</f>
        <v>-95.369799999999998</v>
      </c>
      <c r="R1038">
        <v>12</v>
      </c>
      <c r="S1038">
        <v>216</v>
      </c>
      <c r="T1038">
        <v>18</v>
      </c>
      <c r="U1038">
        <v>25.166602525428502</v>
      </c>
      <c r="V1038" t="s">
        <v>30</v>
      </c>
      <c r="W1038">
        <v>0.23382374868383801</v>
      </c>
      <c r="X1038" t="s">
        <v>31</v>
      </c>
      <c r="Y1038" t="s">
        <v>60</v>
      </c>
      <c r="Z1038">
        <v>998.95582690914898</v>
      </c>
    </row>
    <row r="1039" spans="1:26" x14ac:dyDescent="0.3">
      <c r="A1039" t="s">
        <v>42</v>
      </c>
      <c r="B1039" t="s">
        <v>1095</v>
      </c>
      <c r="C1039">
        <v>78.808160981086402</v>
      </c>
      <c r="D1039">
        <v>69</v>
      </c>
      <c r="E1039">
        <v>87</v>
      </c>
      <c r="F1039">
        <v>7649.0022602673698</v>
      </c>
      <c r="G1039" t="s">
        <v>48</v>
      </c>
      <c r="H1039">
        <v>71</v>
      </c>
      <c r="I1039">
        <v>7</v>
      </c>
      <c r="J1039">
        <v>54</v>
      </c>
      <c r="K1039">
        <v>7</v>
      </c>
      <c r="L1039" t="s">
        <v>27</v>
      </c>
      <c r="M1039">
        <v>12.8358917480511</v>
      </c>
      <c r="N1039" t="s">
        <v>51</v>
      </c>
      <c r="O1039" t="s">
        <v>38</v>
      </c>
      <c r="P1039">
        <f>VLOOKUP(O1039, Coordinates!$A$2:$C$6, 2, FALSE)</f>
        <v>25.761700000000001</v>
      </c>
      <c r="Q1039">
        <f>VLOOKUP(O1039, Coordinates!$A$2:$C$6, 3, FALSE)</f>
        <v>-80.191800000000001</v>
      </c>
      <c r="R1039">
        <v>15</v>
      </c>
      <c r="S1039">
        <v>565</v>
      </c>
      <c r="T1039">
        <v>30</v>
      </c>
      <c r="U1039">
        <v>44.337611596436602</v>
      </c>
      <c r="V1039" t="s">
        <v>39</v>
      </c>
      <c r="W1039">
        <v>0.61055721439892896</v>
      </c>
      <c r="X1039" t="s">
        <v>40</v>
      </c>
      <c r="Y1039" t="s">
        <v>41</v>
      </c>
      <c r="Z1039">
        <v>318.92310320000001</v>
      </c>
    </row>
    <row r="1040" spans="1:26" x14ac:dyDescent="0.3">
      <c r="A1040" t="s">
        <v>61</v>
      </c>
      <c r="B1040" t="s">
        <v>1096</v>
      </c>
      <c r="C1040">
        <v>24.473214905047499</v>
      </c>
      <c r="D1040">
        <v>39</v>
      </c>
      <c r="E1040">
        <v>229</v>
      </c>
      <c r="F1040">
        <v>9639.2502069999991</v>
      </c>
      <c r="G1040" t="s">
        <v>54</v>
      </c>
      <c r="H1040">
        <v>78</v>
      </c>
      <c r="I1040">
        <v>1</v>
      </c>
      <c r="J1040">
        <v>70</v>
      </c>
      <c r="K1040">
        <v>1</v>
      </c>
      <c r="L1040" t="s">
        <v>27</v>
      </c>
      <c r="M1040">
        <v>12.493008685481801</v>
      </c>
      <c r="N1040" t="s">
        <v>28</v>
      </c>
      <c r="O1040" t="s">
        <v>65</v>
      </c>
      <c r="P1040">
        <f>VLOOKUP(O1040, Coordinates!$A$2:$C$6, 2, FALSE)</f>
        <v>41.878100000000003</v>
      </c>
      <c r="Q1040">
        <f>VLOOKUP(O1040, Coordinates!$A$2:$C$6, 3, FALSE)</f>
        <v>-87.629800000000003</v>
      </c>
      <c r="R1040">
        <v>10</v>
      </c>
      <c r="S1040">
        <v>528</v>
      </c>
      <c r="T1040">
        <v>24</v>
      </c>
      <c r="U1040">
        <v>57.6864828250065</v>
      </c>
      <c r="V1040" t="s">
        <v>30</v>
      </c>
      <c r="W1040">
        <v>1.4809553192620799</v>
      </c>
      <c r="X1040" t="s">
        <v>46</v>
      </c>
      <c r="Y1040" t="s">
        <v>41</v>
      </c>
      <c r="Z1040">
        <v>927.21433370428701</v>
      </c>
    </row>
    <row r="1041" spans="1:26" x14ac:dyDescent="0.3">
      <c r="A1041" t="s">
        <v>42</v>
      </c>
      <c r="B1041" t="s">
        <v>1097</v>
      </c>
      <c r="C1041">
        <v>73.934584029999996</v>
      </c>
      <c r="D1041">
        <v>82</v>
      </c>
      <c r="E1041">
        <v>416</v>
      </c>
      <c r="F1041">
        <v>7106.9260727634401</v>
      </c>
      <c r="G1041" t="s">
        <v>35</v>
      </c>
      <c r="H1041">
        <v>44</v>
      </c>
      <c r="I1041">
        <v>8</v>
      </c>
      <c r="J1041">
        <v>30</v>
      </c>
      <c r="K1041">
        <v>4</v>
      </c>
      <c r="L1041" t="s">
        <v>44</v>
      </c>
      <c r="M1041">
        <v>10.104989627802</v>
      </c>
      <c r="N1041" t="s">
        <v>57</v>
      </c>
      <c r="O1041" t="s">
        <v>38</v>
      </c>
      <c r="P1041">
        <f>VLOOKUP(O1041, Coordinates!$A$2:$C$6, 2, FALSE)</f>
        <v>25.761700000000001</v>
      </c>
      <c r="Q1041">
        <f>VLOOKUP(O1041, Coordinates!$A$2:$C$6, 3, FALSE)</f>
        <v>-80.191800000000001</v>
      </c>
      <c r="R1041">
        <v>28</v>
      </c>
      <c r="S1041">
        <v>968</v>
      </c>
      <c r="T1041">
        <v>28</v>
      </c>
      <c r="U1041">
        <v>18.769629683837302</v>
      </c>
      <c r="V1041" t="s">
        <v>30</v>
      </c>
      <c r="W1041">
        <v>1.2955655290593699</v>
      </c>
      <c r="X1041" t="s">
        <v>40</v>
      </c>
      <c r="Y1041" t="s">
        <v>32</v>
      </c>
      <c r="Z1041">
        <v>374.11609510901701</v>
      </c>
    </row>
    <row r="1042" spans="1:26" x14ac:dyDescent="0.3">
      <c r="A1042" t="s">
        <v>61</v>
      </c>
      <c r="B1042" t="s">
        <v>1098</v>
      </c>
      <c r="C1042">
        <v>63.874784286143402</v>
      </c>
      <c r="D1042">
        <v>71</v>
      </c>
      <c r="E1042">
        <v>739</v>
      </c>
      <c r="F1042">
        <v>6135.0526416214498</v>
      </c>
      <c r="G1042" t="s">
        <v>26</v>
      </c>
      <c r="H1042">
        <v>70</v>
      </c>
      <c r="I1042">
        <v>23</v>
      </c>
      <c r="J1042">
        <v>80</v>
      </c>
      <c r="K1042">
        <v>10</v>
      </c>
      <c r="L1042" t="s">
        <v>44</v>
      </c>
      <c r="M1042">
        <v>11.042823257550401</v>
      </c>
      <c r="N1042" t="s">
        <v>28</v>
      </c>
      <c r="O1042" t="s">
        <v>67</v>
      </c>
      <c r="P1042">
        <f>VLOOKUP(O1042, Coordinates!$A$2:$C$6, 2, FALSE)</f>
        <v>40.712800000000001</v>
      </c>
      <c r="Q1042">
        <f>VLOOKUP(O1042, Coordinates!$A$2:$C$6, 3, FALSE)</f>
        <v>-74.006</v>
      </c>
      <c r="R1042">
        <v>30</v>
      </c>
      <c r="S1042">
        <v>541</v>
      </c>
      <c r="T1042">
        <v>14</v>
      </c>
      <c r="U1042">
        <v>61.457182574367302</v>
      </c>
      <c r="V1042" t="s">
        <v>55</v>
      </c>
      <c r="W1042">
        <v>3.6416333435295001</v>
      </c>
      <c r="X1042" t="s">
        <v>46</v>
      </c>
      <c r="Y1042" t="s">
        <v>32</v>
      </c>
      <c r="Z1042">
        <v>636.93527744502603</v>
      </c>
    </row>
    <row r="1043" spans="1:26" x14ac:dyDescent="0.3">
      <c r="A1043" t="s">
        <v>49</v>
      </c>
      <c r="B1043" t="s">
        <v>1099</v>
      </c>
      <c r="C1043">
        <v>90.127135620484395</v>
      </c>
      <c r="D1043">
        <v>81</v>
      </c>
      <c r="E1043">
        <v>985</v>
      </c>
      <c r="F1043">
        <v>9510.6670997409692</v>
      </c>
      <c r="G1043" t="s">
        <v>26</v>
      </c>
      <c r="H1043">
        <v>18</v>
      </c>
      <c r="I1043">
        <v>1</v>
      </c>
      <c r="J1043">
        <v>70</v>
      </c>
      <c r="K1043">
        <v>4</v>
      </c>
      <c r="L1043" t="s">
        <v>36</v>
      </c>
      <c r="M1043">
        <v>12.027452530006901</v>
      </c>
      <c r="N1043" t="s">
        <v>57</v>
      </c>
      <c r="O1043" t="s">
        <v>58</v>
      </c>
      <c r="P1043">
        <f>VLOOKUP(O1043, Coordinates!$A$2:$C$6, 2, FALSE)</f>
        <v>34.052199999999999</v>
      </c>
      <c r="Q1043">
        <f>VLOOKUP(O1043, Coordinates!$A$2:$C$6, 3, FALSE)</f>
        <v>-118.2437</v>
      </c>
      <c r="R1043">
        <v>18</v>
      </c>
      <c r="S1043">
        <v>138</v>
      </c>
      <c r="T1043">
        <v>3</v>
      </c>
      <c r="U1043">
        <v>11.381353728635901</v>
      </c>
      <c r="V1043" t="s">
        <v>30</v>
      </c>
      <c r="W1043">
        <v>3.57961367461062</v>
      </c>
      <c r="X1043" t="s">
        <v>46</v>
      </c>
      <c r="Y1043" t="s">
        <v>32</v>
      </c>
      <c r="Z1043">
        <v>490.93048573546201</v>
      </c>
    </row>
    <row r="1044" spans="1:26" x14ac:dyDescent="0.3">
      <c r="A1044" t="s">
        <v>49</v>
      </c>
      <c r="B1044" t="s">
        <v>1100</v>
      </c>
      <c r="C1044">
        <v>85.483471708190194</v>
      </c>
      <c r="D1044">
        <v>39</v>
      </c>
      <c r="E1044">
        <v>122</v>
      </c>
      <c r="F1044">
        <v>4986.4340956099204</v>
      </c>
      <c r="G1044" t="s">
        <v>54</v>
      </c>
      <c r="H1044">
        <v>16</v>
      </c>
      <c r="I1044">
        <v>8</v>
      </c>
      <c r="J1044">
        <v>85</v>
      </c>
      <c r="K1044">
        <v>5</v>
      </c>
      <c r="L1044" t="s">
        <v>44</v>
      </c>
      <c r="M1044">
        <v>11.2719303329668</v>
      </c>
      <c r="N1044" t="s">
        <v>57</v>
      </c>
      <c r="O1044" t="s">
        <v>65</v>
      </c>
      <c r="P1044">
        <f>VLOOKUP(O1044, Coordinates!$A$2:$C$6, 2, FALSE)</f>
        <v>41.878100000000003</v>
      </c>
      <c r="Q1044">
        <f>VLOOKUP(O1044, Coordinates!$A$2:$C$6, 3, FALSE)</f>
        <v>-87.629800000000003</v>
      </c>
      <c r="R1044">
        <v>24</v>
      </c>
      <c r="S1044">
        <v>261</v>
      </c>
      <c r="T1044">
        <v>21</v>
      </c>
      <c r="U1044">
        <v>90.26821545</v>
      </c>
      <c r="V1044" t="s">
        <v>30</v>
      </c>
      <c r="W1044">
        <v>4.8569728989999996</v>
      </c>
      <c r="X1044" t="s">
        <v>46</v>
      </c>
      <c r="Y1044" t="s">
        <v>32</v>
      </c>
      <c r="Z1044">
        <v>498.89313473232301</v>
      </c>
    </row>
    <row r="1045" spans="1:26" x14ac:dyDescent="0.3">
      <c r="A1045" t="s">
        <v>42</v>
      </c>
      <c r="B1045" t="s">
        <v>1101</v>
      </c>
      <c r="C1045">
        <v>34.938968717592502</v>
      </c>
      <c r="D1045">
        <v>36</v>
      </c>
      <c r="E1045">
        <v>486</v>
      </c>
      <c r="F1045">
        <v>6393.6420967943004</v>
      </c>
      <c r="G1045" t="s">
        <v>54</v>
      </c>
      <c r="H1045">
        <v>64</v>
      </c>
      <c r="I1045">
        <v>14</v>
      </c>
      <c r="J1045">
        <v>45</v>
      </c>
      <c r="K1045">
        <v>10</v>
      </c>
      <c r="L1045" t="s">
        <v>27</v>
      </c>
      <c r="M1045">
        <v>7.3235222720120996</v>
      </c>
      <c r="N1045" t="s">
        <v>45</v>
      </c>
      <c r="O1045" t="s">
        <v>38</v>
      </c>
      <c r="P1045">
        <f>VLOOKUP(O1045, Coordinates!$A$2:$C$6, 2, FALSE)</f>
        <v>25.761700000000001</v>
      </c>
      <c r="Q1045">
        <f>VLOOKUP(O1045, Coordinates!$A$2:$C$6, 3, FALSE)</f>
        <v>-80.191800000000001</v>
      </c>
      <c r="R1045">
        <v>27</v>
      </c>
      <c r="S1045">
        <v>720</v>
      </c>
      <c r="T1045">
        <v>18</v>
      </c>
      <c r="U1045">
        <v>92.866752035097903</v>
      </c>
      <c r="V1045" t="s">
        <v>39</v>
      </c>
      <c r="W1045">
        <v>4.3608326613226103</v>
      </c>
      <c r="X1045" t="s">
        <v>40</v>
      </c>
      <c r="Y1045" t="s">
        <v>60</v>
      </c>
      <c r="Z1045">
        <v>786.25902172317603</v>
      </c>
    </row>
    <row r="1046" spans="1:26" x14ac:dyDescent="0.3">
      <c r="A1046" t="s">
        <v>42</v>
      </c>
      <c r="B1046" t="s">
        <v>1102</v>
      </c>
      <c r="C1046">
        <v>31.2425458726395</v>
      </c>
      <c r="D1046">
        <v>40</v>
      </c>
      <c r="E1046">
        <v>196</v>
      </c>
      <c r="F1046">
        <v>5287.0446414492899</v>
      </c>
      <c r="G1046" t="s">
        <v>54</v>
      </c>
      <c r="H1046">
        <v>92</v>
      </c>
      <c r="I1046">
        <v>14</v>
      </c>
      <c r="J1046">
        <v>33</v>
      </c>
      <c r="K1046">
        <v>1</v>
      </c>
      <c r="L1046" t="s">
        <v>44</v>
      </c>
      <c r="M1046">
        <v>3.2276932002073702</v>
      </c>
      <c r="N1046" t="s">
        <v>28</v>
      </c>
      <c r="O1046" t="s">
        <v>65</v>
      </c>
      <c r="P1046">
        <f>VLOOKUP(O1046, Coordinates!$A$2:$C$6, 2, FALSE)</f>
        <v>41.878100000000003</v>
      </c>
      <c r="Q1046">
        <f>VLOOKUP(O1046, Coordinates!$A$2:$C$6, 3, FALSE)</f>
        <v>-87.629800000000003</v>
      </c>
      <c r="R1046">
        <v>13</v>
      </c>
      <c r="S1046">
        <v>625</v>
      </c>
      <c r="T1046">
        <v>22</v>
      </c>
      <c r="U1046">
        <v>75.976369616066606</v>
      </c>
      <c r="V1046" t="s">
        <v>30</v>
      </c>
      <c r="W1046">
        <v>4.6922604189029604</v>
      </c>
      <c r="X1046" t="s">
        <v>46</v>
      </c>
      <c r="Y1046" t="s">
        <v>32</v>
      </c>
      <c r="Z1046">
        <v>412.78907793132498</v>
      </c>
    </row>
    <row r="1047" spans="1:26" x14ac:dyDescent="0.3">
      <c r="A1047" t="s">
        <v>61</v>
      </c>
      <c r="B1047" t="s">
        <v>1103</v>
      </c>
      <c r="C1047">
        <v>98.257065765982503</v>
      </c>
      <c r="D1047">
        <v>45</v>
      </c>
      <c r="E1047">
        <v>595</v>
      </c>
      <c r="F1047">
        <v>9395.6159922426905</v>
      </c>
      <c r="G1047" t="s">
        <v>48</v>
      </c>
      <c r="H1047">
        <v>76</v>
      </c>
      <c r="I1047">
        <v>2</v>
      </c>
      <c r="J1047">
        <v>41</v>
      </c>
      <c r="K1047">
        <v>7</v>
      </c>
      <c r="L1047" t="s">
        <v>36</v>
      </c>
      <c r="M1047">
        <v>5.3362283983973802</v>
      </c>
      <c r="N1047" t="s">
        <v>57</v>
      </c>
      <c r="O1047" t="s">
        <v>58</v>
      </c>
      <c r="P1047">
        <f>VLOOKUP(O1047, Coordinates!$A$2:$C$6, 2, FALSE)</f>
        <v>34.052199999999999</v>
      </c>
      <c r="Q1047">
        <f>VLOOKUP(O1047, Coordinates!$A$2:$C$6, 3, FALSE)</f>
        <v>-118.2437</v>
      </c>
      <c r="R1047">
        <v>4</v>
      </c>
      <c r="S1047">
        <v>265</v>
      </c>
      <c r="T1047">
        <v>10</v>
      </c>
      <c r="U1047">
        <v>51.989446771675901</v>
      </c>
      <c r="V1047" t="s">
        <v>55</v>
      </c>
      <c r="W1047">
        <v>3.06425301743867</v>
      </c>
      <c r="X1047" t="s">
        <v>31</v>
      </c>
      <c r="Y1047" t="s">
        <v>32</v>
      </c>
      <c r="Z1047">
        <v>556.77554509686502</v>
      </c>
    </row>
    <row r="1048" spans="1:26" x14ac:dyDescent="0.3">
      <c r="A1048" t="s">
        <v>33</v>
      </c>
      <c r="B1048" t="s">
        <v>1104</v>
      </c>
      <c r="C1048">
        <v>55.090192186949302</v>
      </c>
      <c r="D1048">
        <v>4</v>
      </c>
      <c r="E1048">
        <v>594</v>
      </c>
      <c r="F1048">
        <v>1684.7625408895599</v>
      </c>
      <c r="G1048" t="s">
        <v>26</v>
      </c>
      <c r="H1048">
        <v>55</v>
      </c>
      <c r="I1048">
        <v>8</v>
      </c>
      <c r="J1048">
        <v>100</v>
      </c>
      <c r="K1048">
        <v>2</v>
      </c>
      <c r="L1048" t="s">
        <v>44</v>
      </c>
      <c r="M1048">
        <v>3.9014518713888098</v>
      </c>
      <c r="N1048" t="s">
        <v>45</v>
      </c>
      <c r="O1048" t="s">
        <v>38</v>
      </c>
      <c r="P1048">
        <f>VLOOKUP(O1048, Coordinates!$A$2:$C$6, 2, FALSE)</f>
        <v>25.761700000000001</v>
      </c>
      <c r="Q1048">
        <f>VLOOKUP(O1048, Coordinates!$A$2:$C$6, 3, FALSE)</f>
        <v>-80.191800000000001</v>
      </c>
      <c r="R1048">
        <v>28</v>
      </c>
      <c r="S1048">
        <v>973</v>
      </c>
      <c r="T1048">
        <v>6</v>
      </c>
      <c r="U1048">
        <v>32.940664350698</v>
      </c>
      <c r="V1048" t="s">
        <v>39</v>
      </c>
      <c r="W1048">
        <v>4.4886613522077496</v>
      </c>
      <c r="X1048" t="s">
        <v>52</v>
      </c>
      <c r="Y1048" t="s">
        <v>41</v>
      </c>
      <c r="Z1048">
        <v>290.54224116371103</v>
      </c>
    </row>
    <row r="1049" spans="1:26" x14ac:dyDescent="0.3">
      <c r="A1049" t="s">
        <v>61</v>
      </c>
      <c r="B1049" t="s">
        <v>1105</v>
      </c>
      <c r="C1049">
        <v>91.109991570000005</v>
      </c>
      <c r="D1049">
        <v>25</v>
      </c>
      <c r="E1049">
        <v>663</v>
      </c>
      <c r="F1049">
        <v>5510.0773074281296</v>
      </c>
      <c r="G1049" t="s">
        <v>54</v>
      </c>
      <c r="H1049">
        <v>92</v>
      </c>
      <c r="I1049">
        <v>19</v>
      </c>
      <c r="J1049">
        <v>68</v>
      </c>
      <c r="K1049">
        <v>2</v>
      </c>
      <c r="L1049" t="s">
        <v>27</v>
      </c>
      <c r="M1049">
        <v>6.06021816055003</v>
      </c>
      <c r="N1049" t="s">
        <v>37</v>
      </c>
      <c r="O1049" t="s">
        <v>65</v>
      </c>
      <c r="P1049">
        <f>VLOOKUP(O1049, Coordinates!$A$2:$C$6, 2, FALSE)</f>
        <v>41.878100000000003</v>
      </c>
      <c r="Q1049">
        <f>VLOOKUP(O1049, Coordinates!$A$2:$C$6, 3, FALSE)</f>
        <v>-87.629800000000003</v>
      </c>
      <c r="R1049">
        <v>18</v>
      </c>
      <c r="S1049">
        <v>544</v>
      </c>
      <c r="T1049">
        <v>2</v>
      </c>
      <c r="U1049">
        <v>76.970088164025597</v>
      </c>
      <c r="V1049" t="s">
        <v>55</v>
      </c>
      <c r="W1049">
        <v>3.33920688906607</v>
      </c>
      <c r="X1049" t="s">
        <v>52</v>
      </c>
      <c r="Y1049" t="s">
        <v>60</v>
      </c>
      <c r="Z1049">
        <v>787.12440339997295</v>
      </c>
    </row>
    <row r="1050" spans="1:26" x14ac:dyDescent="0.3">
      <c r="A1050" t="s">
        <v>42</v>
      </c>
      <c r="B1050" t="s">
        <v>1106</v>
      </c>
      <c r="C1050">
        <v>20.5686972591458</v>
      </c>
      <c r="D1050">
        <v>69</v>
      </c>
      <c r="E1050">
        <v>111</v>
      </c>
      <c r="F1050">
        <v>7182.5719724689397</v>
      </c>
      <c r="G1050" t="s">
        <v>35</v>
      </c>
      <c r="H1050">
        <v>40</v>
      </c>
      <c r="I1050">
        <v>10</v>
      </c>
      <c r="J1050">
        <v>99</v>
      </c>
      <c r="K1050">
        <v>8</v>
      </c>
      <c r="L1050" t="s">
        <v>44</v>
      </c>
      <c r="M1050">
        <v>7.8506351225539897</v>
      </c>
      <c r="N1050" t="s">
        <v>28</v>
      </c>
      <c r="O1050" t="s">
        <v>65</v>
      </c>
      <c r="P1050">
        <f>VLOOKUP(O1050, Coordinates!$A$2:$C$6, 2, FALSE)</f>
        <v>41.878100000000003</v>
      </c>
      <c r="Q1050">
        <f>VLOOKUP(O1050, Coordinates!$A$2:$C$6, 3, FALSE)</f>
        <v>-87.629800000000003</v>
      </c>
      <c r="R1050">
        <v>3</v>
      </c>
      <c r="S1050">
        <v>542</v>
      </c>
      <c r="T1050">
        <v>20</v>
      </c>
      <c r="U1050">
        <v>93.861748175685705</v>
      </c>
      <c r="V1050" t="s">
        <v>55</v>
      </c>
      <c r="W1050">
        <v>3.5137772579279298</v>
      </c>
      <c r="X1050" t="s">
        <v>52</v>
      </c>
      <c r="Y1050" t="s">
        <v>60</v>
      </c>
      <c r="Z1050">
        <v>596.73837994550502</v>
      </c>
    </row>
    <row r="1051" spans="1:26" x14ac:dyDescent="0.3">
      <c r="A1051" t="s">
        <v>72</v>
      </c>
      <c r="B1051" t="s">
        <v>1107</v>
      </c>
      <c r="C1051">
        <v>23.507596099755599</v>
      </c>
      <c r="D1051">
        <v>30</v>
      </c>
      <c r="E1051">
        <v>386</v>
      </c>
      <c r="F1051">
        <v>8166.5388849999999</v>
      </c>
      <c r="G1051" t="s">
        <v>26</v>
      </c>
      <c r="H1051">
        <v>41</v>
      </c>
      <c r="I1051">
        <v>7</v>
      </c>
      <c r="J1051">
        <v>84</v>
      </c>
      <c r="K1051">
        <v>9</v>
      </c>
      <c r="L1051" t="s">
        <v>27</v>
      </c>
      <c r="M1051">
        <v>14.426653404279399</v>
      </c>
      <c r="N1051" t="s">
        <v>57</v>
      </c>
      <c r="O1051" t="s">
        <v>29</v>
      </c>
      <c r="P1051">
        <f>VLOOKUP(O1051, Coordinates!$A$2:$C$6, 2, FALSE)</f>
        <v>29.760400000000001</v>
      </c>
      <c r="Q1051">
        <f>VLOOKUP(O1051, Coordinates!$A$2:$C$6, 3, FALSE)</f>
        <v>-95.369799999999998</v>
      </c>
      <c r="R1051">
        <v>24</v>
      </c>
      <c r="S1051">
        <v>430</v>
      </c>
      <c r="T1051">
        <v>11</v>
      </c>
      <c r="U1051">
        <v>89.765941733667603</v>
      </c>
      <c r="V1051" t="s">
        <v>55</v>
      </c>
      <c r="W1051">
        <v>0.85964514429620698</v>
      </c>
      <c r="X1051" t="s">
        <v>31</v>
      </c>
      <c r="Y1051" t="s">
        <v>32</v>
      </c>
      <c r="Z1051">
        <v>329.557237534271</v>
      </c>
    </row>
    <row r="1052" spans="1:26" x14ac:dyDescent="0.3">
      <c r="A1052" t="s">
        <v>42</v>
      </c>
      <c r="B1052" t="s">
        <v>1108</v>
      </c>
      <c r="C1052">
        <v>81.936717799255604</v>
      </c>
      <c r="D1052">
        <v>76</v>
      </c>
      <c r="E1052">
        <v>787</v>
      </c>
      <c r="F1052">
        <v>6247.1678269972199</v>
      </c>
      <c r="G1052" t="s">
        <v>26</v>
      </c>
      <c r="H1052">
        <v>5</v>
      </c>
      <c r="I1052">
        <v>13</v>
      </c>
      <c r="J1052">
        <v>91</v>
      </c>
      <c r="K1052">
        <v>8</v>
      </c>
      <c r="L1052" t="s">
        <v>44</v>
      </c>
      <c r="M1052">
        <v>14.4324791298496</v>
      </c>
      <c r="N1052" t="s">
        <v>37</v>
      </c>
      <c r="O1052" t="s">
        <v>58</v>
      </c>
      <c r="P1052">
        <f>VLOOKUP(O1052, Coordinates!$A$2:$C$6, 2, FALSE)</f>
        <v>34.052199999999999</v>
      </c>
      <c r="Q1052">
        <f>VLOOKUP(O1052, Coordinates!$A$2:$C$6, 3, FALSE)</f>
        <v>-118.2437</v>
      </c>
      <c r="R1052">
        <v>11</v>
      </c>
      <c r="S1052">
        <v>434</v>
      </c>
      <c r="T1052">
        <v>18</v>
      </c>
      <c r="U1052">
        <v>51.923979036792801</v>
      </c>
      <c r="V1052" t="s">
        <v>30</v>
      </c>
      <c r="W1052">
        <v>3.7585775176762799</v>
      </c>
      <c r="X1052" t="s">
        <v>46</v>
      </c>
      <c r="Y1052" t="s">
        <v>41</v>
      </c>
      <c r="Z1052">
        <v>976.06306876783901</v>
      </c>
    </row>
    <row r="1053" spans="1:26" x14ac:dyDescent="0.3">
      <c r="A1053" t="s">
        <v>72</v>
      </c>
      <c r="B1053" t="s">
        <v>1109</v>
      </c>
      <c r="C1053">
        <v>27.7437808706194</v>
      </c>
      <c r="D1053">
        <v>68</v>
      </c>
      <c r="E1053">
        <v>394</v>
      </c>
      <c r="F1053">
        <v>9837.94469672165</v>
      </c>
      <c r="G1053" t="s">
        <v>48</v>
      </c>
      <c r="H1053">
        <v>68</v>
      </c>
      <c r="I1053">
        <v>22</v>
      </c>
      <c r="J1053">
        <v>14</v>
      </c>
      <c r="K1053">
        <v>1</v>
      </c>
      <c r="L1053" t="s">
        <v>36</v>
      </c>
      <c r="M1053">
        <v>11.774239292835899</v>
      </c>
      <c r="N1053" t="s">
        <v>45</v>
      </c>
      <c r="O1053" t="s">
        <v>38</v>
      </c>
      <c r="P1053">
        <f>VLOOKUP(O1053, Coordinates!$A$2:$C$6, 2, FALSE)</f>
        <v>25.761700000000001</v>
      </c>
      <c r="Q1053">
        <f>VLOOKUP(O1053, Coordinates!$A$2:$C$6, 3, FALSE)</f>
        <v>-80.191800000000001</v>
      </c>
      <c r="R1053">
        <v>28</v>
      </c>
      <c r="S1053">
        <v>211</v>
      </c>
      <c r="T1053">
        <v>14</v>
      </c>
      <c r="U1053">
        <v>93.008549228261302</v>
      </c>
      <c r="V1053" t="s">
        <v>39</v>
      </c>
      <c r="W1053">
        <v>4.5067374659999997</v>
      </c>
      <c r="X1053" t="s">
        <v>40</v>
      </c>
      <c r="Y1053" t="s">
        <v>60</v>
      </c>
      <c r="Z1053">
        <v>364.18310203057899</v>
      </c>
    </row>
    <row r="1054" spans="1:26" x14ac:dyDescent="0.3">
      <c r="A1054" t="s">
        <v>82</v>
      </c>
      <c r="B1054" t="s">
        <v>1110</v>
      </c>
      <c r="C1054">
        <v>37.047313396617199</v>
      </c>
      <c r="D1054">
        <v>88</v>
      </c>
      <c r="E1054">
        <v>248</v>
      </c>
      <c r="F1054">
        <v>9477.9230219548408</v>
      </c>
      <c r="G1054" t="s">
        <v>26</v>
      </c>
      <c r="H1054">
        <v>97</v>
      </c>
      <c r="I1054">
        <v>21</v>
      </c>
      <c r="J1054">
        <v>25</v>
      </c>
      <c r="K1054">
        <v>1</v>
      </c>
      <c r="L1054" t="s">
        <v>36</v>
      </c>
      <c r="M1054">
        <v>14.7219640370867</v>
      </c>
      <c r="N1054" t="s">
        <v>57</v>
      </c>
      <c r="O1054" t="s">
        <v>29</v>
      </c>
      <c r="P1054">
        <f>VLOOKUP(O1054, Coordinates!$A$2:$C$6, 2, FALSE)</f>
        <v>29.760400000000001</v>
      </c>
      <c r="Q1054">
        <f>VLOOKUP(O1054, Coordinates!$A$2:$C$6, 3, FALSE)</f>
        <v>-95.369799999999998</v>
      </c>
      <c r="R1054">
        <v>9</v>
      </c>
      <c r="S1054">
        <v>845</v>
      </c>
      <c r="T1054">
        <v>26</v>
      </c>
      <c r="U1054">
        <v>42.106761014131799</v>
      </c>
      <c r="V1054" t="s">
        <v>55</v>
      </c>
      <c r="W1054">
        <v>4.9876614197438904</v>
      </c>
      <c r="X1054" t="s">
        <v>40</v>
      </c>
      <c r="Y1054" t="s">
        <v>60</v>
      </c>
      <c r="Z1054">
        <v>729.36275522580297</v>
      </c>
    </row>
    <row r="1055" spans="1:26" x14ac:dyDescent="0.3">
      <c r="A1055" t="s">
        <v>42</v>
      </c>
      <c r="B1055" t="s">
        <v>1111</v>
      </c>
      <c r="C1055">
        <v>73.873211142784896</v>
      </c>
      <c r="D1055">
        <v>29</v>
      </c>
      <c r="E1055">
        <v>589</v>
      </c>
      <c r="F1055">
        <v>1578.87300874225</v>
      </c>
      <c r="G1055" t="s">
        <v>54</v>
      </c>
      <c r="H1055">
        <v>74</v>
      </c>
      <c r="I1055">
        <v>15</v>
      </c>
      <c r="J1055">
        <v>20</v>
      </c>
      <c r="K1055">
        <v>7</v>
      </c>
      <c r="L1055" t="s">
        <v>44</v>
      </c>
      <c r="M1055">
        <v>14.9722214215424</v>
      </c>
      <c r="N1055" t="s">
        <v>45</v>
      </c>
      <c r="O1055" t="s">
        <v>38</v>
      </c>
      <c r="P1055">
        <f>VLOOKUP(O1055, Coordinates!$A$2:$C$6, 2, FALSE)</f>
        <v>25.761700000000001</v>
      </c>
      <c r="Q1055">
        <f>VLOOKUP(O1055, Coordinates!$A$2:$C$6, 3, FALSE)</f>
        <v>-80.191800000000001</v>
      </c>
      <c r="R1055">
        <v>26</v>
      </c>
      <c r="S1055">
        <v>813</v>
      </c>
      <c r="T1055">
        <v>20</v>
      </c>
      <c r="U1055">
        <v>46.518200319063901</v>
      </c>
      <c r="V1055" t="s">
        <v>39</v>
      </c>
      <c r="W1055">
        <v>4.3844128877094697</v>
      </c>
      <c r="X1055" t="s">
        <v>46</v>
      </c>
      <c r="Y1055" t="s">
        <v>32</v>
      </c>
      <c r="Z1055">
        <v>635.5828018057</v>
      </c>
    </row>
    <row r="1056" spans="1:26" x14ac:dyDescent="0.3">
      <c r="A1056" t="s">
        <v>82</v>
      </c>
      <c r="B1056" t="s">
        <v>1112</v>
      </c>
      <c r="C1056">
        <v>56.187235858763799</v>
      </c>
      <c r="D1056">
        <v>73</v>
      </c>
      <c r="E1056">
        <v>873</v>
      </c>
      <c r="F1056">
        <v>4621.3348558723601</v>
      </c>
      <c r="H1056">
        <v>72</v>
      </c>
      <c r="I1056">
        <v>11</v>
      </c>
      <c r="J1056">
        <v>44</v>
      </c>
      <c r="K1056">
        <v>8</v>
      </c>
      <c r="L1056" t="s">
        <v>27</v>
      </c>
      <c r="M1056">
        <v>13.393594469181</v>
      </c>
      <c r="N1056" t="s">
        <v>45</v>
      </c>
      <c r="O1056" t="s">
        <v>38</v>
      </c>
      <c r="P1056">
        <f>VLOOKUP(O1056, Coordinates!$A$2:$C$6, 2, FALSE)</f>
        <v>25.761700000000001</v>
      </c>
      <c r="Q1056">
        <f>VLOOKUP(O1056, Coordinates!$A$2:$C$6, 3, FALSE)</f>
        <v>-80.191800000000001</v>
      </c>
      <c r="R1056">
        <v>30</v>
      </c>
      <c r="S1056">
        <v>934</v>
      </c>
      <c r="T1056">
        <v>13</v>
      </c>
      <c r="U1056">
        <v>95.661670993420401</v>
      </c>
      <c r="V1056" t="s">
        <v>55</v>
      </c>
      <c r="W1056">
        <v>3.52413806383964</v>
      </c>
      <c r="X1056" t="s">
        <v>31</v>
      </c>
      <c r="Y1056" t="s">
        <v>32</v>
      </c>
      <c r="Z1056">
        <v>840.02109455387097</v>
      </c>
    </row>
    <row r="1057" spans="1:26" x14ac:dyDescent="0.3">
      <c r="A1057" t="s">
        <v>33</v>
      </c>
      <c r="B1057" t="s">
        <v>1113</v>
      </c>
      <c r="C1057">
        <v>10.759747976314401</v>
      </c>
      <c r="D1057">
        <v>68</v>
      </c>
      <c r="E1057">
        <v>472</v>
      </c>
      <c r="F1057">
        <v>1211.1311949999999</v>
      </c>
      <c r="G1057" t="s">
        <v>35</v>
      </c>
      <c r="H1057">
        <v>39</v>
      </c>
      <c r="I1057">
        <v>26</v>
      </c>
      <c r="J1057">
        <v>84</v>
      </c>
      <c r="K1057">
        <v>3</v>
      </c>
      <c r="L1057" t="s">
        <v>36</v>
      </c>
      <c r="M1057">
        <v>2.1130501648859301</v>
      </c>
      <c r="N1057" t="s">
        <v>45</v>
      </c>
      <c r="O1057" t="s">
        <v>38</v>
      </c>
      <c r="P1057">
        <f>VLOOKUP(O1057, Coordinates!$A$2:$C$6, 2, FALSE)</f>
        <v>25.761700000000001</v>
      </c>
      <c r="Q1057">
        <f>VLOOKUP(O1057, Coordinates!$A$2:$C$6, 3, FALSE)</f>
        <v>-80.191800000000001</v>
      </c>
      <c r="R1057">
        <v>28</v>
      </c>
      <c r="S1057">
        <v>238</v>
      </c>
      <c r="T1057">
        <v>29</v>
      </c>
      <c r="U1057">
        <v>33.277345108128401</v>
      </c>
      <c r="V1057" t="s">
        <v>39</v>
      </c>
      <c r="W1057">
        <v>4.7480889218365396</v>
      </c>
      <c r="X1057" t="s">
        <v>52</v>
      </c>
      <c r="Y1057" t="s">
        <v>32</v>
      </c>
      <c r="Z1057">
        <v>614.37692370136995</v>
      </c>
    </row>
    <row r="1058" spans="1:26" x14ac:dyDescent="0.3">
      <c r="A1058" t="s">
        <v>61</v>
      </c>
      <c r="B1058" t="s">
        <v>1114</v>
      </c>
      <c r="C1058">
        <v>70.549975044349594</v>
      </c>
      <c r="D1058">
        <v>51</v>
      </c>
      <c r="E1058">
        <v>870</v>
      </c>
      <c r="F1058">
        <v>3964.7499163699799</v>
      </c>
      <c r="G1058" t="s">
        <v>26</v>
      </c>
      <c r="H1058">
        <v>40</v>
      </c>
      <c r="I1058">
        <v>14</v>
      </c>
      <c r="J1058">
        <v>51</v>
      </c>
      <c r="K1058">
        <v>9</v>
      </c>
      <c r="L1058" t="s">
        <v>27</v>
      </c>
      <c r="M1058">
        <v>6.9646174484996601</v>
      </c>
      <c r="N1058" t="s">
        <v>28</v>
      </c>
      <c r="O1058" t="s">
        <v>65</v>
      </c>
      <c r="P1058">
        <f>VLOOKUP(O1058, Coordinates!$A$2:$C$6, 2, FALSE)</f>
        <v>41.878100000000003</v>
      </c>
      <c r="Q1058">
        <f>VLOOKUP(O1058, Coordinates!$A$2:$C$6, 3, FALSE)</f>
        <v>-87.629800000000003</v>
      </c>
      <c r="R1058">
        <v>26</v>
      </c>
      <c r="S1058">
        <v>878</v>
      </c>
      <c r="T1058">
        <v>27</v>
      </c>
      <c r="U1058">
        <v>54.340825520000003</v>
      </c>
      <c r="V1058" t="s">
        <v>30</v>
      </c>
      <c r="W1058">
        <v>4.7299281691729202</v>
      </c>
      <c r="X1058" t="s">
        <v>31</v>
      </c>
      <c r="Y1058" t="s">
        <v>41</v>
      </c>
      <c r="Z1058">
        <v>375.98805278369798</v>
      </c>
    </row>
    <row r="1059" spans="1:26" x14ac:dyDescent="0.3">
      <c r="A1059" t="s">
        <v>72</v>
      </c>
      <c r="B1059" t="s">
        <v>1115</v>
      </c>
      <c r="C1059">
        <v>27.4091466281488</v>
      </c>
      <c r="D1059">
        <v>24</v>
      </c>
      <c r="E1059">
        <v>938</v>
      </c>
      <c r="F1059">
        <v>23138.8015834832</v>
      </c>
      <c r="G1059" t="s">
        <v>26</v>
      </c>
      <c r="H1059">
        <v>8</v>
      </c>
      <c r="I1059">
        <v>11</v>
      </c>
      <c r="J1059">
        <v>96</v>
      </c>
      <c r="K1059">
        <v>4</v>
      </c>
      <c r="L1059" t="s">
        <v>44</v>
      </c>
      <c r="M1059">
        <v>8.4776797343547798</v>
      </c>
      <c r="N1059" t="s">
        <v>37</v>
      </c>
      <c r="O1059" t="s">
        <v>67</v>
      </c>
      <c r="P1059">
        <f>VLOOKUP(O1059, Coordinates!$A$2:$C$6, 2, FALSE)</f>
        <v>40.712800000000001</v>
      </c>
      <c r="Q1059">
        <f>VLOOKUP(O1059, Coordinates!$A$2:$C$6, 3, FALSE)</f>
        <v>-74.006</v>
      </c>
      <c r="R1059">
        <v>10</v>
      </c>
      <c r="S1059">
        <v>883</v>
      </c>
      <c r="T1059">
        <v>7</v>
      </c>
      <c r="U1059">
        <v>88.138084437973902</v>
      </c>
      <c r="V1059" t="s">
        <v>30</v>
      </c>
      <c r="W1059">
        <v>4.8358913649208697</v>
      </c>
      <c r="X1059" t="s">
        <v>31</v>
      </c>
      <c r="Y1059" t="s">
        <v>32</v>
      </c>
      <c r="Z1059">
        <v>966.58318179395405</v>
      </c>
    </row>
    <row r="1060" spans="1:26" x14ac:dyDescent="0.3">
      <c r="A1060" t="s">
        <v>61</v>
      </c>
      <c r="B1060" t="s">
        <v>1116</v>
      </c>
      <c r="C1060">
        <v>93.407646460421006</v>
      </c>
      <c r="D1060">
        <v>14</v>
      </c>
      <c r="E1060">
        <v>542</v>
      </c>
      <c r="F1060">
        <v>9197.1543750000001</v>
      </c>
      <c r="G1060" t="s">
        <v>48</v>
      </c>
      <c r="H1060">
        <v>7</v>
      </c>
      <c r="I1060">
        <v>2</v>
      </c>
      <c r="J1060">
        <v>90</v>
      </c>
      <c r="K1060">
        <v>4</v>
      </c>
      <c r="L1060" t="s">
        <v>36</v>
      </c>
      <c r="M1060">
        <v>2.73715619861906</v>
      </c>
      <c r="N1060" t="s">
        <v>37</v>
      </c>
      <c r="O1060" t="s">
        <v>65</v>
      </c>
      <c r="P1060">
        <f>VLOOKUP(O1060, Coordinates!$A$2:$C$6, 2, FALSE)</f>
        <v>41.878100000000003</v>
      </c>
      <c r="Q1060">
        <f>VLOOKUP(O1060, Coordinates!$A$2:$C$6, 3, FALSE)</f>
        <v>-87.629800000000003</v>
      </c>
      <c r="R1060">
        <v>10</v>
      </c>
      <c r="S1060">
        <v>265</v>
      </c>
      <c r="T1060">
        <v>21</v>
      </c>
      <c r="U1060">
        <v>52.845120119648499</v>
      </c>
      <c r="V1060" t="s">
        <v>30</v>
      </c>
      <c r="W1060">
        <v>4.1348259860756302</v>
      </c>
      <c r="X1060" t="s">
        <v>40</v>
      </c>
      <c r="Y1060" t="s">
        <v>60</v>
      </c>
      <c r="Z1060">
        <v>897.49377990537505</v>
      </c>
    </row>
    <row r="1061" spans="1:26" x14ac:dyDescent="0.3">
      <c r="A1061" t="s">
        <v>82</v>
      </c>
      <c r="B1061" t="s">
        <v>1117</v>
      </c>
      <c r="C1061">
        <v>52.244682386052297</v>
      </c>
      <c r="D1061">
        <v>69</v>
      </c>
      <c r="E1061">
        <v>214</v>
      </c>
      <c r="F1061">
        <v>8618.9889021886192</v>
      </c>
      <c r="G1061" t="s">
        <v>54</v>
      </c>
      <c r="H1061">
        <v>43</v>
      </c>
      <c r="I1061">
        <v>2</v>
      </c>
      <c r="J1061">
        <v>19</v>
      </c>
      <c r="K1061">
        <v>3</v>
      </c>
      <c r="L1061" t="s">
        <v>36</v>
      </c>
      <c r="M1061">
        <v>12.3208287814037</v>
      </c>
      <c r="N1061" t="s">
        <v>51</v>
      </c>
      <c r="O1061" t="s">
        <v>65</v>
      </c>
      <c r="P1061">
        <f>VLOOKUP(O1061, Coordinates!$A$2:$C$6, 2, FALSE)</f>
        <v>41.878100000000003</v>
      </c>
      <c r="Q1061">
        <f>VLOOKUP(O1061, Coordinates!$A$2:$C$6, 3, FALSE)</f>
        <v>-87.629800000000003</v>
      </c>
      <c r="R1061">
        <v>9</v>
      </c>
      <c r="S1061">
        <v>513</v>
      </c>
      <c r="T1061">
        <v>26</v>
      </c>
      <c r="U1061">
        <v>87.723956972930793</v>
      </c>
      <c r="V1061" t="s">
        <v>55</v>
      </c>
      <c r="W1061">
        <v>3.8369677275358001</v>
      </c>
      <c r="X1061" t="s">
        <v>46</v>
      </c>
      <c r="Y1061" t="s">
        <v>60</v>
      </c>
      <c r="Z1061">
        <v>350.93925831388401</v>
      </c>
    </row>
    <row r="1062" spans="1:26" x14ac:dyDescent="0.3">
      <c r="A1062" t="s">
        <v>72</v>
      </c>
      <c r="B1062" t="s">
        <v>1118</v>
      </c>
      <c r="C1062">
        <v>25.187225234584702</v>
      </c>
      <c r="D1062">
        <v>18</v>
      </c>
      <c r="E1062">
        <v>608</v>
      </c>
      <c r="F1062">
        <v>13782.4496483647</v>
      </c>
      <c r="G1062" t="s">
        <v>35</v>
      </c>
      <c r="H1062">
        <v>57</v>
      </c>
      <c r="I1062">
        <v>29</v>
      </c>
      <c r="J1062">
        <v>91</v>
      </c>
      <c r="K1062">
        <v>8</v>
      </c>
      <c r="L1062" t="s">
        <v>27</v>
      </c>
      <c r="M1062">
        <v>3.0815678092829302</v>
      </c>
      <c r="N1062" t="s">
        <v>57</v>
      </c>
      <c r="O1062" t="s">
        <v>38</v>
      </c>
      <c r="P1062">
        <f>VLOOKUP(O1062, Coordinates!$A$2:$C$6, 2, FALSE)</f>
        <v>25.761700000000001</v>
      </c>
      <c r="Q1062">
        <f>VLOOKUP(O1062, Coordinates!$A$2:$C$6, 3, FALSE)</f>
        <v>-80.191800000000001</v>
      </c>
      <c r="R1062">
        <v>10</v>
      </c>
      <c r="S1062">
        <v>268</v>
      </c>
      <c r="T1062">
        <v>20</v>
      </c>
      <c r="U1062">
        <v>91.920873085028703</v>
      </c>
      <c r="V1062" t="s">
        <v>55</v>
      </c>
      <c r="W1062">
        <v>0.55682911682445502</v>
      </c>
      <c r="X1062" t="s">
        <v>40</v>
      </c>
      <c r="Y1062" t="s">
        <v>32</v>
      </c>
      <c r="Z1062">
        <v>921.423668533002</v>
      </c>
    </row>
    <row r="1063" spans="1:26" x14ac:dyDescent="0.3">
      <c r="A1063" t="s">
        <v>61</v>
      </c>
      <c r="B1063" t="s">
        <v>1119</v>
      </c>
      <c r="C1063">
        <v>9.2335632276245097</v>
      </c>
      <c r="D1063">
        <v>42</v>
      </c>
      <c r="E1063">
        <v>641</v>
      </c>
      <c r="F1063">
        <v>1837.2733726680599</v>
      </c>
      <c r="G1063" t="s">
        <v>54</v>
      </c>
      <c r="H1063">
        <v>66</v>
      </c>
      <c r="I1063">
        <v>12</v>
      </c>
      <c r="J1063">
        <v>17</v>
      </c>
      <c r="K1063">
        <v>9</v>
      </c>
      <c r="L1063" t="s">
        <v>36</v>
      </c>
      <c r="M1063">
        <v>6.3666028555017702</v>
      </c>
      <c r="N1063" t="s">
        <v>45</v>
      </c>
      <c r="O1063" t="s">
        <v>38</v>
      </c>
      <c r="P1063">
        <f>VLOOKUP(O1063, Coordinates!$A$2:$C$6, 2, FALSE)</f>
        <v>25.761700000000001</v>
      </c>
      <c r="Q1063">
        <f>VLOOKUP(O1063, Coordinates!$A$2:$C$6, 3, FALSE)</f>
        <v>-80.191800000000001</v>
      </c>
      <c r="R1063">
        <v>28</v>
      </c>
      <c r="S1063">
        <v>868</v>
      </c>
      <c r="T1063">
        <v>10</v>
      </c>
      <c r="U1063">
        <v>95.772737661691195</v>
      </c>
      <c r="V1063" t="s">
        <v>39</v>
      </c>
      <c r="W1063">
        <v>4.8750493731549298</v>
      </c>
      <c r="X1063" t="s">
        <v>52</v>
      </c>
      <c r="Y1063" t="s">
        <v>60</v>
      </c>
      <c r="Z1063">
        <v>748.11190629301598</v>
      </c>
    </row>
    <row r="1064" spans="1:26" x14ac:dyDescent="0.3">
      <c r="A1064" t="s">
        <v>42</v>
      </c>
      <c r="B1064" t="s">
        <v>1120</v>
      </c>
      <c r="C1064">
        <v>44.486007735161003</v>
      </c>
      <c r="D1064">
        <v>57</v>
      </c>
      <c r="E1064">
        <v>951</v>
      </c>
      <c r="F1064">
        <v>6303.4060488100004</v>
      </c>
      <c r="G1064" t="s">
        <v>26</v>
      </c>
      <c r="H1064">
        <v>12</v>
      </c>
      <c r="I1064">
        <v>15</v>
      </c>
      <c r="J1064">
        <v>35</v>
      </c>
      <c r="K1064">
        <v>1</v>
      </c>
      <c r="L1064" t="s">
        <v>27</v>
      </c>
      <c r="M1064">
        <v>1.96477051899033</v>
      </c>
      <c r="N1064" t="s">
        <v>57</v>
      </c>
      <c r="O1064" t="s">
        <v>58</v>
      </c>
      <c r="P1064">
        <f>VLOOKUP(O1064, Coordinates!$A$2:$C$6, 2, FALSE)</f>
        <v>34.052199999999999</v>
      </c>
      <c r="Q1064">
        <f>VLOOKUP(O1064, Coordinates!$A$2:$C$6, 3, FALSE)</f>
        <v>-118.2437</v>
      </c>
      <c r="R1064">
        <v>1</v>
      </c>
      <c r="S1064">
        <v>223</v>
      </c>
      <c r="T1064">
        <v>26</v>
      </c>
      <c r="U1064">
        <v>26.877803232344501</v>
      </c>
      <c r="V1064" t="s">
        <v>55</v>
      </c>
      <c r="W1064">
        <v>1.26597839227895</v>
      </c>
      <c r="X1064" t="s">
        <v>52</v>
      </c>
      <c r="Y1064" t="s">
        <v>41</v>
      </c>
      <c r="Z1064">
        <v>473.22441179999998</v>
      </c>
    </row>
    <row r="1065" spans="1:26" x14ac:dyDescent="0.3">
      <c r="A1065" t="s">
        <v>49</v>
      </c>
      <c r="B1065" t="s">
        <v>1121</v>
      </c>
      <c r="C1065">
        <v>33.682086507362598</v>
      </c>
      <c r="D1065">
        <v>83</v>
      </c>
      <c r="E1065">
        <v>77</v>
      </c>
      <c r="F1065">
        <v>5789.0617521290396</v>
      </c>
      <c r="G1065" t="s">
        <v>26</v>
      </c>
      <c r="H1065">
        <v>18</v>
      </c>
      <c r="I1065">
        <v>17</v>
      </c>
      <c r="J1065">
        <v>12</v>
      </c>
      <c r="K1065">
        <v>2</v>
      </c>
      <c r="L1065" t="s">
        <v>27</v>
      </c>
      <c r="M1065">
        <v>8.3443032314209997</v>
      </c>
      <c r="N1065" t="s">
        <v>37</v>
      </c>
      <c r="O1065" t="s">
        <v>67</v>
      </c>
      <c r="P1065">
        <f>VLOOKUP(O1065, Coordinates!$A$2:$C$6, 2, FALSE)</f>
        <v>40.712800000000001</v>
      </c>
      <c r="Q1065">
        <f>VLOOKUP(O1065, Coordinates!$A$2:$C$6, 3, FALSE)</f>
        <v>-74.006</v>
      </c>
      <c r="R1065">
        <v>22</v>
      </c>
      <c r="S1065">
        <v>649</v>
      </c>
      <c r="T1065">
        <v>19</v>
      </c>
      <c r="U1065">
        <v>98.194153125815504</v>
      </c>
      <c r="V1065" t="s">
        <v>39</v>
      </c>
      <c r="W1065">
        <v>2.8189214800960598</v>
      </c>
      <c r="X1065" t="s">
        <v>40</v>
      </c>
      <c r="Y1065" t="s">
        <v>32</v>
      </c>
      <c r="Z1065">
        <v>520.1891359</v>
      </c>
    </row>
    <row r="1066" spans="1:26" x14ac:dyDescent="0.3">
      <c r="A1066" t="s">
        <v>82</v>
      </c>
      <c r="B1066" t="s">
        <v>1122</v>
      </c>
      <c r="C1066">
        <v>77.303389072268104</v>
      </c>
      <c r="D1066">
        <v>12</v>
      </c>
      <c r="E1066">
        <v>996</v>
      </c>
      <c r="F1066">
        <v>3397.39877287021</v>
      </c>
      <c r="G1066" t="s">
        <v>35</v>
      </c>
      <c r="H1066">
        <v>97</v>
      </c>
      <c r="I1066">
        <v>14</v>
      </c>
      <c r="J1066">
        <v>68</v>
      </c>
      <c r="K1066">
        <v>1</v>
      </c>
      <c r="L1066" t="s">
        <v>44</v>
      </c>
      <c r="M1066">
        <v>9.3585802556855704</v>
      </c>
      <c r="N1066" t="s">
        <v>37</v>
      </c>
      <c r="O1066" t="s">
        <v>67</v>
      </c>
      <c r="P1066">
        <f>VLOOKUP(O1066, Coordinates!$A$2:$C$6, 2, FALSE)</f>
        <v>40.712800000000001</v>
      </c>
      <c r="Q1066">
        <f>VLOOKUP(O1066, Coordinates!$A$2:$C$6, 3, FALSE)</f>
        <v>-74.006</v>
      </c>
      <c r="R1066">
        <v>16</v>
      </c>
      <c r="S1066">
        <v>981</v>
      </c>
      <c r="T1066">
        <v>29</v>
      </c>
      <c r="U1066">
        <v>25.8019178732693</v>
      </c>
      <c r="V1066" t="s">
        <v>55</v>
      </c>
      <c r="W1066">
        <v>2.0268623521891702</v>
      </c>
      <c r="X1066" t="s">
        <v>46</v>
      </c>
      <c r="Y1066" t="s">
        <v>60</v>
      </c>
      <c r="Z1066">
        <v>501.74338807563799</v>
      </c>
    </row>
    <row r="1067" spans="1:26" x14ac:dyDescent="0.3">
      <c r="A1067" t="s">
        <v>61</v>
      </c>
      <c r="B1067" t="s">
        <v>1123</v>
      </c>
      <c r="C1067">
        <v>38.655437659899398</v>
      </c>
      <c r="D1067">
        <v>82</v>
      </c>
      <c r="E1067">
        <v>639</v>
      </c>
      <c r="F1067">
        <v>9095.07776098451</v>
      </c>
      <c r="G1067" t="s">
        <v>26</v>
      </c>
      <c r="H1067">
        <v>95</v>
      </c>
      <c r="I1067">
        <v>25</v>
      </c>
      <c r="J1067">
        <v>97</v>
      </c>
      <c r="K1067">
        <v>4</v>
      </c>
      <c r="L1067" t="s">
        <v>27</v>
      </c>
      <c r="M1067">
        <v>11.2924759022495</v>
      </c>
      <c r="N1067" t="s">
        <v>45</v>
      </c>
      <c r="O1067" t="s">
        <v>38</v>
      </c>
      <c r="P1067">
        <f>VLOOKUP(O1067, Coordinates!$A$2:$C$6, 2, FALSE)</f>
        <v>25.761700000000001</v>
      </c>
      <c r="Q1067">
        <f>VLOOKUP(O1067, Coordinates!$A$2:$C$6, 3, FALSE)</f>
        <v>-80.191800000000001</v>
      </c>
      <c r="R1067">
        <v>28</v>
      </c>
      <c r="S1067">
        <v>860</v>
      </c>
      <c r="T1067">
        <v>29</v>
      </c>
      <c r="U1067">
        <v>49.992935301547597</v>
      </c>
      <c r="V1067" t="s">
        <v>39</v>
      </c>
      <c r="W1067">
        <v>4.3013603935098299</v>
      </c>
      <c r="X1067" t="s">
        <v>46</v>
      </c>
      <c r="Y1067" t="s">
        <v>60</v>
      </c>
      <c r="Z1067">
        <v>817.17713326894398</v>
      </c>
    </row>
    <row r="1068" spans="1:26" x14ac:dyDescent="0.3">
      <c r="A1068" t="s">
        <v>82</v>
      </c>
      <c r="B1068" t="s">
        <v>1124</v>
      </c>
      <c r="C1068">
        <v>95.1617636499101</v>
      </c>
      <c r="D1068">
        <v>17</v>
      </c>
      <c r="E1068">
        <v>313</v>
      </c>
      <c r="F1068">
        <v>9346.2976849999995</v>
      </c>
      <c r="G1068" t="s">
        <v>35</v>
      </c>
      <c r="H1068">
        <v>48</v>
      </c>
      <c r="I1068">
        <v>16</v>
      </c>
      <c r="J1068">
        <v>12</v>
      </c>
      <c r="K1068">
        <v>10</v>
      </c>
      <c r="L1068" t="s">
        <v>36</v>
      </c>
      <c r="M1068">
        <v>5.7524608415613399</v>
      </c>
      <c r="N1068" t="s">
        <v>28</v>
      </c>
      <c r="O1068" t="s">
        <v>58</v>
      </c>
      <c r="P1068">
        <f>VLOOKUP(O1068, Coordinates!$A$2:$C$6, 2, FALSE)</f>
        <v>34.052199999999999</v>
      </c>
      <c r="Q1068">
        <f>VLOOKUP(O1068, Coordinates!$A$2:$C$6, 3, FALSE)</f>
        <v>-118.2437</v>
      </c>
      <c r="R1068">
        <v>14</v>
      </c>
      <c r="S1068">
        <v>848</v>
      </c>
      <c r="T1068">
        <v>13</v>
      </c>
      <c r="U1068">
        <v>37.775304241529</v>
      </c>
      <c r="V1068" t="s">
        <v>30</v>
      </c>
      <c r="W1068">
        <v>1.5512500073352999</v>
      </c>
      <c r="X1068" t="s">
        <v>31</v>
      </c>
      <c r="Y1068" t="s">
        <v>32</v>
      </c>
      <c r="Z1068">
        <v>257.9537828</v>
      </c>
    </row>
    <row r="1069" spans="1:26" x14ac:dyDescent="0.3">
      <c r="A1069" t="s">
        <v>24</v>
      </c>
      <c r="B1069" t="s">
        <v>1125</v>
      </c>
      <c r="C1069">
        <v>39.942584921125501</v>
      </c>
      <c r="D1069">
        <v>30</v>
      </c>
      <c r="E1069">
        <v>700</v>
      </c>
      <c r="F1069">
        <v>25163.8285003091</v>
      </c>
      <c r="G1069" t="s">
        <v>35</v>
      </c>
      <c r="H1069">
        <v>79</v>
      </c>
      <c r="I1069">
        <v>27</v>
      </c>
      <c r="J1069">
        <v>47</v>
      </c>
      <c r="K1069">
        <v>7</v>
      </c>
      <c r="L1069" t="s">
        <v>27</v>
      </c>
      <c r="M1069">
        <v>9.2674409944445308</v>
      </c>
      <c r="N1069" t="s">
        <v>45</v>
      </c>
      <c r="O1069" t="s">
        <v>38</v>
      </c>
      <c r="P1069">
        <f>VLOOKUP(O1069, Coordinates!$A$2:$C$6, 2, FALSE)</f>
        <v>25.761700000000001</v>
      </c>
      <c r="Q1069">
        <f>VLOOKUP(O1069, Coordinates!$A$2:$C$6, 3, FALSE)</f>
        <v>-80.191800000000001</v>
      </c>
      <c r="R1069">
        <v>28</v>
      </c>
      <c r="S1069">
        <v>197</v>
      </c>
      <c r="T1069">
        <v>22</v>
      </c>
      <c r="U1069">
        <v>94.973300080000001</v>
      </c>
      <c r="V1069" t="s">
        <v>39</v>
      </c>
      <c r="W1069">
        <v>3.6682374438609502</v>
      </c>
      <c r="X1069" t="s">
        <v>31</v>
      </c>
      <c r="Y1069" t="s">
        <v>60</v>
      </c>
      <c r="Z1069">
        <v>152.801102643847</v>
      </c>
    </row>
    <row r="1070" spans="1:26" x14ac:dyDescent="0.3">
      <c r="A1070" t="s">
        <v>82</v>
      </c>
      <c r="B1070" t="s">
        <v>1126</v>
      </c>
      <c r="C1070">
        <v>63.9863160706822</v>
      </c>
      <c r="D1070">
        <v>88</v>
      </c>
      <c r="E1070">
        <v>703</v>
      </c>
      <c r="F1070">
        <v>9012.7230140216798</v>
      </c>
      <c r="G1070" t="s">
        <v>54</v>
      </c>
      <c r="H1070">
        <v>99</v>
      </c>
      <c r="I1070">
        <v>8</v>
      </c>
      <c r="J1070">
        <v>11</v>
      </c>
      <c r="K1070">
        <v>7</v>
      </c>
      <c r="L1070" t="s">
        <v>36</v>
      </c>
      <c r="M1070">
        <v>11.2780627552466</v>
      </c>
      <c r="N1070" t="s">
        <v>45</v>
      </c>
      <c r="O1070" t="s">
        <v>38</v>
      </c>
      <c r="P1070">
        <f>VLOOKUP(O1070, Coordinates!$A$2:$C$6, 2, FALSE)</f>
        <v>25.761700000000001</v>
      </c>
      <c r="Q1070">
        <f>VLOOKUP(O1070, Coordinates!$A$2:$C$6, 3, FALSE)</f>
        <v>-80.191800000000001</v>
      </c>
      <c r="R1070">
        <v>27</v>
      </c>
      <c r="S1070">
        <v>159</v>
      </c>
      <c r="T1070">
        <v>2</v>
      </c>
      <c r="U1070">
        <v>32.547226593297196</v>
      </c>
      <c r="V1070" t="s">
        <v>55</v>
      </c>
      <c r="W1070">
        <v>4.4820523174765796</v>
      </c>
      <c r="X1070" t="s">
        <v>40</v>
      </c>
      <c r="Y1070" t="s">
        <v>60</v>
      </c>
      <c r="Z1070">
        <v>548.61212044025604</v>
      </c>
    </row>
    <row r="1071" spans="1:26" x14ac:dyDescent="0.3">
      <c r="A1071" t="s">
        <v>72</v>
      </c>
      <c r="B1071" t="s">
        <v>1127</v>
      </c>
      <c r="C1071">
        <v>28.947604637376902</v>
      </c>
      <c r="D1071">
        <v>75</v>
      </c>
      <c r="E1071">
        <v>714</v>
      </c>
      <c r="F1071">
        <v>18601.7307399784</v>
      </c>
      <c r="G1071" t="s">
        <v>35</v>
      </c>
      <c r="H1071">
        <v>81</v>
      </c>
      <c r="I1071">
        <v>24</v>
      </c>
      <c r="J1071">
        <v>26</v>
      </c>
      <c r="K1071">
        <v>6</v>
      </c>
      <c r="L1071" t="s">
        <v>27</v>
      </c>
      <c r="M1071">
        <v>11.668492084740301</v>
      </c>
      <c r="N1071" t="s">
        <v>51</v>
      </c>
      <c r="O1071" t="s">
        <v>29</v>
      </c>
      <c r="P1071">
        <f>VLOOKUP(O1071, Coordinates!$A$2:$C$6, 2, FALSE)</f>
        <v>29.760400000000001</v>
      </c>
      <c r="Q1071">
        <f>VLOOKUP(O1071, Coordinates!$A$2:$C$6, 3, FALSE)</f>
        <v>-95.369799999999998</v>
      </c>
      <c r="R1071">
        <v>14</v>
      </c>
      <c r="S1071">
        <v>118</v>
      </c>
      <c r="T1071">
        <v>20</v>
      </c>
      <c r="U1071">
        <v>84.987721748382498</v>
      </c>
      <c r="V1071" t="s">
        <v>55</v>
      </c>
      <c r="W1071">
        <v>2.6172437620435001</v>
      </c>
      <c r="X1071" t="s">
        <v>52</v>
      </c>
      <c r="Y1071" t="s">
        <v>32</v>
      </c>
      <c r="Z1071">
        <v>361.36861062950999</v>
      </c>
    </row>
    <row r="1072" spans="1:26" x14ac:dyDescent="0.3">
      <c r="A1072" t="s">
        <v>24</v>
      </c>
      <c r="B1072" t="s">
        <v>1128</v>
      </c>
      <c r="C1072">
        <v>25.3566401507195</v>
      </c>
      <c r="D1072">
        <v>99</v>
      </c>
      <c r="E1072">
        <v>594</v>
      </c>
      <c r="F1072">
        <v>13555.659824574601</v>
      </c>
      <c r="G1072" t="s">
        <v>26</v>
      </c>
      <c r="H1072">
        <v>77</v>
      </c>
      <c r="I1072">
        <v>17</v>
      </c>
      <c r="J1072">
        <v>82</v>
      </c>
      <c r="K1072">
        <v>10</v>
      </c>
      <c r="L1072" t="s">
        <v>44</v>
      </c>
      <c r="M1072">
        <v>5.2229858503005104</v>
      </c>
      <c r="N1072" t="s">
        <v>28</v>
      </c>
      <c r="O1072" t="s">
        <v>58</v>
      </c>
      <c r="P1072">
        <f>VLOOKUP(O1072, Coordinates!$A$2:$C$6, 2, FALSE)</f>
        <v>34.052199999999999</v>
      </c>
      <c r="Q1072">
        <f>VLOOKUP(O1072, Coordinates!$A$2:$C$6, 3, FALSE)</f>
        <v>-118.2437</v>
      </c>
      <c r="R1072">
        <v>8</v>
      </c>
      <c r="S1072">
        <v>223</v>
      </c>
      <c r="T1072">
        <v>12</v>
      </c>
      <c r="U1072">
        <v>93.705774175586697</v>
      </c>
      <c r="V1072" t="s">
        <v>39</v>
      </c>
      <c r="W1072">
        <v>3.32240246932228</v>
      </c>
      <c r="X1072" t="s">
        <v>46</v>
      </c>
      <c r="Y1072" t="s">
        <v>41</v>
      </c>
      <c r="Z1072">
        <v>945.358042147221</v>
      </c>
    </row>
    <row r="1073" spans="1:26" x14ac:dyDescent="0.3">
      <c r="A1073" t="s">
        <v>72</v>
      </c>
      <c r="B1073" t="s">
        <v>1129</v>
      </c>
      <c r="C1073">
        <v>28.141303839527801</v>
      </c>
      <c r="D1073">
        <v>23</v>
      </c>
      <c r="E1073">
        <v>864</v>
      </c>
      <c r="F1073">
        <v>21882.677865616799</v>
      </c>
      <c r="G1073" t="s">
        <v>48</v>
      </c>
      <c r="H1073">
        <v>29</v>
      </c>
      <c r="I1073">
        <v>5</v>
      </c>
      <c r="J1073">
        <v>45</v>
      </c>
      <c r="K1073">
        <v>4</v>
      </c>
      <c r="L1073" t="s">
        <v>44</v>
      </c>
      <c r="M1073">
        <v>1.9478550224937501</v>
      </c>
      <c r="N1073" t="s">
        <v>57</v>
      </c>
      <c r="O1073" t="s">
        <v>29</v>
      </c>
      <c r="P1073">
        <f>VLOOKUP(O1073, Coordinates!$A$2:$C$6, 2, FALSE)</f>
        <v>29.760400000000001</v>
      </c>
      <c r="Q1073">
        <f>VLOOKUP(O1073, Coordinates!$A$2:$C$6, 3, FALSE)</f>
        <v>-95.369799999999998</v>
      </c>
      <c r="R1073">
        <v>23</v>
      </c>
      <c r="S1073">
        <v>325</v>
      </c>
      <c r="T1073">
        <v>8</v>
      </c>
      <c r="U1073">
        <v>81.887243721630696</v>
      </c>
      <c r="V1073" t="s">
        <v>55</v>
      </c>
      <c r="W1073">
        <v>4.9226397517200402</v>
      </c>
      <c r="X1073" t="s">
        <v>40</v>
      </c>
      <c r="Y1073" t="s">
        <v>60</v>
      </c>
      <c r="Z1073">
        <v>980.37538387920597</v>
      </c>
    </row>
    <row r="1074" spans="1:26" x14ac:dyDescent="0.3">
      <c r="A1074" t="s">
        <v>49</v>
      </c>
      <c r="B1074" t="s">
        <v>1130</v>
      </c>
      <c r="C1074">
        <v>22.1292538651639</v>
      </c>
      <c r="D1074">
        <v>81</v>
      </c>
      <c r="E1074">
        <v>190</v>
      </c>
      <c r="F1074">
        <v>2103.2484085646402</v>
      </c>
      <c r="H1074">
        <v>65</v>
      </c>
      <c r="I1074">
        <v>12</v>
      </c>
      <c r="J1074">
        <v>95</v>
      </c>
      <c r="K1074">
        <v>8</v>
      </c>
      <c r="L1074" t="s">
        <v>27</v>
      </c>
      <c r="M1074">
        <v>1.5266726857217501</v>
      </c>
      <c r="N1074" t="s">
        <v>28</v>
      </c>
      <c r="O1074" t="s">
        <v>65</v>
      </c>
      <c r="P1074">
        <f>VLOOKUP(O1074, Coordinates!$A$2:$C$6, 2, FALSE)</f>
        <v>41.878100000000003</v>
      </c>
      <c r="Q1074">
        <f>VLOOKUP(O1074, Coordinates!$A$2:$C$6, 3, FALSE)</f>
        <v>-87.629800000000003</v>
      </c>
      <c r="R1074">
        <v>23</v>
      </c>
      <c r="S1074">
        <v>711</v>
      </c>
      <c r="T1074">
        <v>18</v>
      </c>
      <c r="U1074">
        <v>22.3702740638909</v>
      </c>
      <c r="V1074" t="s">
        <v>55</v>
      </c>
      <c r="W1074">
        <v>1.9876756788897101</v>
      </c>
      <c r="X1074" t="s">
        <v>40</v>
      </c>
      <c r="Y1074" t="s">
        <v>41</v>
      </c>
      <c r="Z1074">
        <v>704.30730846304505</v>
      </c>
    </row>
    <row r="1075" spans="1:26" x14ac:dyDescent="0.3">
      <c r="A1075" t="s">
        <v>24</v>
      </c>
      <c r="B1075" t="s">
        <v>1131</v>
      </c>
      <c r="C1075">
        <v>25.588265656711801</v>
      </c>
      <c r="D1075">
        <v>1</v>
      </c>
      <c r="E1075">
        <v>860</v>
      </c>
      <c r="F1075">
        <v>19805.317618294899</v>
      </c>
      <c r="G1075" t="s">
        <v>26</v>
      </c>
      <c r="H1075">
        <v>76</v>
      </c>
      <c r="I1075">
        <v>6</v>
      </c>
      <c r="J1075">
        <v>97</v>
      </c>
      <c r="K1075">
        <v>7</v>
      </c>
      <c r="L1075" t="s">
        <v>27</v>
      </c>
      <c r="M1075">
        <v>11.752843985696099</v>
      </c>
      <c r="N1075" t="s">
        <v>45</v>
      </c>
      <c r="O1075" t="s">
        <v>38</v>
      </c>
      <c r="P1075">
        <f>VLOOKUP(O1075, Coordinates!$A$2:$C$6, 2, FALSE)</f>
        <v>25.761700000000001</v>
      </c>
      <c r="Q1075">
        <f>VLOOKUP(O1075, Coordinates!$A$2:$C$6, 3, FALSE)</f>
        <v>-80.191800000000001</v>
      </c>
      <c r="R1075">
        <v>26</v>
      </c>
      <c r="S1075">
        <v>423</v>
      </c>
      <c r="T1075">
        <v>25</v>
      </c>
      <c r="U1075">
        <v>89.912968931136803</v>
      </c>
      <c r="V1075" t="s">
        <v>39</v>
      </c>
      <c r="W1075">
        <v>4.0455954266893404</v>
      </c>
      <c r="X1075" t="s">
        <v>52</v>
      </c>
      <c r="Y1075" t="s">
        <v>41</v>
      </c>
      <c r="Z1075">
        <v>963.29649596940101</v>
      </c>
    </row>
    <row r="1076" spans="1:26" x14ac:dyDescent="0.3">
      <c r="A1076" t="s">
        <v>42</v>
      </c>
      <c r="B1076" t="s">
        <v>1132</v>
      </c>
      <c r="C1076">
        <v>58.283074019448598</v>
      </c>
      <c r="D1076">
        <v>79</v>
      </c>
      <c r="E1076">
        <v>257</v>
      </c>
      <c r="F1076">
        <v>5086.8693400000002</v>
      </c>
      <c r="G1076" t="s">
        <v>48</v>
      </c>
      <c r="H1076">
        <v>90</v>
      </c>
      <c r="I1076">
        <v>18</v>
      </c>
      <c r="J1076">
        <v>82</v>
      </c>
      <c r="K1076">
        <v>10</v>
      </c>
      <c r="L1076" t="s">
        <v>27</v>
      </c>
      <c r="M1076">
        <v>6.3961448405374401</v>
      </c>
      <c r="N1076" t="s">
        <v>45</v>
      </c>
      <c r="O1076" t="s">
        <v>38</v>
      </c>
      <c r="P1076">
        <f>VLOOKUP(O1076, Coordinates!$A$2:$C$6, 2, FALSE)</f>
        <v>25.761700000000001</v>
      </c>
      <c r="Q1076">
        <f>VLOOKUP(O1076, Coordinates!$A$2:$C$6, 3, FALSE)</f>
        <v>-80.191800000000001</v>
      </c>
      <c r="R1076">
        <v>29</v>
      </c>
      <c r="S1076">
        <v>116</v>
      </c>
      <c r="T1076">
        <v>2</v>
      </c>
      <c r="U1076">
        <v>58.825714920000003</v>
      </c>
      <c r="V1076" t="s">
        <v>39</v>
      </c>
      <c r="W1076">
        <v>3.6099201119158302</v>
      </c>
      <c r="X1076" t="s">
        <v>31</v>
      </c>
      <c r="Y1076" t="s">
        <v>41</v>
      </c>
      <c r="Z1076">
        <v>758.84924112631097</v>
      </c>
    </row>
    <row r="1077" spans="1:26" x14ac:dyDescent="0.3">
      <c r="A1077" t="s">
        <v>82</v>
      </c>
      <c r="B1077" t="s">
        <v>1133</v>
      </c>
      <c r="C1077">
        <v>87.076350169825901</v>
      </c>
      <c r="D1077">
        <v>32</v>
      </c>
      <c r="E1077">
        <v>17</v>
      </c>
      <c r="F1077">
        <v>7610.3833629016299</v>
      </c>
      <c r="G1077" t="s">
        <v>48</v>
      </c>
      <c r="H1077">
        <v>58</v>
      </c>
      <c r="I1077">
        <v>26</v>
      </c>
      <c r="J1077">
        <v>11</v>
      </c>
      <c r="K1077">
        <v>1</v>
      </c>
      <c r="L1077" t="s">
        <v>44</v>
      </c>
      <c r="M1077">
        <v>2.8751972792469198</v>
      </c>
      <c r="N1077" t="s">
        <v>45</v>
      </c>
      <c r="O1077" t="s">
        <v>38</v>
      </c>
      <c r="P1077">
        <f>VLOOKUP(O1077, Coordinates!$A$2:$C$6, 2, FALSE)</f>
        <v>25.761700000000001</v>
      </c>
      <c r="Q1077">
        <f>VLOOKUP(O1077, Coordinates!$A$2:$C$6, 3, FALSE)</f>
        <v>-80.191800000000001</v>
      </c>
      <c r="R1077">
        <v>30</v>
      </c>
      <c r="S1077">
        <v>859</v>
      </c>
      <c r="T1077">
        <v>16</v>
      </c>
      <c r="U1077">
        <v>98.150151207818396</v>
      </c>
      <c r="V1077" t="s">
        <v>39</v>
      </c>
      <c r="W1077">
        <v>4.7813106255174302</v>
      </c>
      <c r="X1077" t="s">
        <v>52</v>
      </c>
      <c r="Y1077" t="s">
        <v>41</v>
      </c>
      <c r="Z1077">
        <v>168.32353134208299</v>
      </c>
    </row>
    <row r="1078" spans="1:26" x14ac:dyDescent="0.3">
      <c r="A1078" t="s">
        <v>61</v>
      </c>
      <c r="B1078" t="s">
        <v>1134</v>
      </c>
      <c r="C1078">
        <v>50.726670770888099</v>
      </c>
      <c r="D1078">
        <v>9</v>
      </c>
      <c r="E1078">
        <v>303</v>
      </c>
      <c r="F1078">
        <v>4304.5643298816203</v>
      </c>
      <c r="G1078" t="s">
        <v>35</v>
      </c>
      <c r="H1078">
        <v>52</v>
      </c>
      <c r="I1078">
        <v>5</v>
      </c>
      <c r="J1078">
        <v>94</v>
      </c>
      <c r="K1078">
        <v>6</v>
      </c>
      <c r="L1078" t="s">
        <v>27</v>
      </c>
      <c r="M1078">
        <v>3.5828450972978101</v>
      </c>
      <c r="N1078" t="s">
        <v>45</v>
      </c>
      <c r="O1078" t="s">
        <v>38</v>
      </c>
      <c r="P1078">
        <f>VLOOKUP(O1078, Coordinates!$A$2:$C$6, 2, FALSE)</f>
        <v>25.761700000000001</v>
      </c>
      <c r="Q1078">
        <f>VLOOKUP(O1078, Coordinates!$A$2:$C$6, 3, FALSE)</f>
        <v>-80.191800000000001</v>
      </c>
      <c r="R1078">
        <v>25</v>
      </c>
      <c r="S1078">
        <v>179</v>
      </c>
      <c r="T1078">
        <v>8</v>
      </c>
      <c r="U1078">
        <v>48.106199515009102</v>
      </c>
      <c r="V1078" t="s">
        <v>39</v>
      </c>
      <c r="W1078">
        <v>4.5675700315002903</v>
      </c>
      <c r="X1078" t="s">
        <v>31</v>
      </c>
      <c r="Y1078" t="s">
        <v>41</v>
      </c>
      <c r="Z1078">
        <v>900.37078423547598</v>
      </c>
    </row>
    <row r="1079" spans="1:26" x14ac:dyDescent="0.3">
      <c r="A1079" t="s">
        <v>33</v>
      </c>
      <c r="B1079" t="s">
        <v>1135</v>
      </c>
      <c r="C1079">
        <v>90.279093904405798</v>
      </c>
      <c r="D1079">
        <v>15</v>
      </c>
      <c r="E1079">
        <v>80</v>
      </c>
      <c r="F1079">
        <v>1169.9279071861099</v>
      </c>
      <c r="G1079" t="s">
        <v>48</v>
      </c>
      <c r="H1079">
        <v>51</v>
      </c>
      <c r="I1079">
        <v>6</v>
      </c>
      <c r="J1079">
        <v>43</v>
      </c>
      <c r="K1079">
        <v>2</v>
      </c>
      <c r="L1079" t="s">
        <v>27</v>
      </c>
      <c r="M1079">
        <v>11.7261066472437</v>
      </c>
      <c r="N1079" t="s">
        <v>45</v>
      </c>
      <c r="O1079" t="s">
        <v>38</v>
      </c>
      <c r="P1079">
        <f>VLOOKUP(O1079, Coordinates!$A$2:$C$6, 2, FALSE)</f>
        <v>25.761700000000001</v>
      </c>
      <c r="Q1079">
        <f>VLOOKUP(O1079, Coordinates!$A$2:$C$6, 3, FALSE)</f>
        <v>-80.191800000000001</v>
      </c>
      <c r="R1079">
        <v>29</v>
      </c>
      <c r="S1079">
        <v>696</v>
      </c>
      <c r="T1079">
        <v>16</v>
      </c>
      <c r="U1079">
        <v>27.5903087478994</v>
      </c>
      <c r="V1079" t="s">
        <v>39</v>
      </c>
      <c r="W1079">
        <v>4.7072376150552202</v>
      </c>
      <c r="X1079" t="s">
        <v>31</v>
      </c>
      <c r="Y1079" t="s">
        <v>60</v>
      </c>
      <c r="Z1079">
        <v>279.02763724120501</v>
      </c>
    </row>
    <row r="1080" spans="1:26" x14ac:dyDescent="0.3">
      <c r="A1080" t="s">
        <v>82</v>
      </c>
      <c r="B1080" t="s">
        <v>1136</v>
      </c>
      <c r="C1080">
        <v>69.063153007229502</v>
      </c>
      <c r="D1080">
        <v>28</v>
      </c>
      <c r="E1080">
        <v>55</v>
      </c>
      <c r="F1080">
        <v>1904.7732282265199</v>
      </c>
      <c r="G1080" t="s">
        <v>48</v>
      </c>
      <c r="H1080">
        <v>80</v>
      </c>
      <c r="I1080">
        <v>9</v>
      </c>
      <c r="J1080">
        <v>36</v>
      </c>
      <c r="K1080">
        <v>4</v>
      </c>
      <c r="L1080" t="s">
        <v>36</v>
      </c>
      <c r="M1080">
        <v>9.3846280100000001</v>
      </c>
      <c r="N1080" t="s">
        <v>28</v>
      </c>
      <c r="O1080" t="s">
        <v>67</v>
      </c>
      <c r="P1080">
        <f>VLOOKUP(O1080, Coordinates!$A$2:$C$6, 2, FALSE)</f>
        <v>40.712800000000001</v>
      </c>
      <c r="Q1080">
        <f>VLOOKUP(O1080, Coordinates!$A$2:$C$6, 3, FALSE)</f>
        <v>-74.006</v>
      </c>
      <c r="R1080">
        <v>1</v>
      </c>
      <c r="S1080">
        <v>959</v>
      </c>
      <c r="T1080">
        <v>8</v>
      </c>
      <c r="U1080">
        <v>41.141709949688497</v>
      </c>
      <c r="V1080" t="s">
        <v>30</v>
      </c>
      <c r="W1080">
        <v>1.5234880678659199</v>
      </c>
      <c r="X1080" t="s">
        <v>46</v>
      </c>
      <c r="Y1080" t="s">
        <v>60</v>
      </c>
      <c r="Z1080">
        <v>878.31040508950798</v>
      </c>
    </row>
    <row r="1081" spans="1:26" x14ac:dyDescent="0.3">
      <c r="A1081" t="s">
        <v>82</v>
      </c>
      <c r="B1081" t="s">
        <v>1137</v>
      </c>
      <c r="C1081">
        <v>18.014910990098699</v>
      </c>
      <c r="D1081">
        <v>24</v>
      </c>
      <c r="E1081">
        <v>791</v>
      </c>
      <c r="F1081">
        <v>5465.9753149999997</v>
      </c>
      <c r="G1081" t="s">
        <v>48</v>
      </c>
      <c r="H1081">
        <v>30</v>
      </c>
      <c r="I1081">
        <v>15</v>
      </c>
      <c r="J1081">
        <v>46</v>
      </c>
      <c r="K1081">
        <v>8</v>
      </c>
      <c r="L1081" t="s">
        <v>44</v>
      </c>
      <c r="M1081">
        <v>8.0196443262899901</v>
      </c>
      <c r="N1081" t="s">
        <v>45</v>
      </c>
      <c r="O1081" t="s">
        <v>38</v>
      </c>
      <c r="P1081">
        <f>VLOOKUP(O1081, Coordinates!$A$2:$C$6, 2, FALSE)</f>
        <v>25.761700000000001</v>
      </c>
      <c r="Q1081">
        <f>VLOOKUP(O1081, Coordinates!$A$2:$C$6, 3, FALSE)</f>
        <v>-80.191800000000001</v>
      </c>
      <c r="R1081">
        <v>26</v>
      </c>
      <c r="S1081">
        <v>555</v>
      </c>
      <c r="T1081">
        <v>23</v>
      </c>
      <c r="U1081">
        <v>76.326904548414404</v>
      </c>
      <c r="V1081" t="s">
        <v>39</v>
      </c>
      <c r="W1081">
        <v>4.6941900550114601</v>
      </c>
      <c r="X1081" t="s">
        <v>46</v>
      </c>
      <c r="Y1081" t="s">
        <v>41</v>
      </c>
      <c r="Z1081">
        <v>867.18860930000005</v>
      </c>
    </row>
    <row r="1082" spans="1:26" x14ac:dyDescent="0.3">
      <c r="A1082" t="s">
        <v>49</v>
      </c>
      <c r="B1082" t="s">
        <v>1138</v>
      </c>
      <c r="C1082">
        <v>99.523230085883796</v>
      </c>
      <c r="D1082">
        <v>60</v>
      </c>
      <c r="E1082">
        <v>153</v>
      </c>
      <c r="F1082">
        <v>7209.6792141372598</v>
      </c>
      <c r="G1082" t="s">
        <v>54</v>
      </c>
      <c r="H1082">
        <v>14</v>
      </c>
      <c r="I1082">
        <v>10</v>
      </c>
      <c r="J1082">
        <v>80</v>
      </c>
      <c r="K1082">
        <v>8</v>
      </c>
      <c r="L1082" t="s">
        <v>44</v>
      </c>
      <c r="M1082">
        <v>9.7221061987434503</v>
      </c>
      <c r="N1082" t="s">
        <v>37</v>
      </c>
      <c r="O1082" t="s">
        <v>29</v>
      </c>
      <c r="P1082">
        <f>VLOOKUP(O1082, Coordinates!$A$2:$C$6, 2, FALSE)</f>
        <v>29.760400000000001</v>
      </c>
      <c r="Q1082">
        <f>VLOOKUP(O1082, Coordinates!$A$2:$C$6, 3, FALSE)</f>
        <v>-95.369799999999998</v>
      </c>
      <c r="R1082">
        <v>27</v>
      </c>
      <c r="S1082">
        <v>640</v>
      </c>
      <c r="T1082">
        <v>30</v>
      </c>
      <c r="U1082">
        <v>69.319586889628795</v>
      </c>
      <c r="V1082" t="s">
        <v>39</v>
      </c>
      <c r="W1082">
        <v>0.95686772621028005</v>
      </c>
      <c r="X1082" t="s">
        <v>31</v>
      </c>
      <c r="Y1082" t="s">
        <v>32</v>
      </c>
      <c r="Z1082">
        <v>854.75581948163597</v>
      </c>
    </row>
    <row r="1083" spans="1:26" x14ac:dyDescent="0.3">
      <c r="A1083" t="s">
        <v>42</v>
      </c>
      <c r="B1083" t="s">
        <v>1139</v>
      </c>
      <c r="C1083">
        <v>55.087102770000001</v>
      </c>
      <c r="D1083">
        <v>35</v>
      </c>
      <c r="E1083">
        <v>735</v>
      </c>
      <c r="F1083">
        <v>4012.61793921351</v>
      </c>
      <c r="G1083" t="s">
        <v>26</v>
      </c>
      <c r="H1083">
        <v>19</v>
      </c>
      <c r="I1083">
        <v>17</v>
      </c>
      <c r="J1083">
        <v>31</v>
      </c>
      <c r="K1083">
        <v>6</v>
      </c>
      <c r="L1083" t="s">
        <v>27</v>
      </c>
      <c r="M1083">
        <v>2.92499375820393</v>
      </c>
      <c r="N1083" t="s">
        <v>37</v>
      </c>
      <c r="O1083" t="s">
        <v>38</v>
      </c>
      <c r="P1083">
        <f>VLOOKUP(O1083, Coordinates!$A$2:$C$6, 2, FALSE)</f>
        <v>25.761700000000001</v>
      </c>
      <c r="Q1083">
        <f>VLOOKUP(O1083, Coordinates!$A$2:$C$6, 3, FALSE)</f>
        <v>-80.191800000000001</v>
      </c>
      <c r="R1083">
        <v>11</v>
      </c>
      <c r="S1083">
        <v>745</v>
      </c>
      <c r="T1083">
        <v>13</v>
      </c>
      <c r="U1083">
        <v>80.051266685595195</v>
      </c>
      <c r="V1083" t="s">
        <v>30</v>
      </c>
      <c r="W1083">
        <v>2.1311067093210898</v>
      </c>
      <c r="X1083" t="s">
        <v>31</v>
      </c>
      <c r="Y1083" t="s">
        <v>41</v>
      </c>
      <c r="Z1083">
        <v>328.22239808724203</v>
      </c>
    </row>
    <row r="1084" spans="1:26" x14ac:dyDescent="0.3">
      <c r="A1084" t="s">
        <v>33</v>
      </c>
      <c r="B1084" t="s">
        <v>1140</v>
      </c>
      <c r="C1084">
        <v>42.226538158862397</v>
      </c>
      <c r="D1084">
        <v>86</v>
      </c>
      <c r="E1084">
        <v>126</v>
      </c>
      <c r="F1084">
        <v>7259.3961325988503</v>
      </c>
      <c r="G1084" t="s">
        <v>35</v>
      </c>
      <c r="H1084">
        <v>4</v>
      </c>
      <c r="I1084">
        <v>29</v>
      </c>
      <c r="J1084">
        <v>77</v>
      </c>
      <c r="K1084">
        <v>2</v>
      </c>
      <c r="L1084" t="s">
        <v>27</v>
      </c>
      <c r="M1084">
        <v>5.4665914007421899</v>
      </c>
      <c r="N1084" t="s">
        <v>51</v>
      </c>
      <c r="O1084" t="s">
        <v>29</v>
      </c>
      <c r="P1084">
        <f>VLOOKUP(O1084, Coordinates!$A$2:$C$6, 2, FALSE)</f>
        <v>29.760400000000001</v>
      </c>
      <c r="Q1084">
        <f>VLOOKUP(O1084, Coordinates!$A$2:$C$6, 3, FALSE)</f>
        <v>-95.369799999999998</v>
      </c>
      <c r="R1084">
        <v>13</v>
      </c>
      <c r="S1084">
        <v>805</v>
      </c>
      <c r="T1084">
        <v>26</v>
      </c>
      <c r="U1084">
        <v>16.6123262983788</v>
      </c>
      <c r="V1084" t="s">
        <v>55</v>
      </c>
      <c r="W1084">
        <v>3.2487797491662298</v>
      </c>
      <c r="X1084" t="s">
        <v>46</v>
      </c>
      <c r="Y1084" t="s">
        <v>32</v>
      </c>
      <c r="Z1084">
        <v>826.65713560179904</v>
      </c>
    </row>
    <row r="1085" spans="1:26" x14ac:dyDescent="0.3">
      <c r="A1085" t="s">
        <v>24</v>
      </c>
      <c r="B1085" t="s">
        <v>1141</v>
      </c>
      <c r="C1085">
        <v>27.0418595924241</v>
      </c>
      <c r="D1085">
        <v>27</v>
      </c>
      <c r="E1085">
        <v>215</v>
      </c>
      <c r="F1085">
        <v>5232.59983113406</v>
      </c>
      <c r="G1085" t="s">
        <v>48</v>
      </c>
      <c r="H1085">
        <v>6</v>
      </c>
      <c r="I1085">
        <v>26</v>
      </c>
      <c r="J1085">
        <v>23</v>
      </c>
      <c r="K1085">
        <v>5</v>
      </c>
      <c r="L1085" t="s">
        <v>36</v>
      </c>
      <c r="M1085">
        <v>6.2368892430000002</v>
      </c>
      <c r="N1085" t="s">
        <v>57</v>
      </c>
      <c r="O1085" t="s">
        <v>58</v>
      </c>
      <c r="P1085">
        <f>VLOOKUP(O1085, Coordinates!$A$2:$C$6, 2, FALSE)</f>
        <v>34.052199999999999</v>
      </c>
      <c r="Q1085">
        <f>VLOOKUP(O1085, Coordinates!$A$2:$C$6, 3, FALSE)</f>
        <v>-118.2437</v>
      </c>
      <c r="R1085">
        <v>23</v>
      </c>
      <c r="S1085">
        <v>730</v>
      </c>
      <c r="T1085">
        <v>6</v>
      </c>
      <c r="U1085">
        <v>93.029322846778598</v>
      </c>
      <c r="V1085" t="s">
        <v>55</v>
      </c>
      <c r="W1085">
        <v>2.5841261001200899</v>
      </c>
      <c r="X1085" t="s">
        <v>31</v>
      </c>
      <c r="Y1085" t="s">
        <v>60</v>
      </c>
      <c r="Z1085">
        <v>649.31684023947298</v>
      </c>
    </row>
    <row r="1086" spans="1:26" x14ac:dyDescent="0.3">
      <c r="A1086" t="s">
        <v>24</v>
      </c>
      <c r="B1086" t="s">
        <v>1142</v>
      </c>
      <c r="D1086">
        <v>83</v>
      </c>
      <c r="E1086">
        <v>284</v>
      </c>
      <c r="F1086">
        <v>5755.4751350115903</v>
      </c>
      <c r="G1086" t="s">
        <v>26</v>
      </c>
      <c r="H1086">
        <v>17</v>
      </c>
      <c r="I1086">
        <v>19</v>
      </c>
      <c r="J1086">
        <v>32</v>
      </c>
      <c r="K1086">
        <v>5</v>
      </c>
      <c r="L1086" t="s">
        <v>27</v>
      </c>
      <c r="M1086">
        <v>5.40296877131704</v>
      </c>
      <c r="N1086" t="s">
        <v>37</v>
      </c>
      <c r="O1086" t="s">
        <v>58</v>
      </c>
      <c r="P1086">
        <f>VLOOKUP(O1086, Coordinates!$A$2:$C$6, 2, FALSE)</f>
        <v>34.052199999999999</v>
      </c>
      <c r="Q1086">
        <f>VLOOKUP(O1086, Coordinates!$A$2:$C$6, 3, FALSE)</f>
        <v>-118.2437</v>
      </c>
      <c r="R1086">
        <v>4</v>
      </c>
      <c r="S1086">
        <v>477</v>
      </c>
      <c r="T1086">
        <v>1</v>
      </c>
      <c r="U1086">
        <v>85.417505271741703</v>
      </c>
      <c r="V1086" t="s">
        <v>39</v>
      </c>
      <c r="W1086">
        <v>1.8813908828722199</v>
      </c>
      <c r="X1086" t="s">
        <v>31</v>
      </c>
      <c r="Y1086" t="s">
        <v>32</v>
      </c>
      <c r="Z1086">
        <v>173.685723159453</v>
      </c>
    </row>
    <row r="1087" spans="1:26" x14ac:dyDescent="0.3">
      <c r="A1087" t="s">
        <v>24</v>
      </c>
      <c r="B1087" t="s">
        <v>1143</v>
      </c>
      <c r="C1087">
        <v>20.016940347228399</v>
      </c>
      <c r="D1087">
        <v>76</v>
      </c>
      <c r="E1087">
        <v>542</v>
      </c>
      <c r="F1087">
        <v>9764.2635009999995</v>
      </c>
      <c r="G1087" t="s">
        <v>48</v>
      </c>
      <c r="H1087">
        <v>55</v>
      </c>
      <c r="I1087">
        <v>12</v>
      </c>
      <c r="J1087">
        <v>53</v>
      </c>
      <c r="K1087">
        <v>6</v>
      </c>
      <c r="L1087" t="s">
        <v>44</v>
      </c>
      <c r="M1087">
        <v>13.1018283698891</v>
      </c>
      <c r="N1087" t="s">
        <v>51</v>
      </c>
      <c r="O1087" t="s">
        <v>65</v>
      </c>
      <c r="P1087">
        <f>VLOOKUP(O1087, Coordinates!$A$2:$C$6, 2, FALSE)</f>
        <v>41.878100000000003</v>
      </c>
      <c r="Q1087">
        <f>VLOOKUP(O1087, Coordinates!$A$2:$C$6, 3, FALSE)</f>
        <v>-87.629800000000003</v>
      </c>
      <c r="R1087">
        <v>25</v>
      </c>
      <c r="S1087">
        <v>978</v>
      </c>
      <c r="T1087">
        <v>2</v>
      </c>
      <c r="U1087">
        <v>87.529346607340401</v>
      </c>
      <c r="V1087" t="s">
        <v>39</v>
      </c>
      <c r="W1087">
        <v>2.8101663285338701</v>
      </c>
      <c r="X1087" t="s">
        <v>31</v>
      </c>
      <c r="Y1087" t="s">
        <v>60</v>
      </c>
      <c r="Z1087">
        <v>900.21873397264505</v>
      </c>
    </row>
    <row r="1088" spans="1:26" x14ac:dyDescent="0.3">
      <c r="A1088" t="s">
        <v>72</v>
      </c>
      <c r="B1088" t="s">
        <v>1144</v>
      </c>
      <c r="C1088">
        <v>29.832487689907499</v>
      </c>
      <c r="D1088">
        <v>20</v>
      </c>
      <c r="E1088">
        <v>689</v>
      </c>
      <c r="F1088">
        <v>18499.125616511599</v>
      </c>
      <c r="H1088">
        <v>74</v>
      </c>
      <c r="I1088">
        <v>9</v>
      </c>
      <c r="J1088">
        <v>98</v>
      </c>
      <c r="K1088">
        <v>1</v>
      </c>
      <c r="L1088" t="s">
        <v>36</v>
      </c>
      <c r="M1088">
        <v>9.1398960251366397</v>
      </c>
      <c r="N1088" t="s">
        <v>28</v>
      </c>
      <c r="O1088" t="s">
        <v>29</v>
      </c>
      <c r="P1088">
        <f>VLOOKUP(O1088, Coordinates!$A$2:$C$6, 2, FALSE)</f>
        <v>29.760400000000001</v>
      </c>
      <c r="Q1088">
        <f>VLOOKUP(O1088, Coordinates!$A$2:$C$6, 3, FALSE)</f>
        <v>-95.369799999999998</v>
      </c>
      <c r="R1088">
        <v>6</v>
      </c>
      <c r="S1088">
        <v>290</v>
      </c>
      <c r="T1088">
        <v>7</v>
      </c>
      <c r="U1088">
        <v>94.409876750690202</v>
      </c>
      <c r="V1088" t="s">
        <v>55</v>
      </c>
      <c r="W1088">
        <v>4.1940313815733399</v>
      </c>
      <c r="X1088" t="s">
        <v>52</v>
      </c>
      <c r="Y1088" t="s">
        <v>32</v>
      </c>
      <c r="Z1088">
        <v>889.13013815992599</v>
      </c>
    </row>
    <row r="1089" spans="1:26" x14ac:dyDescent="0.3">
      <c r="A1089" t="s">
        <v>72</v>
      </c>
      <c r="B1089" t="s">
        <v>1145</v>
      </c>
      <c r="C1089">
        <v>29.782842541206499</v>
      </c>
      <c r="D1089">
        <v>65</v>
      </c>
      <c r="E1089">
        <v>160</v>
      </c>
      <c r="F1089">
        <v>4288.7293259337303</v>
      </c>
      <c r="G1089" t="s">
        <v>54</v>
      </c>
      <c r="H1089">
        <v>95</v>
      </c>
      <c r="I1089">
        <v>15</v>
      </c>
      <c r="J1089">
        <v>74</v>
      </c>
      <c r="K1089">
        <v>8</v>
      </c>
      <c r="L1089" t="s">
        <v>44</v>
      </c>
      <c r="M1089">
        <v>11.210499704774501</v>
      </c>
      <c r="N1089" t="s">
        <v>57</v>
      </c>
      <c r="O1089" t="s">
        <v>29</v>
      </c>
      <c r="P1089">
        <f>VLOOKUP(O1089, Coordinates!$A$2:$C$6, 2, FALSE)</f>
        <v>29.760400000000001</v>
      </c>
      <c r="Q1089">
        <f>VLOOKUP(O1089, Coordinates!$A$2:$C$6, 3, FALSE)</f>
        <v>-95.369799999999998</v>
      </c>
      <c r="R1089">
        <v>22</v>
      </c>
      <c r="S1089">
        <v>764</v>
      </c>
      <c r="T1089">
        <v>13</v>
      </c>
      <c r="U1089">
        <v>80.023599460761503</v>
      </c>
      <c r="V1089" t="s">
        <v>30</v>
      </c>
      <c r="W1089">
        <v>4.19465513819239</v>
      </c>
      <c r="X1089" t="s">
        <v>40</v>
      </c>
      <c r="Y1089" t="s">
        <v>41</v>
      </c>
      <c r="Z1089">
        <v>614.79201910901304</v>
      </c>
    </row>
    <row r="1090" spans="1:26" x14ac:dyDescent="0.3">
      <c r="A1090" t="s">
        <v>61</v>
      </c>
      <c r="B1090" t="s">
        <v>1146</v>
      </c>
      <c r="C1090">
        <v>95.536902011995394</v>
      </c>
      <c r="D1090">
        <v>85</v>
      </c>
      <c r="E1090">
        <v>242</v>
      </c>
      <c r="F1090">
        <v>5052.3867414697397</v>
      </c>
      <c r="G1090" t="s">
        <v>48</v>
      </c>
      <c r="H1090">
        <v>90</v>
      </c>
      <c r="I1090">
        <v>14</v>
      </c>
      <c r="J1090">
        <v>88</v>
      </c>
      <c r="K1090">
        <v>3</v>
      </c>
      <c r="L1090" t="s">
        <v>27</v>
      </c>
      <c r="M1090">
        <v>4.3138852582597504</v>
      </c>
      <c r="N1090" t="s">
        <v>45</v>
      </c>
      <c r="O1090" t="s">
        <v>38</v>
      </c>
      <c r="P1090">
        <f>VLOOKUP(O1090, Coordinates!$A$2:$C$6, 2, FALSE)</f>
        <v>25.761700000000001</v>
      </c>
      <c r="Q1090">
        <f>VLOOKUP(O1090, Coordinates!$A$2:$C$6, 3, FALSE)</f>
        <v>-80.191800000000001</v>
      </c>
      <c r="R1090">
        <v>28</v>
      </c>
      <c r="S1090">
        <v>954</v>
      </c>
      <c r="T1090">
        <v>27</v>
      </c>
      <c r="U1090">
        <v>38.366421025978099</v>
      </c>
      <c r="V1090" t="s">
        <v>55</v>
      </c>
      <c r="W1090">
        <v>4.0365174998529598</v>
      </c>
      <c r="X1090" t="s">
        <v>31</v>
      </c>
      <c r="Y1090" t="s">
        <v>60</v>
      </c>
      <c r="Z1090">
        <v>507.36188021403302</v>
      </c>
    </row>
    <row r="1091" spans="1:26" x14ac:dyDescent="0.3">
      <c r="A1091" t="s">
        <v>33</v>
      </c>
      <c r="B1091" t="s">
        <v>1147</v>
      </c>
      <c r="C1091">
        <v>54.641273089545003</v>
      </c>
      <c r="D1091">
        <v>49</v>
      </c>
      <c r="E1091">
        <v>380</v>
      </c>
      <c r="F1091">
        <v>2794.42737109564</v>
      </c>
      <c r="G1091" t="s">
        <v>48</v>
      </c>
      <c r="H1091">
        <v>89</v>
      </c>
      <c r="I1091">
        <v>1</v>
      </c>
      <c r="J1091">
        <v>87</v>
      </c>
      <c r="K1091">
        <v>5</v>
      </c>
      <c r="L1091" t="s">
        <v>36</v>
      </c>
      <c r="M1091">
        <v>4.6970365221405004</v>
      </c>
      <c r="N1091" t="s">
        <v>45</v>
      </c>
      <c r="O1091" t="s">
        <v>38</v>
      </c>
      <c r="P1091">
        <f>VLOOKUP(O1091, Coordinates!$A$2:$C$6, 2, FALSE)</f>
        <v>25.761700000000001</v>
      </c>
      <c r="Q1091">
        <f>VLOOKUP(O1091, Coordinates!$A$2:$C$6, 3, FALSE)</f>
        <v>-80.191800000000001</v>
      </c>
      <c r="R1091">
        <v>29</v>
      </c>
      <c r="S1091">
        <v>590</v>
      </c>
      <c r="T1091">
        <v>4</v>
      </c>
      <c r="U1091">
        <v>69.272128932481607</v>
      </c>
      <c r="V1091" t="s">
        <v>55</v>
      </c>
      <c r="W1091">
        <v>4.2233195155577397</v>
      </c>
      <c r="X1091" t="s">
        <v>46</v>
      </c>
      <c r="Y1091" t="s">
        <v>32</v>
      </c>
      <c r="Z1091">
        <v>460.49232166005697</v>
      </c>
    </row>
    <row r="1092" spans="1:26" x14ac:dyDescent="0.3">
      <c r="A1092" t="s">
        <v>24</v>
      </c>
      <c r="B1092" t="s">
        <v>1148</v>
      </c>
      <c r="C1092">
        <v>23.139234749379501</v>
      </c>
      <c r="D1092">
        <v>1</v>
      </c>
      <c r="E1092">
        <v>86</v>
      </c>
      <c r="F1092">
        <v>1790.9767696019701</v>
      </c>
      <c r="G1092" t="s">
        <v>48</v>
      </c>
      <c r="H1092">
        <v>100</v>
      </c>
      <c r="I1092">
        <v>17</v>
      </c>
      <c r="J1092">
        <v>70</v>
      </c>
      <c r="K1092">
        <v>7</v>
      </c>
      <c r="L1092" t="s">
        <v>44</v>
      </c>
      <c r="M1092">
        <v>4.15470376309404</v>
      </c>
      <c r="N1092" t="s">
        <v>28</v>
      </c>
      <c r="O1092" t="s">
        <v>38</v>
      </c>
      <c r="P1092">
        <f>VLOOKUP(O1092, Coordinates!$A$2:$C$6, 2, FALSE)</f>
        <v>25.761700000000001</v>
      </c>
      <c r="Q1092">
        <f>VLOOKUP(O1092, Coordinates!$A$2:$C$6, 3, FALSE)</f>
        <v>-80.191800000000001</v>
      </c>
      <c r="R1092">
        <v>24</v>
      </c>
      <c r="S1092">
        <v>504</v>
      </c>
      <c r="T1092">
        <v>9</v>
      </c>
      <c r="U1092">
        <v>82.119557712158596</v>
      </c>
      <c r="V1092" t="s">
        <v>55</v>
      </c>
      <c r="W1092">
        <v>2.9510233371891901</v>
      </c>
      <c r="X1092" t="s">
        <v>31</v>
      </c>
      <c r="Y1092" t="s">
        <v>41</v>
      </c>
      <c r="Z1092">
        <v>642.46355460201096</v>
      </c>
    </row>
    <row r="1093" spans="1:26" x14ac:dyDescent="0.3">
      <c r="A1093" t="s">
        <v>72</v>
      </c>
      <c r="B1093" t="s">
        <v>1149</v>
      </c>
      <c r="C1093">
        <v>36.653592713038002</v>
      </c>
      <c r="D1093">
        <v>10</v>
      </c>
      <c r="E1093">
        <v>496</v>
      </c>
      <c r="F1093">
        <v>16362.1637871001</v>
      </c>
      <c r="G1093" t="s">
        <v>54</v>
      </c>
      <c r="H1093">
        <v>44</v>
      </c>
      <c r="I1093">
        <v>1</v>
      </c>
      <c r="J1093">
        <v>94</v>
      </c>
      <c r="K1093">
        <v>3</v>
      </c>
      <c r="L1093" t="s">
        <v>44</v>
      </c>
      <c r="M1093">
        <v>10.6317140870378</v>
      </c>
      <c r="N1093" t="s">
        <v>57</v>
      </c>
      <c r="O1093" t="s">
        <v>65</v>
      </c>
      <c r="P1093">
        <f>VLOOKUP(O1093, Coordinates!$A$2:$C$6, 2, FALSE)</f>
        <v>41.878100000000003</v>
      </c>
      <c r="Q1093">
        <f>VLOOKUP(O1093, Coordinates!$A$2:$C$6, 3, FALSE)</f>
        <v>-87.629800000000003</v>
      </c>
      <c r="R1093">
        <v>22</v>
      </c>
      <c r="S1093">
        <v>371</v>
      </c>
      <c r="T1093">
        <v>19</v>
      </c>
      <c r="U1093">
        <v>90.445533826044993</v>
      </c>
      <c r="V1093" t="s">
        <v>30</v>
      </c>
      <c r="W1093">
        <v>3.8288188000000001E-2</v>
      </c>
      <c r="X1093" t="s">
        <v>31</v>
      </c>
      <c r="Y1093" t="s">
        <v>32</v>
      </c>
      <c r="Z1093">
        <v>857.52171069999997</v>
      </c>
    </row>
    <row r="1094" spans="1:26" x14ac:dyDescent="0.3">
      <c r="A1094" t="s">
        <v>61</v>
      </c>
      <c r="B1094" t="s">
        <v>1150</v>
      </c>
      <c r="C1094">
        <v>92.341803429999999</v>
      </c>
      <c r="D1094">
        <v>47</v>
      </c>
      <c r="E1094">
        <v>360</v>
      </c>
      <c r="F1094">
        <v>6701.8176425455304</v>
      </c>
      <c r="G1094" t="s">
        <v>54</v>
      </c>
      <c r="H1094">
        <v>27</v>
      </c>
      <c r="I1094">
        <v>23</v>
      </c>
      <c r="J1094">
        <v>64</v>
      </c>
      <c r="K1094">
        <v>10</v>
      </c>
      <c r="L1094" t="s">
        <v>44</v>
      </c>
      <c r="M1094">
        <v>5.8865739396672501</v>
      </c>
      <c r="N1094" t="s">
        <v>37</v>
      </c>
      <c r="O1094" t="s">
        <v>58</v>
      </c>
      <c r="P1094">
        <f>VLOOKUP(O1094, Coordinates!$A$2:$C$6, 2, FALSE)</f>
        <v>34.052199999999999</v>
      </c>
      <c r="Q1094">
        <f>VLOOKUP(O1094, Coordinates!$A$2:$C$6, 3, FALSE)</f>
        <v>-118.2437</v>
      </c>
      <c r="R1094">
        <v>13</v>
      </c>
      <c r="S1094">
        <v>743</v>
      </c>
      <c r="T1094">
        <v>20</v>
      </c>
      <c r="U1094">
        <v>90.015077525938594</v>
      </c>
      <c r="V1094" t="s">
        <v>55</v>
      </c>
      <c r="W1094">
        <v>1.45464816406078</v>
      </c>
      <c r="X1094" t="s">
        <v>46</v>
      </c>
      <c r="Y1094" t="s">
        <v>32</v>
      </c>
      <c r="Z1094">
        <v>609.33489376533703</v>
      </c>
    </row>
    <row r="1095" spans="1:26" x14ac:dyDescent="0.3">
      <c r="A1095" t="s">
        <v>42</v>
      </c>
      <c r="B1095" t="s">
        <v>1151</v>
      </c>
      <c r="C1095">
        <v>21.729069776406401</v>
      </c>
      <c r="D1095">
        <v>59</v>
      </c>
      <c r="E1095">
        <v>929</v>
      </c>
      <c r="F1095">
        <v>3236.82169534383</v>
      </c>
      <c r="G1095" t="s">
        <v>26</v>
      </c>
      <c r="H1095">
        <v>49</v>
      </c>
      <c r="I1095">
        <v>29</v>
      </c>
      <c r="J1095">
        <v>80</v>
      </c>
      <c r="K1095">
        <v>6</v>
      </c>
      <c r="L1095" t="s">
        <v>27</v>
      </c>
      <c r="M1095">
        <v>6.6711778536582802</v>
      </c>
      <c r="N1095" t="s">
        <v>57</v>
      </c>
      <c r="O1095" t="s">
        <v>29</v>
      </c>
      <c r="P1095">
        <f>VLOOKUP(O1095, Coordinates!$A$2:$C$6, 2, FALSE)</f>
        <v>29.760400000000001</v>
      </c>
      <c r="Q1095">
        <f>VLOOKUP(O1095, Coordinates!$A$2:$C$6, 3, FALSE)</f>
        <v>-95.369799999999998</v>
      </c>
      <c r="R1095">
        <v>6</v>
      </c>
      <c r="S1095">
        <v>974</v>
      </c>
      <c r="T1095">
        <v>3</v>
      </c>
      <c r="U1095">
        <v>71.026550340553996</v>
      </c>
      <c r="V1095" t="s">
        <v>39</v>
      </c>
      <c r="W1095">
        <v>1.6411135224505</v>
      </c>
      <c r="X1095" t="s">
        <v>46</v>
      </c>
      <c r="Y1095" t="s">
        <v>32</v>
      </c>
      <c r="Z1095">
        <v>216.68663344928001</v>
      </c>
    </row>
    <row r="1096" spans="1:26" x14ac:dyDescent="0.3">
      <c r="A1096" t="s">
        <v>61</v>
      </c>
      <c r="B1096" t="s">
        <v>1152</v>
      </c>
      <c r="C1096">
        <v>25.3259186753825</v>
      </c>
      <c r="D1096">
        <v>96</v>
      </c>
      <c r="E1096">
        <v>277</v>
      </c>
      <c r="F1096">
        <v>3737.3972903691802</v>
      </c>
      <c r="G1096" t="s">
        <v>35</v>
      </c>
      <c r="H1096">
        <v>1</v>
      </c>
      <c r="I1096">
        <v>21</v>
      </c>
      <c r="J1096">
        <v>94</v>
      </c>
      <c r="K1096">
        <v>5</v>
      </c>
      <c r="L1096" t="s">
        <v>27</v>
      </c>
      <c r="M1096">
        <v>10.927702509744</v>
      </c>
      <c r="N1096" t="s">
        <v>51</v>
      </c>
      <c r="O1096" t="s">
        <v>38</v>
      </c>
      <c r="P1096">
        <f>VLOOKUP(O1096, Coordinates!$A$2:$C$6, 2, FALSE)</f>
        <v>25.761700000000001</v>
      </c>
      <c r="Q1096">
        <f>VLOOKUP(O1096, Coordinates!$A$2:$C$6, 3, FALSE)</f>
        <v>-80.191800000000001</v>
      </c>
      <c r="R1096">
        <v>22</v>
      </c>
      <c r="S1096">
        <v>529</v>
      </c>
      <c r="T1096">
        <v>23</v>
      </c>
      <c r="U1096">
        <v>33.550716349283498</v>
      </c>
      <c r="V1096" t="s">
        <v>30</v>
      </c>
      <c r="W1096">
        <v>2.73663038651683</v>
      </c>
      <c r="X1096" t="s">
        <v>31</v>
      </c>
      <c r="Y1096" t="s">
        <v>60</v>
      </c>
      <c r="Z1096">
        <v>375.552264129874</v>
      </c>
    </row>
    <row r="1097" spans="1:26" x14ac:dyDescent="0.3">
      <c r="A1097" t="s">
        <v>72</v>
      </c>
      <c r="B1097" t="s">
        <v>1153</v>
      </c>
      <c r="C1097">
        <v>23.836111932664199</v>
      </c>
      <c r="D1097">
        <v>62</v>
      </c>
      <c r="E1097">
        <v>584</v>
      </c>
      <c r="F1097">
        <v>12528.260431808299</v>
      </c>
      <c r="G1097" t="s">
        <v>35</v>
      </c>
      <c r="H1097">
        <v>83</v>
      </c>
      <c r="I1097">
        <v>22</v>
      </c>
      <c r="J1097">
        <v>59</v>
      </c>
      <c r="K1097">
        <v>7</v>
      </c>
      <c r="L1097" t="s">
        <v>27</v>
      </c>
      <c r="M1097">
        <v>14.605181826364801</v>
      </c>
      <c r="N1097" t="s">
        <v>28</v>
      </c>
      <c r="O1097" t="s">
        <v>65</v>
      </c>
      <c r="P1097">
        <f>VLOOKUP(O1097, Coordinates!$A$2:$C$6, 2, FALSE)</f>
        <v>41.878100000000003</v>
      </c>
      <c r="Q1097">
        <f>VLOOKUP(O1097, Coordinates!$A$2:$C$6, 3, FALSE)</f>
        <v>-87.629800000000003</v>
      </c>
      <c r="R1097">
        <v>4</v>
      </c>
      <c r="S1097">
        <v>619</v>
      </c>
      <c r="T1097">
        <v>2</v>
      </c>
      <c r="U1097">
        <v>81.819406595644907</v>
      </c>
      <c r="V1097" t="s">
        <v>39</v>
      </c>
      <c r="W1097">
        <v>4.5244473569374097</v>
      </c>
      <c r="X1097" t="s">
        <v>40</v>
      </c>
      <c r="Y1097" t="s">
        <v>60</v>
      </c>
      <c r="Z1097">
        <v>701.42211099494898</v>
      </c>
    </row>
    <row r="1098" spans="1:26" x14ac:dyDescent="0.3">
      <c r="A1098" t="s">
        <v>49</v>
      </c>
      <c r="B1098" t="s">
        <v>1154</v>
      </c>
      <c r="C1098">
        <v>6.3480546925978798</v>
      </c>
      <c r="D1098">
        <v>86</v>
      </c>
      <c r="E1098">
        <v>48</v>
      </c>
      <c r="F1098">
        <v>3944.9906484530802</v>
      </c>
      <c r="G1098" t="s">
        <v>54</v>
      </c>
      <c r="H1098">
        <v>67</v>
      </c>
      <c r="I1098">
        <v>13</v>
      </c>
      <c r="J1098">
        <v>21</v>
      </c>
      <c r="K1098">
        <v>10</v>
      </c>
      <c r="L1098" t="s">
        <v>27</v>
      </c>
      <c r="M1098">
        <v>3.26625439226645</v>
      </c>
      <c r="N1098" t="s">
        <v>37</v>
      </c>
      <c r="O1098" t="s">
        <v>67</v>
      </c>
      <c r="P1098">
        <f>VLOOKUP(O1098, Coordinates!$A$2:$C$6, 2, FALSE)</f>
        <v>40.712800000000001</v>
      </c>
      <c r="Q1098">
        <f>VLOOKUP(O1098, Coordinates!$A$2:$C$6, 3, FALSE)</f>
        <v>-74.006</v>
      </c>
      <c r="R1098">
        <v>21</v>
      </c>
      <c r="S1098">
        <v>745</v>
      </c>
      <c r="T1098">
        <v>16</v>
      </c>
      <c r="U1098">
        <v>89.401942051205097</v>
      </c>
      <c r="V1098" t="s">
        <v>30</v>
      </c>
      <c r="W1098">
        <v>4.190574818</v>
      </c>
      <c r="X1098" t="s">
        <v>46</v>
      </c>
      <c r="Y1098" t="s">
        <v>41</v>
      </c>
      <c r="Z1098">
        <v>682.14227760000006</v>
      </c>
    </row>
    <row r="1099" spans="1:26" x14ac:dyDescent="0.3">
      <c r="A1099" t="s">
        <v>49</v>
      </c>
      <c r="B1099" t="s">
        <v>1155</v>
      </c>
      <c r="C1099">
        <v>83.792204560000002</v>
      </c>
      <c r="D1099">
        <v>18</v>
      </c>
      <c r="E1099">
        <v>577</v>
      </c>
      <c r="F1099">
        <v>3179.7630281182701</v>
      </c>
      <c r="G1099" t="s">
        <v>35</v>
      </c>
      <c r="H1099">
        <v>76</v>
      </c>
      <c r="I1099">
        <v>30</v>
      </c>
      <c r="J1099">
        <v>88</v>
      </c>
      <c r="K1099">
        <v>3</v>
      </c>
      <c r="L1099" t="s">
        <v>44</v>
      </c>
      <c r="M1099">
        <v>1.8774677552872401</v>
      </c>
      <c r="N1099" t="s">
        <v>57</v>
      </c>
      <c r="O1099" t="s">
        <v>65</v>
      </c>
      <c r="P1099">
        <f>VLOOKUP(O1099, Coordinates!$A$2:$C$6, 2, FALSE)</f>
        <v>41.878100000000003</v>
      </c>
      <c r="Q1099">
        <f>VLOOKUP(O1099, Coordinates!$A$2:$C$6, 3, FALSE)</f>
        <v>-87.629800000000003</v>
      </c>
      <c r="R1099">
        <v>3</v>
      </c>
      <c r="S1099">
        <v>992</v>
      </c>
      <c r="T1099">
        <v>10</v>
      </c>
      <c r="U1099">
        <v>62.6806958747853</v>
      </c>
      <c r="V1099" t="s">
        <v>30</v>
      </c>
      <c r="W1099">
        <v>1.1608649265415301</v>
      </c>
      <c r="X1099" t="s">
        <v>46</v>
      </c>
      <c r="Y1099" t="s">
        <v>32</v>
      </c>
      <c r="Z1099">
        <v>567.00831536666101</v>
      </c>
    </row>
    <row r="1100" spans="1:26" x14ac:dyDescent="0.3">
      <c r="A1100" t="s">
        <v>24</v>
      </c>
      <c r="B1100" t="s">
        <v>1156</v>
      </c>
      <c r="C1100">
        <v>35.403791277382197</v>
      </c>
      <c r="D1100">
        <v>46</v>
      </c>
      <c r="E1100">
        <v>127</v>
      </c>
      <c r="F1100">
        <v>4046.6533430047798</v>
      </c>
      <c r="G1100" t="s">
        <v>48</v>
      </c>
      <c r="H1100">
        <v>23</v>
      </c>
      <c r="I1100">
        <v>8</v>
      </c>
      <c r="J1100">
        <v>24</v>
      </c>
      <c r="K1100">
        <v>2</v>
      </c>
      <c r="L1100" t="s">
        <v>36</v>
      </c>
      <c r="M1100">
        <v>3.7278430475444502</v>
      </c>
      <c r="N1100" t="s">
        <v>57</v>
      </c>
      <c r="O1100" t="s">
        <v>38</v>
      </c>
      <c r="P1100">
        <f>VLOOKUP(O1100, Coordinates!$A$2:$C$6, 2, FALSE)</f>
        <v>25.761700000000001</v>
      </c>
      <c r="Q1100">
        <f>VLOOKUP(O1100, Coordinates!$A$2:$C$6, 3, FALSE)</f>
        <v>-80.191800000000001</v>
      </c>
      <c r="R1100">
        <v>25</v>
      </c>
      <c r="S1100">
        <v>483</v>
      </c>
      <c r="T1100">
        <v>28</v>
      </c>
      <c r="U1100">
        <v>85.015508299075194</v>
      </c>
      <c r="V1100" t="s">
        <v>55</v>
      </c>
      <c r="W1100">
        <v>2.5969511797203402</v>
      </c>
      <c r="X1100" t="s">
        <v>52</v>
      </c>
      <c r="Y1100" t="s">
        <v>32</v>
      </c>
      <c r="Z1100">
        <v>316.43015079890802</v>
      </c>
    </row>
    <row r="1101" spans="1:26" x14ac:dyDescent="0.3">
      <c r="A1101" t="s">
        <v>49</v>
      </c>
      <c r="B1101" t="s">
        <v>1157</v>
      </c>
      <c r="C1101">
        <v>38.728900362936002</v>
      </c>
      <c r="D1101">
        <v>32</v>
      </c>
      <c r="E1101">
        <v>353</v>
      </c>
      <c r="F1101">
        <v>7973.7256196376002</v>
      </c>
      <c r="G1101" t="s">
        <v>26</v>
      </c>
      <c r="H1101">
        <v>47</v>
      </c>
      <c r="I1101">
        <v>30</v>
      </c>
      <c r="J1101">
        <v>26</v>
      </c>
      <c r="K1101">
        <v>4</v>
      </c>
      <c r="L1101" t="s">
        <v>27</v>
      </c>
      <c r="M1101">
        <v>11.2894495894858</v>
      </c>
      <c r="N1101" t="s">
        <v>37</v>
      </c>
      <c r="O1101" t="s">
        <v>58</v>
      </c>
      <c r="P1101">
        <f>VLOOKUP(O1101, Coordinates!$A$2:$C$6, 2, FALSE)</f>
        <v>34.052199999999999</v>
      </c>
      <c r="Q1101">
        <f>VLOOKUP(O1101, Coordinates!$A$2:$C$6, 3, FALSE)</f>
        <v>-118.2437</v>
      </c>
      <c r="R1101">
        <v>30</v>
      </c>
      <c r="S1101">
        <v>920</v>
      </c>
      <c r="T1101">
        <v>12</v>
      </c>
      <c r="U1101">
        <v>50.487778588314697</v>
      </c>
      <c r="V1101" t="s">
        <v>55</v>
      </c>
      <c r="W1101">
        <v>3.2957431771448</v>
      </c>
      <c r="X1101" t="s">
        <v>31</v>
      </c>
      <c r="Y1101" t="s">
        <v>60</v>
      </c>
      <c r="Z1101">
        <v>343.52173591913402</v>
      </c>
    </row>
    <row r="1102" spans="1:26" x14ac:dyDescent="0.3">
      <c r="A1102" t="s">
        <v>24</v>
      </c>
      <c r="B1102" t="s">
        <v>1158</v>
      </c>
      <c r="C1102">
        <v>23.8054105353797</v>
      </c>
      <c r="D1102">
        <v>27</v>
      </c>
      <c r="E1102">
        <v>712</v>
      </c>
      <c r="F1102">
        <v>15254.507071071301</v>
      </c>
      <c r="G1102" t="s">
        <v>54</v>
      </c>
      <c r="H1102">
        <v>44</v>
      </c>
      <c r="I1102">
        <v>13</v>
      </c>
      <c r="J1102">
        <v>43</v>
      </c>
      <c r="K1102">
        <v>3</v>
      </c>
      <c r="L1102" t="s">
        <v>36</v>
      </c>
      <c r="M1102">
        <v>3.7247820746862201</v>
      </c>
      <c r="N1102" t="s">
        <v>51</v>
      </c>
      <c r="O1102" t="s">
        <v>67</v>
      </c>
      <c r="P1102">
        <f>VLOOKUP(O1102, Coordinates!$A$2:$C$6, 2, FALSE)</f>
        <v>40.712800000000001</v>
      </c>
      <c r="Q1102">
        <f>VLOOKUP(O1102, Coordinates!$A$2:$C$6, 3, FALSE)</f>
        <v>-74.006</v>
      </c>
      <c r="R1102">
        <v>15</v>
      </c>
      <c r="S1102">
        <v>986</v>
      </c>
      <c r="T1102">
        <v>18</v>
      </c>
      <c r="U1102">
        <v>76.009154238669396</v>
      </c>
      <c r="V1102" t="s">
        <v>30</v>
      </c>
      <c r="W1102">
        <v>4.9375577031557301</v>
      </c>
      <c r="X1102" t="s">
        <v>52</v>
      </c>
      <c r="Y1102" t="s">
        <v>60</v>
      </c>
      <c r="Z1102">
        <v>535.82465634199696</v>
      </c>
    </row>
    <row r="1103" spans="1:26" x14ac:dyDescent="0.3">
      <c r="A1103" t="s">
        <v>24</v>
      </c>
      <c r="B1103" t="s">
        <v>1159</v>
      </c>
      <c r="C1103">
        <v>25.625266843978299</v>
      </c>
      <c r="D1103">
        <v>92</v>
      </c>
      <c r="E1103">
        <v>334</v>
      </c>
      <c r="F1103">
        <v>7702.9552132998797</v>
      </c>
      <c r="G1103" t="s">
        <v>54</v>
      </c>
      <c r="H1103">
        <v>92</v>
      </c>
      <c r="I1103">
        <v>16</v>
      </c>
      <c r="J1103">
        <v>44</v>
      </c>
      <c r="K1103">
        <v>4</v>
      </c>
      <c r="L1103" t="s">
        <v>44</v>
      </c>
      <c r="M1103">
        <v>9.1809336367483994</v>
      </c>
      <c r="N1103" t="s">
        <v>51</v>
      </c>
      <c r="O1103" t="s">
        <v>67</v>
      </c>
      <c r="P1103">
        <f>VLOOKUP(O1103, Coordinates!$A$2:$C$6, 2, FALSE)</f>
        <v>40.712800000000001</v>
      </c>
      <c r="Q1103">
        <f>VLOOKUP(O1103, Coordinates!$A$2:$C$6, 3, FALSE)</f>
        <v>-74.006</v>
      </c>
      <c r="R1103">
        <v>11</v>
      </c>
      <c r="S1103">
        <v>291</v>
      </c>
      <c r="T1103">
        <v>2</v>
      </c>
      <c r="U1103">
        <v>86.309680811190006</v>
      </c>
      <c r="V1103" t="s">
        <v>55</v>
      </c>
      <c r="W1103">
        <v>0.15651409680153899</v>
      </c>
      <c r="X1103" t="s">
        <v>52</v>
      </c>
      <c r="Y1103" t="s">
        <v>32</v>
      </c>
      <c r="Z1103">
        <v>455.046624089001</v>
      </c>
    </row>
    <row r="1104" spans="1:26" x14ac:dyDescent="0.3">
      <c r="A1104" t="s">
        <v>72</v>
      </c>
      <c r="B1104" t="s">
        <v>1160</v>
      </c>
      <c r="C1104">
        <v>25.3977352233203</v>
      </c>
      <c r="D1104">
        <v>18</v>
      </c>
      <c r="E1104">
        <v>413</v>
      </c>
      <c r="F1104">
        <v>9440.3381825081797</v>
      </c>
      <c r="G1104" t="s">
        <v>35</v>
      </c>
      <c r="H1104">
        <v>57</v>
      </c>
      <c r="I1104">
        <v>2</v>
      </c>
      <c r="J1104">
        <v>48</v>
      </c>
      <c r="K1104">
        <v>7</v>
      </c>
      <c r="L1104" t="s">
        <v>27</v>
      </c>
      <c r="M1104">
        <v>9.2644315109999997</v>
      </c>
      <c r="N1104" t="s">
        <v>57</v>
      </c>
      <c r="O1104" t="s">
        <v>58</v>
      </c>
      <c r="P1104">
        <f>VLOOKUP(O1104, Coordinates!$A$2:$C$6, 2, FALSE)</f>
        <v>34.052199999999999</v>
      </c>
      <c r="Q1104">
        <f>VLOOKUP(O1104, Coordinates!$A$2:$C$6, 3, FALSE)</f>
        <v>-118.2437</v>
      </c>
      <c r="R1104">
        <v>2</v>
      </c>
      <c r="S1104">
        <v>702</v>
      </c>
      <c r="T1104">
        <v>14</v>
      </c>
      <c r="U1104">
        <v>87.535696249533203</v>
      </c>
      <c r="V1104" t="s">
        <v>30</v>
      </c>
      <c r="W1104">
        <v>2.3193865838515899</v>
      </c>
      <c r="X1104" t="s">
        <v>40</v>
      </c>
      <c r="Y1104" t="s">
        <v>32</v>
      </c>
      <c r="Z1104">
        <v>384.34321552628398</v>
      </c>
    </row>
    <row r="1105" spans="1:26" x14ac:dyDescent="0.3">
      <c r="A1105" t="s">
        <v>49</v>
      </c>
      <c r="B1105" t="s">
        <v>1161</v>
      </c>
      <c r="C1105">
        <v>96.870004735473302</v>
      </c>
      <c r="D1105">
        <v>39</v>
      </c>
      <c r="E1105">
        <v>995</v>
      </c>
      <c r="F1105">
        <v>7186.5092141714304</v>
      </c>
      <c r="G1105" t="s">
        <v>48</v>
      </c>
      <c r="H1105">
        <v>35</v>
      </c>
      <c r="I1105">
        <v>13</v>
      </c>
      <c r="J1105">
        <v>87</v>
      </c>
      <c r="K1105">
        <v>5</v>
      </c>
      <c r="L1105" t="s">
        <v>44</v>
      </c>
      <c r="M1105">
        <v>5.1219234041591299</v>
      </c>
      <c r="N1105" t="s">
        <v>45</v>
      </c>
      <c r="O1105" t="s">
        <v>38</v>
      </c>
      <c r="P1105">
        <f>VLOOKUP(O1105, Coordinates!$A$2:$C$6, 2, FALSE)</f>
        <v>25.761700000000001</v>
      </c>
      <c r="Q1105">
        <f>VLOOKUP(O1105, Coordinates!$A$2:$C$6, 3, FALSE)</f>
        <v>-80.191800000000001</v>
      </c>
      <c r="R1105">
        <v>28</v>
      </c>
      <c r="S1105">
        <v>534</v>
      </c>
      <c r="T1105">
        <v>12</v>
      </c>
      <c r="U1105">
        <v>80.364953479999997</v>
      </c>
      <c r="V1105" t="s">
        <v>39</v>
      </c>
      <c r="W1105">
        <v>3.8504816774857802</v>
      </c>
      <c r="X1105" t="s">
        <v>31</v>
      </c>
      <c r="Y1105" t="s">
        <v>32</v>
      </c>
      <c r="Z1105">
        <v>846.51231129846599</v>
      </c>
    </row>
    <row r="1106" spans="1:26" x14ac:dyDescent="0.3">
      <c r="A1106" t="s">
        <v>24</v>
      </c>
      <c r="B1106" t="s">
        <v>1162</v>
      </c>
      <c r="C1106">
        <v>24.5917725761249</v>
      </c>
      <c r="D1106">
        <v>49</v>
      </c>
      <c r="E1106">
        <v>327</v>
      </c>
      <c r="F1106">
        <v>7237.3586691535602</v>
      </c>
      <c r="G1106" t="s">
        <v>26</v>
      </c>
      <c r="H1106">
        <v>1</v>
      </c>
      <c r="I1106">
        <v>18</v>
      </c>
      <c r="J1106">
        <v>64</v>
      </c>
      <c r="K1106">
        <v>4</v>
      </c>
      <c r="L1106" t="s">
        <v>27</v>
      </c>
      <c r="M1106">
        <v>1.9621679182728</v>
      </c>
      <c r="N1106" t="s">
        <v>37</v>
      </c>
      <c r="O1106" t="s">
        <v>38</v>
      </c>
      <c r="P1106">
        <f>VLOOKUP(O1106, Coordinates!$A$2:$C$6, 2, FALSE)</f>
        <v>25.761700000000001</v>
      </c>
      <c r="Q1106">
        <f>VLOOKUP(O1106, Coordinates!$A$2:$C$6, 3, FALSE)</f>
        <v>-80.191800000000001</v>
      </c>
      <c r="R1106">
        <v>23</v>
      </c>
      <c r="S1106">
        <v>860</v>
      </c>
      <c r="T1106">
        <v>20</v>
      </c>
      <c r="U1106">
        <v>76.652090000000001</v>
      </c>
      <c r="V1106" t="s">
        <v>30</v>
      </c>
      <c r="W1106">
        <v>4.8860289851404701</v>
      </c>
      <c r="X1106" t="s">
        <v>31</v>
      </c>
      <c r="Y1106" t="s">
        <v>60</v>
      </c>
      <c r="Z1106">
        <v>553.61685094611096</v>
      </c>
    </row>
    <row r="1107" spans="1:26" x14ac:dyDescent="0.3">
      <c r="A1107" t="s">
        <v>33</v>
      </c>
      <c r="B1107" t="s">
        <v>1163</v>
      </c>
      <c r="C1107">
        <v>86.151081102382406</v>
      </c>
      <c r="D1107">
        <v>93</v>
      </c>
      <c r="E1107">
        <v>984</v>
      </c>
      <c r="F1107">
        <v>8296.4860565065701</v>
      </c>
      <c r="G1107" t="s">
        <v>35</v>
      </c>
      <c r="H1107">
        <v>6</v>
      </c>
      <c r="I1107">
        <v>25</v>
      </c>
      <c r="J1107">
        <v>68</v>
      </c>
      <c r="K1107">
        <v>6</v>
      </c>
      <c r="L1107" t="s">
        <v>27</v>
      </c>
      <c r="M1107">
        <v>6.5888072443224601</v>
      </c>
      <c r="N1107" t="s">
        <v>51</v>
      </c>
      <c r="O1107" t="s">
        <v>67</v>
      </c>
      <c r="P1107">
        <f>VLOOKUP(O1107, Coordinates!$A$2:$C$6, 2, FALSE)</f>
        <v>40.712800000000001</v>
      </c>
      <c r="Q1107">
        <f>VLOOKUP(O1107, Coordinates!$A$2:$C$6, 3, FALSE)</f>
        <v>-74.006</v>
      </c>
      <c r="R1107">
        <v>17</v>
      </c>
      <c r="S1107">
        <v>863</v>
      </c>
      <c r="T1107">
        <v>24</v>
      </c>
      <c r="U1107">
        <v>17.957163014923601</v>
      </c>
      <c r="V1107" t="s">
        <v>30</v>
      </c>
      <c r="W1107">
        <v>1.6536325879881399</v>
      </c>
      <c r="X1107" t="s">
        <v>52</v>
      </c>
      <c r="Y1107" t="s">
        <v>32</v>
      </c>
      <c r="Z1107">
        <v>552.76188079513895</v>
      </c>
    </row>
    <row r="1108" spans="1:26" x14ac:dyDescent="0.3">
      <c r="A1108" t="s">
        <v>42</v>
      </c>
      <c r="B1108" t="s">
        <v>1164</v>
      </c>
      <c r="C1108">
        <v>78.443458961259196</v>
      </c>
      <c r="D1108">
        <v>82</v>
      </c>
      <c r="E1108">
        <v>774</v>
      </c>
      <c r="F1108">
        <v>1402.76290533614</v>
      </c>
      <c r="G1108" t="s">
        <v>54</v>
      </c>
      <c r="H1108">
        <v>48</v>
      </c>
      <c r="I1108">
        <v>13</v>
      </c>
      <c r="J1108">
        <v>14</v>
      </c>
      <c r="K1108">
        <v>7</v>
      </c>
      <c r="L1108" t="s">
        <v>36</v>
      </c>
      <c r="M1108">
        <v>3.6149959115914898</v>
      </c>
      <c r="N1108" t="s">
        <v>51</v>
      </c>
      <c r="O1108" t="s">
        <v>29</v>
      </c>
      <c r="P1108">
        <f>VLOOKUP(O1108, Coordinates!$A$2:$C$6, 2, FALSE)</f>
        <v>29.760400000000001</v>
      </c>
      <c r="Q1108">
        <f>VLOOKUP(O1108, Coordinates!$A$2:$C$6, 3, FALSE)</f>
        <v>-95.369799999999998</v>
      </c>
      <c r="R1108">
        <v>26</v>
      </c>
      <c r="S1108">
        <v>162</v>
      </c>
      <c r="T1108">
        <v>24</v>
      </c>
      <c r="U1108">
        <v>65.924685888568902</v>
      </c>
      <c r="V1108" t="s">
        <v>30</v>
      </c>
      <c r="W1108" s="1">
        <v>8.3681289673731495E-5</v>
      </c>
      <c r="X1108" t="s">
        <v>46</v>
      </c>
      <c r="Y1108" t="s">
        <v>32</v>
      </c>
      <c r="Z1108">
        <v>485.25033051609103</v>
      </c>
    </row>
    <row r="1109" spans="1:26" x14ac:dyDescent="0.3">
      <c r="A1109" t="s">
        <v>61</v>
      </c>
      <c r="B1109" t="s">
        <v>1165</v>
      </c>
      <c r="C1109">
        <v>34.449994031319903</v>
      </c>
      <c r="D1109">
        <v>44</v>
      </c>
      <c r="E1109">
        <v>93</v>
      </c>
      <c r="F1109">
        <v>3667.9665230145702</v>
      </c>
      <c r="G1109" t="s">
        <v>54</v>
      </c>
      <c r="H1109">
        <v>7</v>
      </c>
      <c r="I1109">
        <v>19</v>
      </c>
      <c r="J1109">
        <v>39</v>
      </c>
      <c r="K1109">
        <v>5</v>
      </c>
      <c r="L1109" t="s">
        <v>44</v>
      </c>
      <c r="M1109">
        <v>3.58262494373133</v>
      </c>
      <c r="N1109" t="s">
        <v>51</v>
      </c>
      <c r="O1109" t="s">
        <v>65</v>
      </c>
      <c r="P1109">
        <f>VLOOKUP(O1109, Coordinates!$A$2:$C$6, 2, FALSE)</f>
        <v>41.878100000000003</v>
      </c>
      <c r="Q1109">
        <f>VLOOKUP(O1109, Coordinates!$A$2:$C$6, 3, FALSE)</f>
        <v>-87.629800000000003</v>
      </c>
      <c r="R1109">
        <v>28</v>
      </c>
      <c r="S1109">
        <v>315</v>
      </c>
      <c r="T1109">
        <v>24</v>
      </c>
      <c r="U1109">
        <v>88.672195629531501</v>
      </c>
      <c r="V1109" t="s">
        <v>55</v>
      </c>
      <c r="W1109">
        <v>2.93367292476167</v>
      </c>
      <c r="X1109" t="s">
        <v>46</v>
      </c>
      <c r="Y1109" t="s">
        <v>60</v>
      </c>
      <c r="Z1109">
        <v>712.81253358602396</v>
      </c>
    </row>
    <row r="1110" spans="1:26" x14ac:dyDescent="0.3">
      <c r="A1110" t="s">
        <v>61</v>
      </c>
      <c r="B1110" t="s">
        <v>1166</v>
      </c>
      <c r="C1110">
        <v>27.043783745605001</v>
      </c>
      <c r="D1110">
        <v>72</v>
      </c>
      <c r="E1110">
        <v>437</v>
      </c>
      <c r="F1110">
        <v>3521.20706897841</v>
      </c>
      <c r="G1110" t="s">
        <v>35</v>
      </c>
      <c r="H1110">
        <v>57</v>
      </c>
      <c r="I1110">
        <v>13</v>
      </c>
      <c r="J1110">
        <v>13</v>
      </c>
      <c r="K1110">
        <v>7</v>
      </c>
      <c r="L1110" t="s">
        <v>44</v>
      </c>
      <c r="M1110">
        <v>8.3162441944023708</v>
      </c>
      <c r="N1110" t="s">
        <v>28</v>
      </c>
      <c r="O1110" t="s">
        <v>38</v>
      </c>
      <c r="P1110">
        <f>VLOOKUP(O1110, Coordinates!$A$2:$C$6, 2, FALSE)</f>
        <v>25.761700000000001</v>
      </c>
      <c r="Q1110">
        <f>VLOOKUP(O1110, Coordinates!$A$2:$C$6, 3, FALSE)</f>
        <v>-80.191800000000001</v>
      </c>
      <c r="R1110">
        <v>23</v>
      </c>
      <c r="S1110">
        <v>233</v>
      </c>
      <c r="T1110">
        <v>8</v>
      </c>
      <c r="U1110">
        <v>72.762786585996906</v>
      </c>
      <c r="V1110" t="s">
        <v>30</v>
      </c>
      <c r="W1110">
        <v>4.3346942539644502</v>
      </c>
      <c r="X1110" t="s">
        <v>31</v>
      </c>
      <c r="Y1110" t="s">
        <v>60</v>
      </c>
      <c r="Z1110">
        <v>258.08471722453203</v>
      </c>
    </row>
    <row r="1111" spans="1:26" x14ac:dyDescent="0.3">
      <c r="A1111" t="s">
        <v>72</v>
      </c>
      <c r="B1111" t="s">
        <v>1167</v>
      </c>
      <c r="C1111">
        <v>39.051479800166597</v>
      </c>
      <c r="D1111">
        <v>54</v>
      </c>
      <c r="E1111">
        <v>714</v>
      </c>
      <c r="F1111">
        <v>25094.480919587</v>
      </c>
      <c r="G1111" t="s">
        <v>48</v>
      </c>
      <c r="H1111">
        <v>14</v>
      </c>
      <c r="I1111">
        <v>19</v>
      </c>
      <c r="J1111">
        <v>24</v>
      </c>
      <c r="K1111">
        <v>3</v>
      </c>
      <c r="L1111" t="s">
        <v>44</v>
      </c>
      <c r="M1111">
        <v>-10</v>
      </c>
      <c r="N1111" t="s">
        <v>45</v>
      </c>
      <c r="O1111" t="s">
        <v>38</v>
      </c>
      <c r="P1111">
        <f>VLOOKUP(O1111, Coordinates!$A$2:$C$6, 2, FALSE)</f>
        <v>25.761700000000001</v>
      </c>
      <c r="Q1111">
        <f>VLOOKUP(O1111, Coordinates!$A$2:$C$6, 3, FALSE)</f>
        <v>-80.191800000000001</v>
      </c>
      <c r="R1111">
        <v>30</v>
      </c>
      <c r="S1111">
        <v>718</v>
      </c>
      <c r="T1111">
        <v>23</v>
      </c>
      <c r="U1111">
        <v>79.878043382522407</v>
      </c>
      <c r="V1111" t="s">
        <v>39</v>
      </c>
      <c r="W1111">
        <v>4.6323448037241102</v>
      </c>
      <c r="X1111" t="s">
        <v>40</v>
      </c>
      <c r="Y1111" t="s">
        <v>60</v>
      </c>
      <c r="Z1111">
        <v>949.229262624277</v>
      </c>
    </row>
    <row r="1112" spans="1:26" x14ac:dyDescent="0.3">
      <c r="A1112" t="s">
        <v>49</v>
      </c>
      <c r="B1112" t="s">
        <v>1168</v>
      </c>
      <c r="C1112">
        <v>79.228139858368493</v>
      </c>
      <c r="D1112">
        <v>95</v>
      </c>
      <c r="E1112">
        <v>798</v>
      </c>
      <c r="F1112">
        <v>3602.6042847079798</v>
      </c>
      <c r="G1112" t="s">
        <v>26</v>
      </c>
      <c r="H1112">
        <v>16</v>
      </c>
      <c r="I1112">
        <v>4</v>
      </c>
      <c r="J1112">
        <v>44</v>
      </c>
      <c r="K1112">
        <v>7</v>
      </c>
      <c r="L1112" t="s">
        <v>36</v>
      </c>
      <c r="M1112">
        <v>2.0558107317313898</v>
      </c>
      <c r="N1112" t="s">
        <v>51</v>
      </c>
      <c r="O1112" t="s">
        <v>38</v>
      </c>
      <c r="P1112">
        <f>VLOOKUP(O1112, Coordinates!$A$2:$C$6, 2, FALSE)</f>
        <v>25.761700000000001</v>
      </c>
      <c r="Q1112">
        <f>VLOOKUP(O1112, Coordinates!$A$2:$C$6, 3, FALSE)</f>
        <v>-80.191800000000001</v>
      </c>
      <c r="R1112">
        <v>21</v>
      </c>
      <c r="S1112">
        <v>260</v>
      </c>
      <c r="T1112">
        <v>22</v>
      </c>
      <c r="U1112">
        <v>38.0676956444998</v>
      </c>
      <c r="V1112" t="s">
        <v>55</v>
      </c>
      <c r="W1112">
        <v>4.6713498241688498</v>
      </c>
      <c r="X1112" t="s">
        <v>40</v>
      </c>
      <c r="Y1112" t="s">
        <v>60</v>
      </c>
      <c r="Z1112">
        <v>194.15140144644599</v>
      </c>
    </row>
    <row r="1113" spans="1:26" x14ac:dyDescent="0.3">
      <c r="A1113" t="s">
        <v>49</v>
      </c>
      <c r="B1113" t="s">
        <v>1169</v>
      </c>
      <c r="C1113">
        <v>96.215939549230797</v>
      </c>
      <c r="D1113">
        <v>34</v>
      </c>
      <c r="E1113">
        <v>716</v>
      </c>
      <c r="F1113">
        <v>3787.8878272861298</v>
      </c>
      <c r="G1113" t="s">
        <v>26</v>
      </c>
      <c r="H1113">
        <v>22</v>
      </c>
      <c r="I1113">
        <v>19</v>
      </c>
      <c r="J1113">
        <v>83</v>
      </c>
      <c r="K1113">
        <v>3</v>
      </c>
      <c r="L1113" t="s">
        <v>36</v>
      </c>
      <c r="M1113">
        <v>9.09649958099501</v>
      </c>
      <c r="N1113" t="s">
        <v>45</v>
      </c>
      <c r="O1113" t="s">
        <v>38</v>
      </c>
      <c r="P1113">
        <f>VLOOKUP(O1113, Coordinates!$A$2:$C$6, 2, FALSE)</f>
        <v>25.761700000000001</v>
      </c>
      <c r="Q1113">
        <f>VLOOKUP(O1113, Coordinates!$A$2:$C$6, 3, FALSE)</f>
        <v>-80.191800000000001</v>
      </c>
      <c r="R1113">
        <v>27</v>
      </c>
      <c r="S1113">
        <v>357</v>
      </c>
      <c r="T1113">
        <v>28</v>
      </c>
      <c r="U1113">
        <v>89.838707459999995</v>
      </c>
      <c r="V1113" t="s">
        <v>39</v>
      </c>
      <c r="W1113">
        <v>4.2859426032723196</v>
      </c>
      <c r="X1113" t="s">
        <v>31</v>
      </c>
      <c r="Y1113" t="s">
        <v>32</v>
      </c>
      <c r="Z1113">
        <v>739.26979672150196</v>
      </c>
    </row>
    <row r="1114" spans="1:26" x14ac:dyDescent="0.3">
      <c r="A1114" t="s">
        <v>24</v>
      </c>
      <c r="B1114" t="s">
        <v>1170</v>
      </c>
      <c r="C1114">
        <v>25.269227273411701</v>
      </c>
      <c r="D1114">
        <v>71</v>
      </c>
      <c r="E1114">
        <v>103</v>
      </c>
      <c r="F1114">
        <v>2342.4573682452701</v>
      </c>
      <c r="G1114" t="s">
        <v>26</v>
      </c>
      <c r="H1114">
        <v>65</v>
      </c>
      <c r="I1114">
        <v>18</v>
      </c>
      <c r="J1114">
        <v>64</v>
      </c>
      <c r="K1114">
        <v>6</v>
      </c>
      <c r="L1114" t="s">
        <v>44</v>
      </c>
      <c r="M1114">
        <v>4.446823008</v>
      </c>
      <c r="N1114" t="s">
        <v>57</v>
      </c>
      <c r="O1114" t="s">
        <v>67</v>
      </c>
      <c r="P1114">
        <f>VLOOKUP(O1114, Coordinates!$A$2:$C$6, 2, FALSE)</f>
        <v>40.712800000000001</v>
      </c>
      <c r="Q1114">
        <f>VLOOKUP(O1114, Coordinates!$A$2:$C$6, 3, FALSE)</f>
        <v>-74.006</v>
      </c>
      <c r="R1114">
        <v>5</v>
      </c>
      <c r="S1114">
        <v>524</v>
      </c>
      <c r="T1114">
        <v>7</v>
      </c>
      <c r="U1114">
        <v>83.663735119230694</v>
      </c>
      <c r="V1114" t="s">
        <v>39</v>
      </c>
      <c r="W1114">
        <v>3.05100659986284</v>
      </c>
      <c r="X1114" t="s">
        <v>46</v>
      </c>
      <c r="Y1114" t="s">
        <v>60</v>
      </c>
      <c r="Z1114">
        <v>733.87240231139504</v>
      </c>
    </row>
    <row r="1115" spans="1:26" x14ac:dyDescent="0.3">
      <c r="A1115" t="s">
        <v>82</v>
      </c>
      <c r="B1115" t="s">
        <v>1171</v>
      </c>
      <c r="C1115">
        <v>86.244663576745097</v>
      </c>
      <c r="D1115">
        <v>36</v>
      </c>
      <c r="E1115">
        <v>543</v>
      </c>
      <c r="F1115">
        <v>6973.3403103362998</v>
      </c>
      <c r="G1115" t="s">
        <v>26</v>
      </c>
      <c r="H1115">
        <v>69</v>
      </c>
      <c r="I1115">
        <v>25</v>
      </c>
      <c r="J1115">
        <v>75</v>
      </c>
      <c r="K1115">
        <v>8</v>
      </c>
      <c r="L1115" t="s">
        <v>44</v>
      </c>
      <c r="M1115">
        <v>10.426172854275499</v>
      </c>
      <c r="N1115" t="s">
        <v>57</v>
      </c>
      <c r="O1115" t="s">
        <v>67</v>
      </c>
      <c r="P1115">
        <f>VLOOKUP(O1115, Coordinates!$A$2:$C$6, 2, FALSE)</f>
        <v>40.712800000000001</v>
      </c>
      <c r="Q1115">
        <f>VLOOKUP(O1115, Coordinates!$A$2:$C$6, 3, FALSE)</f>
        <v>-74.006</v>
      </c>
      <c r="R1115">
        <v>27</v>
      </c>
      <c r="S1115">
        <v>627</v>
      </c>
      <c r="T1115">
        <v>13</v>
      </c>
      <c r="U1115">
        <v>86.985422220000004</v>
      </c>
      <c r="V1115" t="s">
        <v>30</v>
      </c>
      <c r="W1115">
        <v>3.61023036590817</v>
      </c>
      <c r="X1115" t="s">
        <v>40</v>
      </c>
      <c r="Y1115" t="s">
        <v>60</v>
      </c>
      <c r="Z1115">
        <v>202.54399338070601</v>
      </c>
    </row>
    <row r="1116" spans="1:26" x14ac:dyDescent="0.3">
      <c r="A1116" t="s">
        <v>24</v>
      </c>
      <c r="B1116" t="s">
        <v>1172</v>
      </c>
      <c r="C1116">
        <v>29.699293792027198</v>
      </c>
      <c r="D1116">
        <v>18</v>
      </c>
      <c r="E1116">
        <v>605</v>
      </c>
      <c r="F1116">
        <v>16171.2654697588</v>
      </c>
      <c r="G1116" t="s">
        <v>48</v>
      </c>
      <c r="H1116">
        <v>92</v>
      </c>
      <c r="I1116">
        <v>6</v>
      </c>
      <c r="J1116">
        <v>69</v>
      </c>
      <c r="K1116">
        <v>6</v>
      </c>
      <c r="L1116" t="s">
        <v>27</v>
      </c>
      <c r="M1116">
        <v>12.343021706833101</v>
      </c>
      <c r="N1116" t="s">
        <v>28</v>
      </c>
      <c r="O1116" t="s">
        <v>38</v>
      </c>
      <c r="P1116">
        <f>VLOOKUP(O1116, Coordinates!$A$2:$C$6, 2, FALSE)</f>
        <v>25.761700000000001</v>
      </c>
      <c r="Q1116">
        <f>VLOOKUP(O1116, Coordinates!$A$2:$C$6, 3, FALSE)</f>
        <v>-80.191800000000001</v>
      </c>
      <c r="R1116">
        <v>20</v>
      </c>
      <c r="S1116">
        <v>457</v>
      </c>
      <c r="T1116">
        <v>15</v>
      </c>
      <c r="U1116">
        <v>90.624821240000003</v>
      </c>
      <c r="V1116" t="s">
        <v>30</v>
      </c>
      <c r="W1116">
        <v>1.7270788224767999</v>
      </c>
      <c r="X1116" t="s">
        <v>31</v>
      </c>
      <c r="Y1116" t="s">
        <v>32</v>
      </c>
      <c r="Z1116">
        <v>993.73847752746599</v>
      </c>
    </row>
    <row r="1117" spans="1:26" x14ac:dyDescent="0.3">
      <c r="A1117" t="s">
        <v>42</v>
      </c>
      <c r="B1117" t="s">
        <v>1173</v>
      </c>
      <c r="C1117">
        <v>84.363743930001903</v>
      </c>
      <c r="D1117">
        <v>38</v>
      </c>
      <c r="E1117">
        <v>150</v>
      </c>
      <c r="F1117">
        <v>7475.2320818204298</v>
      </c>
      <c r="G1117" t="s">
        <v>54</v>
      </c>
      <c r="H1117">
        <v>26</v>
      </c>
      <c r="I1117">
        <v>19</v>
      </c>
      <c r="J1117">
        <v>33</v>
      </c>
      <c r="K1117">
        <v>10</v>
      </c>
      <c r="L1117" t="s">
        <v>27</v>
      </c>
      <c r="M1117">
        <v>12.2981908993223</v>
      </c>
      <c r="N1117" t="s">
        <v>45</v>
      </c>
      <c r="O1117" t="s">
        <v>38</v>
      </c>
      <c r="P1117">
        <f>VLOOKUP(O1117, Coordinates!$A$2:$C$6, 2, FALSE)</f>
        <v>25.761700000000001</v>
      </c>
      <c r="Q1117">
        <f>VLOOKUP(O1117, Coordinates!$A$2:$C$6, 3, FALSE)</f>
        <v>-80.191800000000001</v>
      </c>
      <c r="R1117">
        <v>27</v>
      </c>
      <c r="S1117">
        <v>474</v>
      </c>
      <c r="T1117">
        <v>14</v>
      </c>
      <c r="U1117">
        <v>83.460426875277307</v>
      </c>
      <c r="V1117" t="s">
        <v>39</v>
      </c>
      <c r="W1117">
        <v>4.4750083479837404</v>
      </c>
      <c r="X1117" t="s">
        <v>31</v>
      </c>
      <c r="Y1117" t="s">
        <v>41</v>
      </c>
      <c r="Z1117">
        <v>130.882490232712</v>
      </c>
    </row>
    <row r="1118" spans="1:26" x14ac:dyDescent="0.3">
      <c r="A1118" t="s">
        <v>33</v>
      </c>
      <c r="B1118" t="s">
        <v>1174</v>
      </c>
      <c r="C1118">
        <v>79.519981510324598</v>
      </c>
      <c r="D1118">
        <v>59</v>
      </c>
      <c r="E1118">
        <v>840</v>
      </c>
      <c r="F1118">
        <v>4025.4880469999998</v>
      </c>
      <c r="G1118" t="s">
        <v>54</v>
      </c>
      <c r="H1118">
        <v>0</v>
      </c>
      <c r="I1118">
        <v>29</v>
      </c>
      <c r="J1118">
        <v>31</v>
      </c>
      <c r="K1118">
        <v>3</v>
      </c>
      <c r="L1118" t="s">
        <v>36</v>
      </c>
      <c r="M1118">
        <v>6.1780590149999997</v>
      </c>
      <c r="N1118" t="s">
        <v>37</v>
      </c>
      <c r="O1118" t="s">
        <v>67</v>
      </c>
      <c r="P1118">
        <f>VLOOKUP(O1118, Coordinates!$A$2:$C$6, 2, FALSE)</f>
        <v>40.712800000000001</v>
      </c>
      <c r="Q1118">
        <f>VLOOKUP(O1118, Coordinates!$A$2:$C$6, 3, FALSE)</f>
        <v>-74.006</v>
      </c>
      <c r="R1118">
        <v>28</v>
      </c>
      <c r="S1118">
        <v>670</v>
      </c>
      <c r="T1118">
        <v>5</v>
      </c>
      <c r="U1118">
        <v>99.081776814548107</v>
      </c>
      <c r="V1118" t="s">
        <v>30</v>
      </c>
      <c r="W1118">
        <v>2.3499741479999998</v>
      </c>
      <c r="X1118" t="s">
        <v>46</v>
      </c>
      <c r="Y1118" t="s">
        <v>32</v>
      </c>
      <c r="Z1118">
        <v>428.22096920000001</v>
      </c>
    </row>
    <row r="1119" spans="1:26" x14ac:dyDescent="0.3">
      <c r="A1119" t="s">
        <v>61</v>
      </c>
      <c r="B1119" t="s">
        <v>1175</v>
      </c>
      <c r="C1119">
        <v>40.813626482996597</v>
      </c>
      <c r="D1119">
        <v>9</v>
      </c>
      <c r="E1119">
        <v>261</v>
      </c>
      <c r="F1119">
        <v>3612.55309583284</v>
      </c>
      <c r="G1119" t="s">
        <v>26</v>
      </c>
      <c r="H1119">
        <v>48</v>
      </c>
      <c r="I1119">
        <v>4</v>
      </c>
      <c r="J1119">
        <v>53</v>
      </c>
      <c r="K1119">
        <v>5</v>
      </c>
      <c r="L1119" t="s">
        <v>27</v>
      </c>
      <c r="M1119">
        <v>8.9417754340000002</v>
      </c>
      <c r="N1119" t="s">
        <v>28</v>
      </c>
      <c r="O1119" t="s">
        <v>29</v>
      </c>
      <c r="P1119">
        <f>VLOOKUP(O1119, Coordinates!$A$2:$C$6, 2, FALSE)</f>
        <v>29.760400000000001</v>
      </c>
      <c r="Q1119">
        <f>VLOOKUP(O1119, Coordinates!$A$2:$C$6, 3, FALSE)</f>
        <v>-95.369799999999998</v>
      </c>
      <c r="R1119">
        <v>30</v>
      </c>
      <c r="S1119">
        <v>108</v>
      </c>
      <c r="T1119">
        <v>8</v>
      </c>
      <c r="U1119">
        <v>77.388266428566794</v>
      </c>
      <c r="V1119" t="s">
        <v>30</v>
      </c>
      <c r="W1119">
        <v>4.1761171405228703</v>
      </c>
      <c r="X1119" t="s">
        <v>52</v>
      </c>
      <c r="Y1119" t="s">
        <v>32</v>
      </c>
      <c r="Z1119">
        <v>482.293225932067</v>
      </c>
    </row>
    <row r="1120" spans="1:26" x14ac:dyDescent="0.3">
      <c r="A1120" t="s">
        <v>24</v>
      </c>
      <c r="B1120" t="s">
        <v>1176</v>
      </c>
      <c r="C1120">
        <v>34.703479412876398</v>
      </c>
      <c r="D1120">
        <v>73</v>
      </c>
      <c r="E1120">
        <v>193</v>
      </c>
      <c r="F1120">
        <v>6027.99437401663</v>
      </c>
      <c r="G1120" t="s">
        <v>26</v>
      </c>
      <c r="H1120">
        <v>63</v>
      </c>
      <c r="I1120">
        <v>4</v>
      </c>
      <c r="J1120">
        <v>41</v>
      </c>
      <c r="K1120">
        <v>9</v>
      </c>
      <c r="L1120" t="s">
        <v>44</v>
      </c>
      <c r="M1120">
        <v>12.1117325737233</v>
      </c>
      <c r="N1120" t="s">
        <v>51</v>
      </c>
      <c r="O1120" t="s">
        <v>58</v>
      </c>
      <c r="P1120">
        <f>VLOOKUP(O1120, Coordinates!$A$2:$C$6, 2, FALSE)</f>
        <v>34.052199999999999</v>
      </c>
      <c r="Q1120">
        <f>VLOOKUP(O1120, Coordinates!$A$2:$C$6, 3, FALSE)</f>
        <v>-118.2437</v>
      </c>
      <c r="R1120">
        <v>1</v>
      </c>
      <c r="S1120">
        <v>296</v>
      </c>
      <c r="T1120">
        <v>18</v>
      </c>
      <c r="U1120">
        <v>75.433139743879707</v>
      </c>
      <c r="V1120" t="s">
        <v>30</v>
      </c>
      <c r="W1120">
        <v>0.50425383781114197</v>
      </c>
      <c r="X1120" t="s">
        <v>46</v>
      </c>
      <c r="Y1120" t="s">
        <v>32</v>
      </c>
      <c r="Z1120">
        <v>822.52555593352599</v>
      </c>
    </row>
    <row r="1121" spans="1:26" x14ac:dyDescent="0.3">
      <c r="A1121" t="s">
        <v>82</v>
      </c>
      <c r="B1121" t="s">
        <v>1177</v>
      </c>
      <c r="C1121">
        <v>81.451546590000007</v>
      </c>
      <c r="D1121">
        <v>72</v>
      </c>
      <c r="E1121">
        <v>244</v>
      </c>
      <c r="F1121">
        <v>1213.44724275211</v>
      </c>
      <c r="G1121" t="s">
        <v>26</v>
      </c>
      <c r="H1121">
        <v>33</v>
      </c>
      <c r="I1121">
        <v>24</v>
      </c>
      <c r="J1121">
        <v>92</v>
      </c>
      <c r="K1121">
        <v>8</v>
      </c>
      <c r="L1121" t="s">
        <v>44</v>
      </c>
      <c r="M1121">
        <v>1.85134366072668</v>
      </c>
      <c r="N1121" t="s">
        <v>57</v>
      </c>
      <c r="O1121" t="s">
        <v>65</v>
      </c>
      <c r="P1121">
        <f>VLOOKUP(O1121, Coordinates!$A$2:$C$6, 2, FALSE)</f>
        <v>41.878100000000003</v>
      </c>
      <c r="Q1121">
        <f>VLOOKUP(O1121, Coordinates!$A$2:$C$6, 3, FALSE)</f>
        <v>-87.629800000000003</v>
      </c>
      <c r="R1121">
        <v>7</v>
      </c>
      <c r="S1121">
        <v>216</v>
      </c>
      <c r="T1121">
        <v>5</v>
      </c>
      <c r="U1121">
        <v>28.489054148267002</v>
      </c>
      <c r="V1121" t="s">
        <v>30</v>
      </c>
      <c r="W1121">
        <v>3.1573969269939499</v>
      </c>
      <c r="X1121" t="s">
        <v>40</v>
      </c>
      <c r="Y1121" t="s">
        <v>32</v>
      </c>
      <c r="Z1121">
        <v>126.835643</v>
      </c>
    </row>
    <row r="1122" spans="1:26" x14ac:dyDescent="0.3">
      <c r="A1122" t="s">
        <v>82</v>
      </c>
      <c r="B1122" t="s">
        <v>1178</v>
      </c>
      <c r="C1122">
        <v>9.3753897480458495</v>
      </c>
      <c r="D1122">
        <v>51</v>
      </c>
      <c r="E1122">
        <v>875</v>
      </c>
      <c r="F1122">
        <v>1718.1021127060001</v>
      </c>
      <c r="G1122" t="s">
        <v>35</v>
      </c>
      <c r="H1122">
        <v>17</v>
      </c>
      <c r="I1122">
        <v>7</v>
      </c>
      <c r="J1122">
        <v>60</v>
      </c>
      <c r="K1122">
        <v>6</v>
      </c>
      <c r="L1122" t="s">
        <v>27</v>
      </c>
      <c r="M1122">
        <v>9.478740706</v>
      </c>
      <c r="N1122" t="s">
        <v>57</v>
      </c>
      <c r="O1122" t="s">
        <v>38</v>
      </c>
      <c r="P1122">
        <f>VLOOKUP(O1122, Coordinates!$A$2:$C$6, 2, FALSE)</f>
        <v>25.761700000000001</v>
      </c>
      <c r="Q1122">
        <f>VLOOKUP(O1122, Coordinates!$A$2:$C$6, 3, FALSE)</f>
        <v>-80.191800000000001</v>
      </c>
      <c r="R1122">
        <v>29</v>
      </c>
      <c r="S1122">
        <v>109</v>
      </c>
      <c r="T1122">
        <v>23</v>
      </c>
      <c r="U1122">
        <v>13.1675635292648</v>
      </c>
      <c r="V1122" t="s">
        <v>39</v>
      </c>
      <c r="W1122">
        <v>3.3867396470000002</v>
      </c>
      <c r="X1122" t="s">
        <v>52</v>
      </c>
      <c r="Y1122" t="s">
        <v>32</v>
      </c>
      <c r="Z1122">
        <v>601.31814277298895</v>
      </c>
    </row>
    <row r="1123" spans="1:26" x14ac:dyDescent="0.3">
      <c r="A1123" t="s">
        <v>24</v>
      </c>
      <c r="B1123" t="s">
        <v>1179</v>
      </c>
      <c r="C1123">
        <v>26.382671270706101</v>
      </c>
      <c r="D1123">
        <v>35</v>
      </c>
      <c r="E1123">
        <v>903</v>
      </c>
      <c r="F1123">
        <v>21441.196941702801</v>
      </c>
      <c r="G1123" t="s">
        <v>35</v>
      </c>
      <c r="H1123">
        <v>63</v>
      </c>
      <c r="I1123">
        <v>7</v>
      </c>
      <c r="J1123">
        <v>94</v>
      </c>
      <c r="K1123">
        <v>9</v>
      </c>
      <c r="L1123" t="s">
        <v>27</v>
      </c>
      <c r="M1123">
        <v>12.711307773542201</v>
      </c>
      <c r="N1123" t="s">
        <v>37</v>
      </c>
      <c r="O1123" t="s">
        <v>58</v>
      </c>
      <c r="P1123">
        <f>VLOOKUP(O1123, Coordinates!$A$2:$C$6, 2, FALSE)</f>
        <v>34.052199999999999</v>
      </c>
      <c r="Q1123">
        <f>VLOOKUP(O1123, Coordinates!$A$2:$C$6, 3, FALSE)</f>
        <v>-118.2437</v>
      </c>
      <c r="R1123">
        <v>3</v>
      </c>
      <c r="S1123">
        <v>961</v>
      </c>
      <c r="T1123">
        <v>9</v>
      </c>
      <c r="U1123">
        <v>81.6269900419002</v>
      </c>
      <c r="V1123" t="s">
        <v>30</v>
      </c>
      <c r="W1123">
        <v>2.7893637999456802</v>
      </c>
      <c r="X1123" t="s">
        <v>46</v>
      </c>
      <c r="Y1123" t="s">
        <v>32</v>
      </c>
      <c r="Z1123">
        <v>283.600916232293</v>
      </c>
    </row>
    <row r="1124" spans="1:26" x14ac:dyDescent="0.3">
      <c r="A1124" t="s">
        <v>72</v>
      </c>
      <c r="B1124" t="s">
        <v>1180</v>
      </c>
      <c r="C1124">
        <v>20.234014738563602</v>
      </c>
      <c r="D1124">
        <v>82</v>
      </c>
      <c r="E1124">
        <v>507</v>
      </c>
      <c r="F1124">
        <v>9232.7809252066108</v>
      </c>
      <c r="G1124" t="s">
        <v>54</v>
      </c>
      <c r="H1124">
        <v>73</v>
      </c>
      <c r="I1124">
        <v>26</v>
      </c>
      <c r="J1124">
        <v>12</v>
      </c>
      <c r="K1124">
        <v>2</v>
      </c>
      <c r="L1124" t="s">
        <v>36</v>
      </c>
      <c r="M1124">
        <v>6.2129979710000001</v>
      </c>
      <c r="N1124" t="s">
        <v>28</v>
      </c>
      <c r="O1124" t="s">
        <v>65</v>
      </c>
      <c r="P1124">
        <f>VLOOKUP(O1124, Coordinates!$A$2:$C$6, 2, FALSE)</f>
        <v>41.878100000000003</v>
      </c>
      <c r="Q1124">
        <f>VLOOKUP(O1124, Coordinates!$A$2:$C$6, 3, FALSE)</f>
        <v>-87.629800000000003</v>
      </c>
      <c r="R1124">
        <v>26</v>
      </c>
      <c r="S1124">
        <v>618</v>
      </c>
      <c r="T1124">
        <v>10</v>
      </c>
      <c r="U1124">
        <v>75.097851823929403</v>
      </c>
      <c r="V1124" t="s">
        <v>39</v>
      </c>
      <c r="W1124">
        <v>4.6791919368781096</v>
      </c>
      <c r="X1124" t="s">
        <v>40</v>
      </c>
      <c r="Y1124" t="s">
        <v>32</v>
      </c>
      <c r="Z1124">
        <v>615.32988425672897</v>
      </c>
    </row>
    <row r="1125" spans="1:26" x14ac:dyDescent="0.3">
      <c r="A1125" t="s">
        <v>61</v>
      </c>
      <c r="B1125" t="s">
        <v>1181</v>
      </c>
      <c r="C1125">
        <v>53.89494363</v>
      </c>
      <c r="D1125">
        <v>5</v>
      </c>
      <c r="E1125">
        <v>712</v>
      </c>
      <c r="F1125">
        <v>7493.60601859081</v>
      </c>
      <c r="G1125" t="s">
        <v>54</v>
      </c>
      <c r="H1125">
        <v>43</v>
      </c>
      <c r="I1125">
        <v>23</v>
      </c>
      <c r="J1125">
        <v>79</v>
      </c>
      <c r="K1125">
        <v>9</v>
      </c>
      <c r="L1125" t="s">
        <v>27</v>
      </c>
      <c r="M1125">
        <v>7.3757135957380102</v>
      </c>
      <c r="N1125" t="s">
        <v>45</v>
      </c>
      <c r="O1125" t="s">
        <v>38</v>
      </c>
      <c r="P1125">
        <f>VLOOKUP(O1125, Coordinates!$A$2:$C$6, 2, FALSE)</f>
        <v>25.761700000000001</v>
      </c>
      <c r="Q1125">
        <f>VLOOKUP(O1125, Coordinates!$A$2:$C$6, 3, FALSE)</f>
        <v>-80.191800000000001</v>
      </c>
      <c r="R1125">
        <v>30</v>
      </c>
      <c r="S1125">
        <v>448</v>
      </c>
      <c r="T1125">
        <v>17</v>
      </c>
      <c r="U1125">
        <v>55.145533706762699</v>
      </c>
      <c r="V1125" t="s">
        <v>39</v>
      </c>
      <c r="W1125">
        <v>4.0349334487869699</v>
      </c>
      <c r="X1125" t="s">
        <v>40</v>
      </c>
      <c r="Y1125" t="s">
        <v>41</v>
      </c>
      <c r="Z1125">
        <v>681.71220126724404</v>
      </c>
    </row>
    <row r="1126" spans="1:26" x14ac:dyDescent="0.3">
      <c r="A1126" t="s">
        <v>72</v>
      </c>
      <c r="B1126" t="s">
        <v>1182</v>
      </c>
      <c r="C1126">
        <v>35.233811689484398</v>
      </c>
      <c r="D1126">
        <v>14</v>
      </c>
      <c r="E1126">
        <v>813</v>
      </c>
      <c r="F1126">
        <v>25780.5800131957</v>
      </c>
      <c r="G1126" t="s">
        <v>26</v>
      </c>
      <c r="H1126">
        <v>16</v>
      </c>
      <c r="I1126">
        <v>26</v>
      </c>
      <c r="J1126">
        <v>41</v>
      </c>
      <c r="K1126">
        <v>10</v>
      </c>
      <c r="L1126" t="s">
        <v>36</v>
      </c>
      <c r="M1126">
        <v>10.7821929598308</v>
      </c>
      <c r="N1126" t="s">
        <v>57</v>
      </c>
      <c r="O1126" t="s">
        <v>38</v>
      </c>
      <c r="P1126">
        <f>VLOOKUP(O1126, Coordinates!$A$2:$C$6, 2, FALSE)</f>
        <v>25.761700000000001</v>
      </c>
      <c r="Q1126">
        <f>VLOOKUP(O1126, Coordinates!$A$2:$C$6, 3, FALSE)</f>
        <v>-80.191800000000001</v>
      </c>
      <c r="R1126">
        <v>16</v>
      </c>
      <c r="S1126">
        <v>805</v>
      </c>
      <c r="T1126">
        <v>27</v>
      </c>
      <c r="U1126">
        <v>85.425647789999999</v>
      </c>
      <c r="V1126" t="s">
        <v>30</v>
      </c>
      <c r="W1126">
        <v>3.1728837553851799</v>
      </c>
      <c r="X1126" t="s">
        <v>52</v>
      </c>
      <c r="Y1126" t="s">
        <v>32</v>
      </c>
      <c r="Z1126">
        <v>130.72700510241199</v>
      </c>
    </row>
    <row r="1127" spans="1:26" x14ac:dyDescent="0.3">
      <c r="A1127" t="s">
        <v>33</v>
      </c>
      <c r="B1127" t="s">
        <v>1183</v>
      </c>
      <c r="C1127">
        <v>29.113002424886002</v>
      </c>
      <c r="D1127">
        <v>92</v>
      </c>
      <c r="E1127">
        <v>681</v>
      </c>
      <c r="F1127">
        <v>8616.8621150278595</v>
      </c>
      <c r="G1127" t="s">
        <v>35</v>
      </c>
      <c r="H1127">
        <v>58</v>
      </c>
      <c r="I1127">
        <v>16</v>
      </c>
      <c r="J1127">
        <v>11</v>
      </c>
      <c r="K1127">
        <v>10</v>
      </c>
      <c r="L1127" t="s">
        <v>27</v>
      </c>
      <c r="M1127">
        <v>1.95038596611978</v>
      </c>
      <c r="N1127" t="s">
        <v>51</v>
      </c>
      <c r="O1127" t="s">
        <v>29</v>
      </c>
      <c r="P1127">
        <f>VLOOKUP(O1127, Coordinates!$A$2:$C$6, 2, FALSE)</f>
        <v>29.760400000000001</v>
      </c>
      <c r="Q1127">
        <f>VLOOKUP(O1127, Coordinates!$A$2:$C$6, 3, FALSE)</f>
        <v>-95.369799999999998</v>
      </c>
      <c r="R1127">
        <v>12</v>
      </c>
      <c r="S1127">
        <v>503</v>
      </c>
      <c r="T1127">
        <v>25</v>
      </c>
      <c r="U1127">
        <v>52.5321189653733</v>
      </c>
      <c r="V1127" t="s">
        <v>55</v>
      </c>
      <c r="W1127">
        <v>2.9988001395741999</v>
      </c>
      <c r="X1127" t="s">
        <v>46</v>
      </c>
      <c r="Y1127" t="s">
        <v>32</v>
      </c>
      <c r="Z1127">
        <v>160.71817972176601</v>
      </c>
    </row>
    <row r="1128" spans="1:26" x14ac:dyDescent="0.3">
      <c r="A1128" t="s">
        <v>82</v>
      </c>
      <c r="B1128" t="s">
        <v>1184</v>
      </c>
      <c r="C1128">
        <v>28.351706734084502</v>
      </c>
      <c r="D1128">
        <v>30</v>
      </c>
      <c r="E1128">
        <v>823</v>
      </c>
      <c r="F1128">
        <v>7590.7069354736204</v>
      </c>
      <c r="G1128" t="s">
        <v>48</v>
      </c>
      <c r="H1128">
        <v>12</v>
      </c>
      <c r="I1128">
        <v>27</v>
      </c>
      <c r="J1128">
        <v>97</v>
      </c>
      <c r="K1128">
        <v>6</v>
      </c>
      <c r="L1128" t="s">
        <v>27</v>
      </c>
      <c r="M1128">
        <v>6.3989034458887497</v>
      </c>
      <c r="N1128" t="s">
        <v>37</v>
      </c>
      <c r="O1128" t="s">
        <v>29</v>
      </c>
      <c r="P1128">
        <f>VLOOKUP(O1128, Coordinates!$A$2:$C$6, 2, FALSE)</f>
        <v>29.760400000000001</v>
      </c>
      <c r="Q1128">
        <f>VLOOKUP(O1128, Coordinates!$A$2:$C$6, 3, FALSE)</f>
        <v>-95.369799999999998</v>
      </c>
      <c r="R1128">
        <v>9</v>
      </c>
      <c r="S1128">
        <v>734</v>
      </c>
      <c r="T1128">
        <v>3</v>
      </c>
      <c r="U1128">
        <v>90.895681640801001</v>
      </c>
      <c r="V1128" t="s">
        <v>55</v>
      </c>
      <c r="W1128">
        <v>3.61009387464083</v>
      </c>
      <c r="X1128" t="s">
        <v>46</v>
      </c>
      <c r="Y1128" t="s">
        <v>32</v>
      </c>
      <c r="Z1128">
        <v>176.70196444371601</v>
      </c>
    </row>
    <row r="1129" spans="1:26" x14ac:dyDescent="0.3">
      <c r="A1129" t="s">
        <v>82</v>
      </c>
      <c r="B1129" t="s">
        <v>1185</v>
      </c>
      <c r="C1129">
        <v>43.262617853913902</v>
      </c>
      <c r="D1129">
        <v>4</v>
      </c>
      <c r="E1129">
        <v>275</v>
      </c>
      <c r="F1129">
        <v>6498.5187313238703</v>
      </c>
      <c r="G1129" t="s">
        <v>35</v>
      </c>
      <c r="H1129">
        <v>51</v>
      </c>
      <c r="I1129">
        <v>16</v>
      </c>
      <c r="J1129">
        <v>68</v>
      </c>
      <c r="K1129">
        <v>9</v>
      </c>
      <c r="L1129" t="s">
        <v>27</v>
      </c>
      <c r="M1129">
        <v>5.1399507831338802</v>
      </c>
      <c r="N1129" t="s">
        <v>37</v>
      </c>
      <c r="O1129" t="s">
        <v>29</v>
      </c>
      <c r="P1129">
        <f>VLOOKUP(O1129, Coordinates!$A$2:$C$6, 2, FALSE)</f>
        <v>29.760400000000001</v>
      </c>
      <c r="Q1129">
        <f>VLOOKUP(O1129, Coordinates!$A$2:$C$6, 3, FALSE)</f>
        <v>-95.369799999999998</v>
      </c>
      <c r="R1129">
        <v>25</v>
      </c>
      <c r="S1129">
        <v>674</v>
      </c>
      <c r="T1129">
        <v>1</v>
      </c>
      <c r="U1129">
        <v>77.371841131732793</v>
      </c>
      <c r="V1129" t="s">
        <v>39</v>
      </c>
      <c r="W1129">
        <v>0.67704707826947197</v>
      </c>
      <c r="X1129" t="s">
        <v>40</v>
      </c>
      <c r="Y1129" t="s">
        <v>32</v>
      </c>
      <c r="Z1129">
        <v>867.049700380942</v>
      </c>
    </row>
    <row r="1130" spans="1:26" x14ac:dyDescent="0.3">
      <c r="A1130" t="s">
        <v>42</v>
      </c>
      <c r="B1130" t="s">
        <v>1186</v>
      </c>
      <c r="C1130">
        <v>89.991065769875206</v>
      </c>
      <c r="D1130">
        <v>39</v>
      </c>
      <c r="E1130">
        <v>524</v>
      </c>
      <c r="F1130">
        <v>8382.6366454825893</v>
      </c>
      <c r="G1130" t="s">
        <v>54</v>
      </c>
      <c r="H1130">
        <v>59</v>
      </c>
      <c r="I1130">
        <v>5</v>
      </c>
      <c r="J1130">
        <v>100</v>
      </c>
      <c r="K1130">
        <v>4</v>
      </c>
      <c r="L1130" t="s">
        <v>27</v>
      </c>
      <c r="M1130">
        <v>1.2379194942198299</v>
      </c>
      <c r="N1130" t="s">
        <v>37</v>
      </c>
      <c r="O1130" t="s">
        <v>58</v>
      </c>
      <c r="P1130">
        <f>VLOOKUP(O1130, Coordinates!$A$2:$C$6, 2, FALSE)</f>
        <v>34.052199999999999</v>
      </c>
      <c r="Q1130">
        <f>VLOOKUP(O1130, Coordinates!$A$2:$C$6, 3, FALSE)</f>
        <v>-118.2437</v>
      </c>
      <c r="R1130">
        <v>14</v>
      </c>
      <c r="S1130">
        <v>103</v>
      </c>
      <c r="T1130">
        <v>7</v>
      </c>
      <c r="U1130">
        <v>94.956033128658007</v>
      </c>
      <c r="V1130" t="s">
        <v>30</v>
      </c>
      <c r="W1130">
        <v>4.47138161762153</v>
      </c>
      <c r="X1130" t="s">
        <v>31</v>
      </c>
      <c r="Y1130" t="s">
        <v>32</v>
      </c>
      <c r="Z1130">
        <v>934.000456009559</v>
      </c>
    </row>
    <row r="1131" spans="1:26" x14ac:dyDescent="0.3">
      <c r="A1131" t="s">
        <v>33</v>
      </c>
      <c r="B1131" t="s">
        <v>1187</v>
      </c>
      <c r="C1131">
        <v>5.0420642365347401</v>
      </c>
      <c r="D1131">
        <v>84</v>
      </c>
      <c r="E1131">
        <v>554</v>
      </c>
      <c r="F1131">
        <v>4636.9886296866098</v>
      </c>
      <c r="G1131" t="s">
        <v>35</v>
      </c>
      <c r="H1131">
        <v>41</v>
      </c>
      <c r="I1131">
        <v>15</v>
      </c>
      <c r="J1131">
        <v>82</v>
      </c>
      <c r="K1131">
        <v>5</v>
      </c>
      <c r="L1131" t="s">
        <v>44</v>
      </c>
      <c r="M1131">
        <v>3.7436172572656399</v>
      </c>
      <c r="N1131" t="s">
        <v>51</v>
      </c>
      <c r="O1131" t="s">
        <v>38</v>
      </c>
      <c r="P1131">
        <f>VLOOKUP(O1131, Coordinates!$A$2:$C$6, 2, FALSE)</f>
        <v>25.761700000000001</v>
      </c>
      <c r="Q1131">
        <f>VLOOKUP(O1131, Coordinates!$A$2:$C$6, 3, FALSE)</f>
        <v>-80.191800000000001</v>
      </c>
      <c r="R1131">
        <v>12</v>
      </c>
      <c r="S1131">
        <v>895</v>
      </c>
      <c r="T1131">
        <v>15</v>
      </c>
      <c r="U1131">
        <v>30.398209638086801</v>
      </c>
      <c r="V1131" t="s">
        <v>30</v>
      </c>
      <c r="W1131">
        <v>0.212461614595266</v>
      </c>
      <c r="X1131" t="s">
        <v>31</v>
      </c>
      <c r="Y1131" t="s">
        <v>41</v>
      </c>
      <c r="Z1131">
        <v>493.95040528039198</v>
      </c>
    </row>
    <row r="1132" spans="1:26" x14ac:dyDescent="0.3">
      <c r="A1132" t="s">
        <v>82</v>
      </c>
      <c r="B1132" t="s">
        <v>1188</v>
      </c>
      <c r="C1132">
        <v>90.631394180983804</v>
      </c>
      <c r="D1132">
        <v>64</v>
      </c>
      <c r="E1132">
        <v>118</v>
      </c>
      <c r="F1132">
        <v>2993.50945768467</v>
      </c>
      <c r="G1132" t="s">
        <v>54</v>
      </c>
      <c r="H1132">
        <v>90</v>
      </c>
      <c r="I1132">
        <v>23</v>
      </c>
      <c r="J1132">
        <v>86</v>
      </c>
      <c r="K1132">
        <v>2</v>
      </c>
      <c r="L1132" t="s">
        <v>44</v>
      </c>
      <c r="M1132">
        <v>6.5423699182438897</v>
      </c>
      <c r="N1132" t="s">
        <v>37</v>
      </c>
      <c r="O1132" t="s">
        <v>67</v>
      </c>
      <c r="P1132">
        <f>VLOOKUP(O1132, Coordinates!$A$2:$C$6, 2, FALSE)</f>
        <v>40.712800000000001</v>
      </c>
      <c r="Q1132">
        <f>VLOOKUP(O1132, Coordinates!$A$2:$C$6, 3, FALSE)</f>
        <v>-74.006</v>
      </c>
      <c r="R1132">
        <v>26</v>
      </c>
      <c r="S1132">
        <v>427</v>
      </c>
      <c r="T1132">
        <v>19</v>
      </c>
      <c r="U1132">
        <v>57.797723476476399</v>
      </c>
      <c r="V1132" t="s">
        <v>30</v>
      </c>
      <c r="W1132">
        <v>3.2037198002699099</v>
      </c>
      <c r="X1132" t="s">
        <v>52</v>
      </c>
      <c r="Y1132" t="s">
        <v>60</v>
      </c>
      <c r="Z1132">
        <v>887.31666410401601</v>
      </c>
    </row>
    <row r="1133" spans="1:26" x14ac:dyDescent="0.3">
      <c r="A1133" t="s">
        <v>33</v>
      </c>
      <c r="B1133" t="s">
        <v>1189</v>
      </c>
      <c r="C1133">
        <v>19.6116673409527</v>
      </c>
      <c r="D1133">
        <v>25</v>
      </c>
      <c r="E1133">
        <v>343</v>
      </c>
      <c r="F1133">
        <v>5608.2105019788296</v>
      </c>
      <c r="G1133" t="s">
        <v>26</v>
      </c>
      <c r="H1133">
        <v>63</v>
      </c>
      <c r="I1133">
        <v>4</v>
      </c>
      <c r="J1133">
        <v>23</v>
      </c>
      <c r="K1133">
        <v>3</v>
      </c>
      <c r="L1133" t="s">
        <v>44</v>
      </c>
      <c r="M1133">
        <v>3.76400191760799</v>
      </c>
      <c r="N1133" t="s">
        <v>45</v>
      </c>
      <c r="O1133" t="s">
        <v>38</v>
      </c>
      <c r="P1133">
        <f>VLOOKUP(O1133, Coordinates!$A$2:$C$6, 2, FALSE)</f>
        <v>25.761700000000001</v>
      </c>
      <c r="Q1133">
        <f>VLOOKUP(O1133, Coordinates!$A$2:$C$6, 3, FALSE)</f>
        <v>-80.191800000000001</v>
      </c>
      <c r="R1133">
        <v>30</v>
      </c>
      <c r="S1133">
        <v>861</v>
      </c>
      <c r="T1133">
        <v>8</v>
      </c>
      <c r="U1133">
        <v>38.6721507849254</v>
      </c>
      <c r="V1133" t="s">
        <v>39</v>
      </c>
      <c r="W1133">
        <v>4.5187737962000201</v>
      </c>
      <c r="X1133" t="s">
        <v>46</v>
      </c>
      <c r="Y1133" t="s">
        <v>60</v>
      </c>
      <c r="Z1133">
        <v>528.589160052441</v>
      </c>
    </row>
    <row r="1134" spans="1:26" x14ac:dyDescent="0.3">
      <c r="A1134" t="s">
        <v>61</v>
      </c>
      <c r="B1134" t="s">
        <v>1190</v>
      </c>
      <c r="C1134">
        <v>99.058205726410705</v>
      </c>
      <c r="D1134">
        <v>28</v>
      </c>
      <c r="E1134">
        <v>572</v>
      </c>
      <c r="F1134">
        <v>5939.5758003412602</v>
      </c>
      <c r="G1134" t="s">
        <v>48</v>
      </c>
      <c r="H1134">
        <v>65</v>
      </c>
      <c r="I1134">
        <v>24</v>
      </c>
      <c r="J1134">
        <v>60</v>
      </c>
      <c r="K1134">
        <v>1</v>
      </c>
      <c r="L1134" t="s">
        <v>27</v>
      </c>
      <c r="M1134">
        <v>9.4335764547237897</v>
      </c>
      <c r="N1134" t="s">
        <v>45</v>
      </c>
      <c r="O1134" t="s">
        <v>38</v>
      </c>
      <c r="P1134">
        <f>VLOOKUP(O1134, Coordinates!$A$2:$C$6, 2, FALSE)</f>
        <v>25.761700000000001</v>
      </c>
      <c r="Q1134">
        <f>VLOOKUP(O1134, Coordinates!$A$2:$C$6, 3, FALSE)</f>
        <v>-80.191800000000001</v>
      </c>
      <c r="R1134">
        <v>26</v>
      </c>
      <c r="S1134">
        <v>611</v>
      </c>
      <c r="T1134">
        <v>11</v>
      </c>
      <c r="U1134">
        <v>54.443781612282997</v>
      </c>
      <c r="V1134" t="s">
        <v>39</v>
      </c>
      <c r="W1134">
        <v>4.5068070466660002</v>
      </c>
      <c r="X1134" t="s">
        <v>31</v>
      </c>
      <c r="Y1134" t="s">
        <v>32</v>
      </c>
      <c r="Z1134">
        <v>461.01366489391103</v>
      </c>
    </row>
    <row r="1135" spans="1:26" x14ac:dyDescent="0.3">
      <c r="A1135" t="s">
        <v>49</v>
      </c>
      <c r="B1135" t="s">
        <v>1191</v>
      </c>
      <c r="C1135">
        <v>95.710464338654404</v>
      </c>
      <c r="D1135">
        <v>76</v>
      </c>
      <c r="E1135">
        <v>947</v>
      </c>
      <c r="F1135">
        <v>5844.9373480892</v>
      </c>
      <c r="G1135" t="s">
        <v>26</v>
      </c>
      <c r="H1135">
        <v>33</v>
      </c>
      <c r="I1135">
        <v>25</v>
      </c>
      <c r="J1135">
        <v>20</v>
      </c>
      <c r="K1135">
        <v>4</v>
      </c>
      <c r="L1135" t="s">
        <v>36</v>
      </c>
      <c r="M1135">
        <v>7.2811365027083204</v>
      </c>
      <c r="N1135" t="s">
        <v>28</v>
      </c>
      <c r="O1135" t="s">
        <v>58</v>
      </c>
      <c r="P1135">
        <f>VLOOKUP(O1135, Coordinates!$A$2:$C$6, 2, FALSE)</f>
        <v>34.052199999999999</v>
      </c>
      <c r="Q1135">
        <f>VLOOKUP(O1135, Coordinates!$A$2:$C$6, 3, FALSE)</f>
        <v>-118.2437</v>
      </c>
      <c r="R1135">
        <v>16</v>
      </c>
      <c r="S1135">
        <v>229</v>
      </c>
      <c r="T1135">
        <v>2</v>
      </c>
      <c r="U1135">
        <v>60.136824662585902</v>
      </c>
      <c r="V1135" t="s">
        <v>55</v>
      </c>
      <c r="W1135">
        <v>0.20355486842068199</v>
      </c>
      <c r="X1135" t="s">
        <v>52</v>
      </c>
      <c r="Y1135" t="s">
        <v>41</v>
      </c>
      <c r="Z1135">
        <v>578.12046299999997</v>
      </c>
    </row>
    <row r="1136" spans="1:26" x14ac:dyDescent="0.3">
      <c r="A1136" t="s">
        <v>82</v>
      </c>
      <c r="B1136" t="s">
        <v>1192</v>
      </c>
      <c r="C1136">
        <v>51.9941430111719</v>
      </c>
      <c r="D1136">
        <v>66</v>
      </c>
      <c r="E1136">
        <v>990</v>
      </c>
      <c r="F1136">
        <v>6085.6641233209402</v>
      </c>
      <c r="G1136" t="s">
        <v>26</v>
      </c>
      <c r="H1136">
        <v>94</v>
      </c>
      <c r="I1136">
        <v>13</v>
      </c>
      <c r="J1136">
        <v>87</v>
      </c>
      <c r="K1136">
        <v>2</v>
      </c>
      <c r="L1136" t="s">
        <v>27</v>
      </c>
      <c r="M1136">
        <v>1.5527381268273801</v>
      </c>
      <c r="N1136" t="s">
        <v>28</v>
      </c>
      <c r="O1136" t="s">
        <v>67</v>
      </c>
      <c r="P1136">
        <f>VLOOKUP(O1136, Coordinates!$A$2:$C$6, 2, FALSE)</f>
        <v>40.712800000000001</v>
      </c>
      <c r="Q1136">
        <f>VLOOKUP(O1136, Coordinates!$A$2:$C$6, 3, FALSE)</f>
        <v>-74.006</v>
      </c>
      <c r="R1136">
        <v>17</v>
      </c>
      <c r="S1136">
        <v>686</v>
      </c>
      <c r="T1136">
        <v>20</v>
      </c>
      <c r="U1136">
        <v>13.256751742827801</v>
      </c>
      <c r="V1136" t="s">
        <v>30</v>
      </c>
      <c r="W1136">
        <v>0.69417698524054505</v>
      </c>
      <c r="X1136" t="s">
        <v>40</v>
      </c>
      <c r="Y1136" t="s">
        <v>41</v>
      </c>
      <c r="Z1136">
        <v>811.16705647358697</v>
      </c>
    </row>
    <row r="1137" spans="1:26" x14ac:dyDescent="0.3">
      <c r="A1137" t="s">
        <v>42</v>
      </c>
      <c r="B1137" t="s">
        <v>1193</v>
      </c>
      <c r="C1137">
        <v>53.708423542199597</v>
      </c>
      <c r="D1137">
        <v>78</v>
      </c>
      <c r="E1137">
        <v>363</v>
      </c>
      <c r="F1137">
        <v>9538.3442641526199</v>
      </c>
      <c r="G1137" t="s">
        <v>48</v>
      </c>
      <c r="H1137">
        <v>86</v>
      </c>
      <c r="I1137">
        <v>28</v>
      </c>
      <c r="J1137">
        <v>89</v>
      </c>
      <c r="K1137">
        <v>2</v>
      </c>
      <c r="L1137" t="s">
        <v>44</v>
      </c>
      <c r="M1137">
        <v>4.85056370037523</v>
      </c>
      <c r="N1137" t="s">
        <v>45</v>
      </c>
      <c r="O1137" t="s">
        <v>38</v>
      </c>
      <c r="P1137">
        <f>VLOOKUP(O1137, Coordinates!$A$2:$C$6, 2, FALSE)</f>
        <v>25.761700000000001</v>
      </c>
      <c r="Q1137">
        <f>VLOOKUP(O1137, Coordinates!$A$2:$C$6, 3, FALSE)</f>
        <v>-80.191800000000001</v>
      </c>
      <c r="R1137">
        <v>30</v>
      </c>
      <c r="S1137">
        <v>583</v>
      </c>
      <c r="T1137">
        <v>28</v>
      </c>
      <c r="U1137">
        <v>30.993052169348399</v>
      </c>
      <c r="V1137" t="s">
        <v>55</v>
      </c>
      <c r="W1137">
        <v>4.6552379180000001</v>
      </c>
      <c r="X1137" t="s">
        <v>31</v>
      </c>
      <c r="Y1137" t="s">
        <v>41</v>
      </c>
      <c r="Z1137">
        <v>301.389253988338</v>
      </c>
    </row>
    <row r="1138" spans="1:26" x14ac:dyDescent="0.3">
      <c r="A1138" t="s">
        <v>61</v>
      </c>
      <c r="B1138" t="s">
        <v>1194</v>
      </c>
      <c r="C1138">
        <v>50.747187326206102</v>
      </c>
      <c r="D1138">
        <v>22</v>
      </c>
      <c r="E1138">
        <v>654</v>
      </c>
      <c r="F1138">
        <v>9120.21060786608</v>
      </c>
      <c r="G1138" t="s">
        <v>48</v>
      </c>
      <c r="H1138">
        <v>70</v>
      </c>
      <c r="I1138">
        <v>19</v>
      </c>
      <c r="J1138">
        <v>19</v>
      </c>
      <c r="K1138">
        <v>1</v>
      </c>
      <c r="L1138" t="s">
        <v>36</v>
      </c>
      <c r="M1138">
        <v>1.2726747853089899</v>
      </c>
      <c r="N1138" t="s">
        <v>51</v>
      </c>
      <c r="O1138" t="s">
        <v>38</v>
      </c>
      <c r="P1138">
        <f>VLOOKUP(O1138, Coordinates!$A$2:$C$6, 2, FALSE)</f>
        <v>25.761700000000001</v>
      </c>
      <c r="Q1138">
        <f>VLOOKUP(O1138, Coordinates!$A$2:$C$6, 3, FALSE)</f>
        <v>-80.191800000000001</v>
      </c>
      <c r="R1138">
        <v>4</v>
      </c>
      <c r="S1138">
        <v>940</v>
      </c>
      <c r="T1138">
        <v>2</v>
      </c>
      <c r="U1138">
        <v>73.429550131959701</v>
      </c>
      <c r="V1138" t="s">
        <v>30</v>
      </c>
      <c r="W1138">
        <v>4.4105284527952104</v>
      </c>
      <c r="X1138" t="s">
        <v>46</v>
      </c>
      <c r="Y1138" t="s">
        <v>60</v>
      </c>
      <c r="Z1138">
        <v>371.558636518291</v>
      </c>
    </row>
    <row r="1139" spans="1:26" x14ac:dyDescent="0.3">
      <c r="A1139" t="s">
        <v>24</v>
      </c>
      <c r="B1139" t="s">
        <v>1195</v>
      </c>
      <c r="C1139">
        <v>25.6806475842832</v>
      </c>
      <c r="D1139">
        <v>31</v>
      </c>
      <c r="E1139">
        <v>618</v>
      </c>
      <c r="F1139">
        <v>14283.576186378299</v>
      </c>
      <c r="G1139" t="s">
        <v>48</v>
      </c>
      <c r="H1139">
        <v>63</v>
      </c>
      <c r="I1139">
        <v>7</v>
      </c>
      <c r="J1139">
        <v>93</v>
      </c>
      <c r="K1139">
        <v>10</v>
      </c>
      <c r="L1139" t="s">
        <v>36</v>
      </c>
      <c r="M1139">
        <v>6.0138925185226597</v>
      </c>
      <c r="N1139" t="s">
        <v>28</v>
      </c>
      <c r="O1139" t="s">
        <v>29</v>
      </c>
      <c r="P1139">
        <f>VLOOKUP(O1139, Coordinates!$A$2:$C$6, 2, FALSE)</f>
        <v>29.760400000000001</v>
      </c>
      <c r="Q1139">
        <f>VLOOKUP(O1139, Coordinates!$A$2:$C$6, 3, FALSE)</f>
        <v>-95.369799999999998</v>
      </c>
      <c r="R1139">
        <v>17</v>
      </c>
      <c r="S1139">
        <v>457</v>
      </c>
      <c r="T1139">
        <v>11</v>
      </c>
      <c r="U1139">
        <v>84.975514189611502</v>
      </c>
      <c r="V1139" t="s">
        <v>39</v>
      </c>
      <c r="W1139">
        <v>4.2786720208999496</v>
      </c>
      <c r="X1139" t="s">
        <v>40</v>
      </c>
      <c r="Y1139" t="s">
        <v>60</v>
      </c>
      <c r="Z1139">
        <v>863.98701467107605</v>
      </c>
    </row>
    <row r="1140" spans="1:26" x14ac:dyDescent="0.3">
      <c r="A1140" t="s">
        <v>33</v>
      </c>
      <c r="B1140" t="s">
        <v>1196</v>
      </c>
      <c r="C1140">
        <v>13.6185617123184</v>
      </c>
      <c r="D1140">
        <v>23</v>
      </c>
      <c r="E1140">
        <v>338</v>
      </c>
      <c r="F1140">
        <v>8212.7512981776399</v>
      </c>
      <c r="G1140" t="s">
        <v>54</v>
      </c>
      <c r="H1140">
        <v>32</v>
      </c>
      <c r="I1140">
        <v>12</v>
      </c>
      <c r="J1140">
        <v>89</v>
      </c>
      <c r="K1140">
        <v>9</v>
      </c>
      <c r="L1140" t="s">
        <v>44</v>
      </c>
      <c r="M1140">
        <v>4.6275402479999999</v>
      </c>
      <c r="N1140" t="s">
        <v>37</v>
      </c>
      <c r="O1140" t="s">
        <v>65</v>
      </c>
      <c r="P1140">
        <f>VLOOKUP(O1140, Coordinates!$A$2:$C$6, 2, FALSE)</f>
        <v>41.878100000000003</v>
      </c>
      <c r="Q1140">
        <f>VLOOKUP(O1140, Coordinates!$A$2:$C$6, 3, FALSE)</f>
        <v>-87.629800000000003</v>
      </c>
      <c r="R1140">
        <v>1</v>
      </c>
      <c r="S1140">
        <v>484</v>
      </c>
      <c r="T1140">
        <v>20</v>
      </c>
      <c r="U1140">
        <v>61.250623073875197</v>
      </c>
      <c r="V1140" t="s">
        <v>55</v>
      </c>
      <c r="W1140">
        <v>0.31927787133025798</v>
      </c>
      <c r="X1140" t="s">
        <v>46</v>
      </c>
      <c r="Y1140" t="s">
        <v>41</v>
      </c>
      <c r="Z1140">
        <v>954.59427382373701</v>
      </c>
    </row>
    <row r="1141" spans="1:26" x14ac:dyDescent="0.3">
      <c r="A1141" t="s">
        <v>24</v>
      </c>
      <c r="B1141" t="s">
        <v>1197</v>
      </c>
      <c r="C1141">
        <v>37.4636382520494</v>
      </c>
      <c r="D1141">
        <v>48</v>
      </c>
      <c r="E1141">
        <v>693</v>
      </c>
      <c r="F1141">
        <v>23366.071177803198</v>
      </c>
      <c r="G1141" t="s">
        <v>26</v>
      </c>
      <c r="H1141">
        <v>11</v>
      </c>
      <c r="I1141">
        <v>26</v>
      </c>
      <c r="J1141">
        <v>67</v>
      </c>
      <c r="K1141">
        <v>4</v>
      </c>
      <c r="L1141" t="s">
        <v>27</v>
      </c>
      <c r="M1141">
        <v>10.634614950358401</v>
      </c>
      <c r="N1141" t="s">
        <v>45</v>
      </c>
      <c r="O1141" t="s">
        <v>38</v>
      </c>
      <c r="P1141">
        <f>VLOOKUP(O1141, Coordinates!$A$2:$C$6, 2, FALSE)</f>
        <v>25.761700000000001</v>
      </c>
      <c r="Q1141">
        <f>VLOOKUP(O1141, Coordinates!$A$2:$C$6, 3, FALSE)</f>
        <v>-80.191800000000001</v>
      </c>
      <c r="R1141">
        <v>29</v>
      </c>
      <c r="S1141">
        <v>353</v>
      </c>
      <c r="T1141">
        <v>28</v>
      </c>
      <c r="U1141">
        <v>90.107435272681698</v>
      </c>
      <c r="V1141" t="s">
        <v>39</v>
      </c>
      <c r="W1141">
        <v>3.7331562382801402</v>
      </c>
      <c r="X1141" t="s">
        <v>40</v>
      </c>
      <c r="Y1141" t="s">
        <v>60</v>
      </c>
      <c r="Z1141">
        <v>210.70887362874399</v>
      </c>
    </row>
    <row r="1142" spans="1:26" x14ac:dyDescent="0.3">
      <c r="A1142" t="s">
        <v>72</v>
      </c>
      <c r="B1142" t="s">
        <v>1198</v>
      </c>
      <c r="C1142">
        <v>29.823069236580601</v>
      </c>
      <c r="D1142">
        <v>20</v>
      </c>
      <c r="E1142">
        <v>173</v>
      </c>
      <c r="F1142">
        <v>4643.4518801355998</v>
      </c>
      <c r="G1142" t="s">
        <v>54</v>
      </c>
      <c r="H1142">
        <v>75</v>
      </c>
      <c r="I1142">
        <v>9</v>
      </c>
      <c r="J1142">
        <v>43</v>
      </c>
      <c r="K1142">
        <v>6</v>
      </c>
      <c r="L1142" t="s">
        <v>36</v>
      </c>
      <c r="M1142">
        <v>5.3036969583514502</v>
      </c>
      <c r="N1142" t="s">
        <v>57</v>
      </c>
      <c r="O1142" t="s">
        <v>65</v>
      </c>
      <c r="P1142">
        <f>VLOOKUP(O1142, Coordinates!$A$2:$C$6, 2, FALSE)</f>
        <v>41.878100000000003</v>
      </c>
      <c r="Q1142">
        <f>VLOOKUP(O1142, Coordinates!$A$2:$C$6, 3, FALSE)</f>
        <v>-87.629800000000003</v>
      </c>
      <c r="R1142">
        <v>25</v>
      </c>
      <c r="S1142">
        <v>934</v>
      </c>
      <c r="T1142">
        <v>17</v>
      </c>
      <c r="U1142">
        <v>75.078391737205195</v>
      </c>
      <c r="V1142" t="s">
        <v>55</v>
      </c>
      <c r="W1142">
        <v>4.44658121624526</v>
      </c>
      <c r="X1142" t="s">
        <v>46</v>
      </c>
      <c r="Y1142" t="s">
        <v>60</v>
      </c>
      <c r="Z1142">
        <v>734.44149916301103</v>
      </c>
    </row>
    <row r="1143" spans="1:26" x14ac:dyDescent="0.3">
      <c r="A1143" t="s">
        <v>61</v>
      </c>
      <c r="B1143" t="s">
        <v>1199</v>
      </c>
      <c r="C1143">
        <v>47.214708177943798</v>
      </c>
      <c r="D1143">
        <v>38</v>
      </c>
      <c r="E1143">
        <v>343</v>
      </c>
      <c r="F1143">
        <v>3386.10935301165</v>
      </c>
      <c r="G1143" t="s">
        <v>48</v>
      </c>
      <c r="H1143">
        <v>18</v>
      </c>
      <c r="I1143">
        <v>17</v>
      </c>
      <c r="J1143">
        <v>89</v>
      </c>
      <c r="K1143">
        <v>7</v>
      </c>
      <c r="L1143" t="s">
        <v>36</v>
      </c>
      <c r="M1143">
        <v>6.2522213041810897</v>
      </c>
      <c r="N1143" t="s">
        <v>51</v>
      </c>
      <c r="O1143" t="s">
        <v>67</v>
      </c>
      <c r="P1143">
        <f>VLOOKUP(O1143, Coordinates!$A$2:$C$6, 2, FALSE)</f>
        <v>40.712800000000001</v>
      </c>
      <c r="Q1143">
        <f>VLOOKUP(O1143, Coordinates!$A$2:$C$6, 3, FALSE)</f>
        <v>-74.006</v>
      </c>
      <c r="R1143">
        <v>21</v>
      </c>
      <c r="S1143">
        <v>266</v>
      </c>
      <c r="T1143">
        <v>29</v>
      </c>
      <c r="U1143">
        <v>18.643313069324599</v>
      </c>
      <c r="V1143" t="s">
        <v>30</v>
      </c>
      <c r="W1143">
        <v>1.1832951422230999</v>
      </c>
      <c r="X1143" t="s">
        <v>52</v>
      </c>
      <c r="Y1143" t="s">
        <v>32</v>
      </c>
      <c r="Z1143">
        <v>108.65816926034699</v>
      </c>
    </row>
    <row r="1144" spans="1:26" x14ac:dyDescent="0.3">
      <c r="A1144" t="s">
        <v>24</v>
      </c>
      <c r="B1144" t="s">
        <v>1200</v>
      </c>
      <c r="C1144">
        <v>32.488175773802197</v>
      </c>
      <c r="D1144">
        <v>55</v>
      </c>
      <c r="E1144">
        <v>802</v>
      </c>
      <c r="F1144">
        <v>23449.965273530401</v>
      </c>
      <c r="G1144" t="s">
        <v>54</v>
      </c>
      <c r="H1144">
        <v>8</v>
      </c>
      <c r="I1144">
        <v>2</v>
      </c>
      <c r="J1144">
        <v>87</v>
      </c>
      <c r="K1144">
        <v>7</v>
      </c>
      <c r="L1144" t="s">
        <v>44</v>
      </c>
      <c r="M1144">
        <v>11.1546750460849</v>
      </c>
      <c r="N1144" t="s">
        <v>51</v>
      </c>
      <c r="O1144" t="s">
        <v>65</v>
      </c>
      <c r="P1144">
        <f>VLOOKUP(O1144, Coordinates!$A$2:$C$6, 2, FALSE)</f>
        <v>41.878100000000003</v>
      </c>
      <c r="Q1144">
        <f>VLOOKUP(O1144, Coordinates!$A$2:$C$6, 3, FALSE)</f>
        <v>-87.629800000000003</v>
      </c>
      <c r="R1144">
        <v>17</v>
      </c>
      <c r="S1144">
        <v>812</v>
      </c>
      <c r="T1144">
        <v>10</v>
      </c>
      <c r="U1144">
        <v>90.174272376271801</v>
      </c>
      <c r="V1144" t="s">
        <v>55</v>
      </c>
      <c r="W1144">
        <v>4.9798265191044297</v>
      </c>
      <c r="X1144" t="s">
        <v>46</v>
      </c>
      <c r="Y1144" t="s">
        <v>32</v>
      </c>
      <c r="Z1144">
        <v>321.56849325286203</v>
      </c>
    </row>
    <row r="1145" spans="1:26" x14ac:dyDescent="0.3">
      <c r="A1145" t="s">
        <v>82</v>
      </c>
      <c r="B1145" t="s">
        <v>1201</v>
      </c>
      <c r="C1145">
        <v>64.093758429999994</v>
      </c>
      <c r="D1145">
        <v>68</v>
      </c>
      <c r="E1145">
        <v>265</v>
      </c>
      <c r="F1145">
        <v>8618.8104381106405</v>
      </c>
      <c r="G1145" t="s">
        <v>48</v>
      </c>
      <c r="H1145">
        <v>73</v>
      </c>
      <c r="I1145">
        <v>16</v>
      </c>
      <c r="J1145">
        <v>62</v>
      </c>
      <c r="K1145">
        <v>7</v>
      </c>
      <c r="L1145" t="s">
        <v>36</v>
      </c>
      <c r="M1145">
        <v>7.7328474629999997</v>
      </c>
      <c r="N1145" t="s">
        <v>45</v>
      </c>
      <c r="O1145" t="s">
        <v>38</v>
      </c>
      <c r="P1145">
        <f>VLOOKUP(O1145, Coordinates!$A$2:$C$6, 2, FALSE)</f>
        <v>25.761700000000001</v>
      </c>
      <c r="Q1145">
        <f>VLOOKUP(O1145, Coordinates!$A$2:$C$6, 3, FALSE)</f>
        <v>-80.191800000000001</v>
      </c>
      <c r="R1145">
        <v>27</v>
      </c>
      <c r="S1145">
        <v>779</v>
      </c>
      <c r="T1145">
        <v>5</v>
      </c>
      <c r="U1145">
        <v>88.180972408925896</v>
      </c>
      <c r="V1145" t="s">
        <v>39</v>
      </c>
      <c r="W1145">
        <v>4.4355025641347803</v>
      </c>
      <c r="X1145" t="s">
        <v>46</v>
      </c>
      <c r="Y1145" t="s">
        <v>32</v>
      </c>
      <c r="Z1145">
        <v>161.765054224285</v>
      </c>
    </row>
    <row r="1146" spans="1:26" x14ac:dyDescent="0.3">
      <c r="A1146" t="s">
        <v>33</v>
      </c>
      <c r="B1146" t="s">
        <v>1202</v>
      </c>
      <c r="C1146">
        <v>99.282017490000001</v>
      </c>
      <c r="D1146">
        <v>79</v>
      </c>
      <c r="E1146">
        <v>891</v>
      </c>
      <c r="F1146">
        <v>5546.4914037045901</v>
      </c>
      <c r="G1146" t="s">
        <v>35</v>
      </c>
      <c r="H1146">
        <v>16</v>
      </c>
      <c r="I1146">
        <v>7</v>
      </c>
      <c r="J1146">
        <v>37</v>
      </c>
      <c r="K1146">
        <v>4</v>
      </c>
      <c r="L1146" t="s">
        <v>36</v>
      </c>
      <c r="M1146">
        <v>8.7903613003417505</v>
      </c>
      <c r="N1146" t="s">
        <v>57</v>
      </c>
      <c r="O1146" t="s">
        <v>65</v>
      </c>
      <c r="P1146">
        <f>VLOOKUP(O1146, Coordinates!$A$2:$C$6, 2, FALSE)</f>
        <v>41.878100000000003</v>
      </c>
      <c r="Q1146">
        <f>VLOOKUP(O1146, Coordinates!$A$2:$C$6, 3, FALSE)</f>
        <v>-87.629800000000003</v>
      </c>
      <c r="R1146">
        <v>19</v>
      </c>
      <c r="S1146">
        <v>895</v>
      </c>
      <c r="T1146">
        <v>3</v>
      </c>
      <c r="U1146">
        <v>15.9042112216717</v>
      </c>
      <c r="V1146" t="s">
        <v>30</v>
      </c>
      <c r="W1146">
        <v>3.69556628335499</v>
      </c>
      <c r="X1146" t="s">
        <v>40</v>
      </c>
      <c r="Y1146" t="s">
        <v>41</v>
      </c>
      <c r="Z1146">
        <v>563.85230109999998</v>
      </c>
    </row>
    <row r="1147" spans="1:26" x14ac:dyDescent="0.3">
      <c r="A1147" t="s">
        <v>49</v>
      </c>
      <c r="B1147" t="s">
        <v>1203</v>
      </c>
      <c r="C1147">
        <v>41.700701442264197</v>
      </c>
      <c r="D1147">
        <v>88</v>
      </c>
      <c r="E1147">
        <v>739</v>
      </c>
      <c r="G1147" t="s">
        <v>48</v>
      </c>
      <c r="H1147">
        <v>49</v>
      </c>
      <c r="I1147">
        <v>29</v>
      </c>
      <c r="J1147">
        <v>27</v>
      </c>
      <c r="K1147">
        <v>5</v>
      </c>
      <c r="L1147" t="s">
        <v>36</v>
      </c>
      <c r="M1147">
        <v>12.7788532924642</v>
      </c>
      <c r="N1147" t="s">
        <v>51</v>
      </c>
      <c r="O1147" t="s">
        <v>67</v>
      </c>
      <c r="P1147">
        <f>VLOOKUP(O1147, Coordinates!$A$2:$C$6, 2, FALSE)</f>
        <v>40.712800000000001</v>
      </c>
      <c r="Q1147">
        <f>VLOOKUP(O1147, Coordinates!$A$2:$C$6, 3, FALSE)</f>
        <v>-74.006</v>
      </c>
      <c r="R1147">
        <v>23</v>
      </c>
      <c r="S1147">
        <v>568</v>
      </c>
      <c r="T1147">
        <v>9</v>
      </c>
      <c r="U1147">
        <v>24.984159909249701</v>
      </c>
      <c r="V1147" t="s">
        <v>55</v>
      </c>
      <c r="W1147">
        <v>2.08529586785696</v>
      </c>
      <c r="X1147" t="s">
        <v>46</v>
      </c>
      <c r="Y1147" t="s">
        <v>32</v>
      </c>
      <c r="Z1147">
        <v>409.045348059849</v>
      </c>
    </row>
    <row r="1148" spans="1:26" x14ac:dyDescent="0.3">
      <c r="A1148" t="s">
        <v>61</v>
      </c>
      <c r="B1148" t="s">
        <v>1204</v>
      </c>
      <c r="C1148">
        <v>59.514919139928701</v>
      </c>
      <c r="D1148">
        <v>89</v>
      </c>
      <c r="E1148">
        <v>203</v>
      </c>
      <c r="F1148">
        <v>2250.6391472402402</v>
      </c>
      <c r="G1148" t="s">
        <v>26</v>
      </c>
      <c r="H1148">
        <v>38</v>
      </c>
      <c r="I1148">
        <v>18</v>
      </c>
      <c r="J1148">
        <v>35</v>
      </c>
      <c r="K1148">
        <v>3</v>
      </c>
      <c r="L1148" t="s">
        <v>27</v>
      </c>
      <c r="M1148">
        <v>3.8964362764031502</v>
      </c>
      <c r="N1148" t="s">
        <v>28</v>
      </c>
      <c r="O1148" t="s">
        <v>67</v>
      </c>
      <c r="P1148">
        <f>VLOOKUP(O1148, Coordinates!$A$2:$C$6, 2, FALSE)</f>
        <v>40.712800000000001</v>
      </c>
      <c r="Q1148">
        <f>VLOOKUP(O1148, Coordinates!$A$2:$C$6, 3, FALSE)</f>
        <v>-74.006</v>
      </c>
      <c r="R1148">
        <v>30</v>
      </c>
      <c r="S1148">
        <v>959</v>
      </c>
      <c r="T1148">
        <v>20</v>
      </c>
      <c r="U1148">
        <v>62.298499706987798</v>
      </c>
      <c r="V1148" t="s">
        <v>30</v>
      </c>
      <c r="W1148">
        <v>0.68122276022262196</v>
      </c>
      <c r="X1148" t="s">
        <v>46</v>
      </c>
      <c r="Y1148" t="s">
        <v>41</v>
      </c>
      <c r="Z1148">
        <v>223.828753420206</v>
      </c>
    </row>
    <row r="1149" spans="1:26" x14ac:dyDescent="0.3">
      <c r="A1149" t="s">
        <v>82</v>
      </c>
      <c r="B1149" t="s">
        <v>1205</v>
      </c>
      <c r="C1149">
        <v>44.482370111196801</v>
      </c>
      <c r="D1149">
        <v>1</v>
      </c>
      <c r="E1149">
        <v>215</v>
      </c>
      <c r="F1149">
        <v>3271.7243167890401</v>
      </c>
      <c r="G1149" t="s">
        <v>26</v>
      </c>
      <c r="H1149">
        <v>40</v>
      </c>
      <c r="I1149">
        <v>7</v>
      </c>
      <c r="J1149">
        <v>16</v>
      </c>
      <c r="K1149">
        <v>1</v>
      </c>
      <c r="L1149" t="s">
        <v>27</v>
      </c>
      <c r="M1149">
        <v>14.8485973993862</v>
      </c>
      <c r="N1149" t="s">
        <v>57</v>
      </c>
      <c r="O1149" t="s">
        <v>29</v>
      </c>
      <c r="P1149">
        <f>VLOOKUP(O1149, Coordinates!$A$2:$C$6, 2, FALSE)</f>
        <v>29.760400000000001</v>
      </c>
      <c r="Q1149">
        <f>VLOOKUP(O1149, Coordinates!$A$2:$C$6, 3, FALSE)</f>
        <v>-95.369799999999998</v>
      </c>
      <c r="R1149">
        <v>18</v>
      </c>
      <c r="S1149">
        <v>592</v>
      </c>
      <c r="T1149">
        <v>22</v>
      </c>
      <c r="U1149">
        <v>30.918706671629401</v>
      </c>
      <c r="V1149" t="s">
        <v>30</v>
      </c>
      <c r="W1149">
        <v>1.2757730666440099</v>
      </c>
      <c r="X1149" t="s">
        <v>46</v>
      </c>
      <c r="Y1149" t="s">
        <v>32</v>
      </c>
      <c r="Z1149">
        <v>100.28874437731</v>
      </c>
    </row>
    <row r="1150" spans="1:26" x14ac:dyDescent="0.3">
      <c r="A1150" t="s">
        <v>42</v>
      </c>
      <c r="B1150" t="s">
        <v>1206</v>
      </c>
      <c r="C1150">
        <v>85.490808433576603</v>
      </c>
      <c r="D1150">
        <v>7</v>
      </c>
      <c r="E1150">
        <v>849</v>
      </c>
      <c r="F1150">
        <v>7585.9848553390502</v>
      </c>
      <c r="G1150" t="s">
        <v>26</v>
      </c>
      <c r="H1150">
        <v>1</v>
      </c>
      <c r="I1150">
        <v>22</v>
      </c>
      <c r="J1150">
        <v>54</v>
      </c>
      <c r="K1150">
        <v>8</v>
      </c>
      <c r="L1150" t="s">
        <v>44</v>
      </c>
      <c r="M1150">
        <v>13.6014712857655</v>
      </c>
      <c r="N1150" t="s">
        <v>37</v>
      </c>
      <c r="O1150" t="s">
        <v>67</v>
      </c>
      <c r="P1150">
        <f>VLOOKUP(O1150, Coordinates!$A$2:$C$6, 2, FALSE)</f>
        <v>40.712800000000001</v>
      </c>
      <c r="Q1150">
        <f>VLOOKUP(O1150, Coordinates!$A$2:$C$6, 3, FALSE)</f>
        <v>-74.006</v>
      </c>
      <c r="R1150">
        <v>20</v>
      </c>
      <c r="S1150">
        <v>437</v>
      </c>
      <c r="T1150">
        <v>25</v>
      </c>
      <c r="U1150">
        <v>94.096062821271502</v>
      </c>
      <c r="V1150" t="s">
        <v>30</v>
      </c>
      <c r="W1150">
        <v>3.3755903781072498</v>
      </c>
      <c r="X1150" t="s">
        <v>40</v>
      </c>
      <c r="Y1150" t="s">
        <v>41</v>
      </c>
      <c r="Z1150">
        <v>449.54849250000001</v>
      </c>
    </row>
    <row r="1151" spans="1:26" x14ac:dyDescent="0.3">
      <c r="A1151" t="s">
        <v>72</v>
      </c>
      <c r="B1151" t="s">
        <v>1207</v>
      </c>
      <c r="C1151">
        <v>39.0191986148767</v>
      </c>
      <c r="D1151">
        <v>57</v>
      </c>
      <c r="E1151">
        <v>696</v>
      </c>
      <c r="F1151">
        <v>24441.626012358702</v>
      </c>
      <c r="G1151" t="s">
        <v>54</v>
      </c>
      <c r="H1151">
        <v>11</v>
      </c>
      <c r="I1151">
        <v>3</v>
      </c>
      <c r="J1151">
        <v>54</v>
      </c>
      <c r="K1151">
        <v>10</v>
      </c>
      <c r="L1151" t="s">
        <v>27</v>
      </c>
      <c r="M1151">
        <v>5.0117396004148498</v>
      </c>
      <c r="N1151" t="s">
        <v>28</v>
      </c>
      <c r="O1151" t="s">
        <v>58</v>
      </c>
      <c r="P1151">
        <f>VLOOKUP(O1151, Coordinates!$A$2:$C$6, 2, FALSE)</f>
        <v>34.052199999999999</v>
      </c>
      <c r="Q1151">
        <f>VLOOKUP(O1151, Coordinates!$A$2:$C$6, 3, FALSE)</f>
        <v>-118.2437</v>
      </c>
      <c r="R1151">
        <v>2</v>
      </c>
      <c r="S1151">
        <v>150</v>
      </c>
      <c r="T1151">
        <v>2</v>
      </c>
      <c r="U1151">
        <v>92.824541322069095</v>
      </c>
      <c r="V1151" t="s">
        <v>30</v>
      </c>
      <c r="W1151">
        <v>1.6852820100000001</v>
      </c>
      <c r="X1151" t="s">
        <v>31</v>
      </c>
      <c r="Y1151" t="s">
        <v>60</v>
      </c>
      <c r="Z1151">
        <v>365.02453041240301</v>
      </c>
    </row>
    <row r="1152" spans="1:26" x14ac:dyDescent="0.3">
      <c r="A1152" t="s">
        <v>33</v>
      </c>
      <c r="B1152" t="s">
        <v>1208</v>
      </c>
      <c r="C1152">
        <v>88.348783159999996</v>
      </c>
      <c r="D1152">
        <v>95</v>
      </c>
      <c r="E1152">
        <v>766</v>
      </c>
      <c r="F1152">
        <v>4162.2034118943402</v>
      </c>
      <c r="G1152" t="s">
        <v>26</v>
      </c>
      <c r="H1152">
        <v>78</v>
      </c>
      <c r="I1152">
        <v>21</v>
      </c>
      <c r="J1152">
        <v>80</v>
      </c>
      <c r="K1152">
        <v>7</v>
      </c>
      <c r="L1152" t="s">
        <v>36</v>
      </c>
      <c r="M1152">
        <v>13.501137846687801</v>
      </c>
      <c r="N1152" t="s">
        <v>57</v>
      </c>
      <c r="O1152" t="s">
        <v>65</v>
      </c>
      <c r="P1152">
        <f>VLOOKUP(O1152, Coordinates!$A$2:$C$6, 2, FALSE)</f>
        <v>41.878100000000003</v>
      </c>
      <c r="Q1152">
        <f>VLOOKUP(O1152, Coordinates!$A$2:$C$6, 3, FALSE)</f>
        <v>-87.629800000000003</v>
      </c>
      <c r="R1152">
        <v>9</v>
      </c>
      <c r="S1152">
        <v>155</v>
      </c>
      <c r="T1152">
        <v>23</v>
      </c>
      <c r="U1152">
        <v>34.596236161997403</v>
      </c>
      <c r="V1152" t="s">
        <v>39</v>
      </c>
      <c r="W1152">
        <v>3.0206411030023901</v>
      </c>
      <c r="X1152" t="s">
        <v>31</v>
      </c>
      <c r="Y1152" t="s">
        <v>41</v>
      </c>
      <c r="Z1152">
        <v>142.019988659901</v>
      </c>
    </row>
    <row r="1153" spans="1:26" x14ac:dyDescent="0.3">
      <c r="A1153" t="s">
        <v>61</v>
      </c>
      <c r="B1153" t="s">
        <v>1209</v>
      </c>
      <c r="C1153">
        <v>97.565362674529396</v>
      </c>
      <c r="D1153">
        <v>12</v>
      </c>
      <c r="E1153">
        <v>747</v>
      </c>
      <c r="F1153">
        <v>3383.7963203221402</v>
      </c>
      <c r="G1153" t="s">
        <v>48</v>
      </c>
      <c r="H1153">
        <v>94</v>
      </c>
      <c r="I1153">
        <v>30</v>
      </c>
      <c r="J1153">
        <v>44</v>
      </c>
      <c r="K1153">
        <v>9</v>
      </c>
      <c r="L1153" t="s">
        <v>27</v>
      </c>
      <c r="M1153">
        <v>11.5553862161553</v>
      </c>
      <c r="N1153" t="s">
        <v>45</v>
      </c>
      <c r="O1153" t="s">
        <v>38</v>
      </c>
      <c r="P1153">
        <f>VLOOKUP(O1153, Coordinates!$A$2:$C$6, 2, FALSE)</f>
        <v>25.761700000000001</v>
      </c>
      <c r="Q1153">
        <f>VLOOKUP(O1153, Coordinates!$A$2:$C$6, 3, FALSE)</f>
        <v>-80.191800000000001</v>
      </c>
      <c r="R1153">
        <v>30</v>
      </c>
      <c r="S1153">
        <v>172</v>
      </c>
      <c r="T1153">
        <v>19</v>
      </c>
      <c r="U1153">
        <v>10.5491270071428</v>
      </c>
      <c r="V1153" t="s">
        <v>39</v>
      </c>
      <c r="W1153">
        <v>4.8192145314624497</v>
      </c>
      <c r="X1153" t="s">
        <v>31</v>
      </c>
      <c r="Y1153" t="s">
        <v>60</v>
      </c>
      <c r="Z1153">
        <v>866.59201076115198</v>
      </c>
    </row>
    <row r="1154" spans="1:26" x14ac:dyDescent="0.3">
      <c r="A1154" t="s">
        <v>61</v>
      </c>
      <c r="B1154" t="s">
        <v>1210</v>
      </c>
      <c r="C1154">
        <v>7.6143225883394496</v>
      </c>
      <c r="D1154">
        <v>5</v>
      </c>
      <c r="E1154">
        <v>476</v>
      </c>
      <c r="F1154">
        <v>4148.7552480022996</v>
      </c>
      <c r="G1154" t="s">
        <v>35</v>
      </c>
      <c r="H1154">
        <v>14</v>
      </c>
      <c r="I1154">
        <v>28</v>
      </c>
      <c r="J1154">
        <v>61</v>
      </c>
      <c r="K1154">
        <v>10</v>
      </c>
      <c r="L1154" t="s">
        <v>36</v>
      </c>
      <c r="M1154">
        <v>14.030590607470099</v>
      </c>
      <c r="N1154" t="s">
        <v>51</v>
      </c>
      <c r="O1154" t="s">
        <v>67</v>
      </c>
      <c r="P1154">
        <f>VLOOKUP(O1154, Coordinates!$A$2:$C$6, 2, FALSE)</f>
        <v>40.712800000000001</v>
      </c>
      <c r="Q1154">
        <f>VLOOKUP(O1154, Coordinates!$A$2:$C$6, 3, FALSE)</f>
        <v>-74.006</v>
      </c>
      <c r="R1154">
        <v>9</v>
      </c>
      <c r="S1154">
        <v>893</v>
      </c>
      <c r="T1154">
        <v>17</v>
      </c>
      <c r="U1154">
        <v>81.950265208267695</v>
      </c>
      <c r="V1154" t="s">
        <v>55</v>
      </c>
      <c r="W1154">
        <v>2.2429048609139999</v>
      </c>
      <c r="X1154" t="s">
        <v>46</v>
      </c>
      <c r="Y1154" t="s">
        <v>32</v>
      </c>
      <c r="Z1154">
        <v>469.70009986200802</v>
      </c>
    </row>
    <row r="1155" spans="1:26" x14ac:dyDescent="0.3">
      <c r="A1155" t="s">
        <v>49</v>
      </c>
      <c r="B1155" t="s">
        <v>1211</v>
      </c>
      <c r="C1155">
        <v>84.782535403825406</v>
      </c>
      <c r="D1155">
        <v>50</v>
      </c>
      <c r="E1155">
        <v>486</v>
      </c>
      <c r="F1155">
        <v>7374.91644170173</v>
      </c>
      <c r="G1155" t="s">
        <v>26</v>
      </c>
      <c r="H1155">
        <v>27</v>
      </c>
      <c r="I1155">
        <v>30</v>
      </c>
      <c r="J1155">
        <v>30</v>
      </c>
      <c r="K1155">
        <v>4</v>
      </c>
      <c r="L1155" t="s">
        <v>36</v>
      </c>
      <c r="M1155">
        <v>10.6758926337604</v>
      </c>
      <c r="N1155" t="s">
        <v>28</v>
      </c>
      <c r="O1155" t="s">
        <v>65</v>
      </c>
      <c r="P1155">
        <f>VLOOKUP(O1155, Coordinates!$A$2:$C$6, 2, FALSE)</f>
        <v>41.878100000000003</v>
      </c>
      <c r="Q1155">
        <f>VLOOKUP(O1155, Coordinates!$A$2:$C$6, 3, FALSE)</f>
        <v>-87.629800000000003</v>
      </c>
      <c r="R1155">
        <v>12</v>
      </c>
      <c r="S1155">
        <v>699</v>
      </c>
      <c r="T1155">
        <v>25</v>
      </c>
      <c r="U1155">
        <v>48.168073864095902</v>
      </c>
      <c r="V1155" t="s">
        <v>30</v>
      </c>
      <c r="W1155">
        <v>2.5612289014211198</v>
      </c>
      <c r="X1155" t="s">
        <v>52</v>
      </c>
      <c r="Y1155" t="s">
        <v>60</v>
      </c>
      <c r="Z1155">
        <v>797.30597346821901</v>
      </c>
    </row>
    <row r="1156" spans="1:26" x14ac:dyDescent="0.3">
      <c r="A1156" t="s">
        <v>49</v>
      </c>
      <c r="B1156" t="s">
        <v>1212</v>
      </c>
      <c r="C1156">
        <v>76.418356438713801</v>
      </c>
      <c r="D1156">
        <v>42</v>
      </c>
      <c r="E1156">
        <v>27</v>
      </c>
      <c r="F1156">
        <v>4310.6246302851996</v>
      </c>
      <c r="G1156" t="s">
        <v>54</v>
      </c>
      <c r="H1156">
        <v>3</v>
      </c>
      <c r="I1156">
        <v>11</v>
      </c>
      <c r="J1156">
        <v>37</v>
      </c>
      <c r="K1156">
        <v>5</v>
      </c>
      <c r="L1156" t="s">
        <v>27</v>
      </c>
      <c r="M1156">
        <v>10.442683361778199</v>
      </c>
      <c r="N1156" t="s">
        <v>45</v>
      </c>
      <c r="O1156" t="s">
        <v>38</v>
      </c>
      <c r="P1156">
        <f>VLOOKUP(O1156, Coordinates!$A$2:$C$6, 2, FALSE)</f>
        <v>25.761700000000001</v>
      </c>
      <c r="Q1156">
        <f>VLOOKUP(O1156, Coordinates!$A$2:$C$6, 3, FALSE)</f>
        <v>-80.191800000000001</v>
      </c>
      <c r="R1156">
        <v>26</v>
      </c>
      <c r="S1156">
        <v>151</v>
      </c>
      <c r="T1156">
        <v>25</v>
      </c>
      <c r="U1156">
        <v>67.8139940671999</v>
      </c>
      <c r="V1156" t="s">
        <v>39</v>
      </c>
      <c r="W1156">
        <v>3.6412418332695902</v>
      </c>
      <c r="X1156" t="s">
        <v>52</v>
      </c>
      <c r="Y1156" t="s">
        <v>60</v>
      </c>
      <c r="Z1156">
        <v>479.837858796202</v>
      </c>
    </row>
    <row r="1157" spans="1:26" x14ac:dyDescent="0.3">
      <c r="A1157" t="s">
        <v>42</v>
      </c>
      <c r="B1157" t="s">
        <v>1213</v>
      </c>
      <c r="C1157">
        <v>26.725968893034601</v>
      </c>
      <c r="D1157">
        <v>12</v>
      </c>
      <c r="E1157">
        <v>564</v>
      </c>
      <c r="F1157">
        <v>5997.36990347146</v>
      </c>
      <c r="G1157" t="s">
        <v>35</v>
      </c>
      <c r="H1157">
        <v>35</v>
      </c>
      <c r="I1157">
        <v>22</v>
      </c>
      <c r="J1157">
        <v>53</v>
      </c>
      <c r="K1157">
        <v>5</v>
      </c>
      <c r="L1157" t="s">
        <v>27</v>
      </c>
      <c r="M1157">
        <v>1.04850172736543</v>
      </c>
      <c r="N1157" t="s">
        <v>57</v>
      </c>
      <c r="O1157" t="s">
        <v>38</v>
      </c>
      <c r="P1157">
        <f>VLOOKUP(O1157, Coordinates!$A$2:$C$6, 2, FALSE)</f>
        <v>25.761700000000001</v>
      </c>
      <c r="Q1157">
        <f>VLOOKUP(O1157, Coordinates!$A$2:$C$6, 3, FALSE)</f>
        <v>-80.191800000000001</v>
      </c>
      <c r="R1157">
        <v>13</v>
      </c>
      <c r="S1157">
        <v>224</v>
      </c>
      <c r="T1157">
        <v>12</v>
      </c>
      <c r="U1157">
        <v>35.827734287916698</v>
      </c>
      <c r="V1157" t="s">
        <v>30</v>
      </c>
      <c r="W1157">
        <v>0.98959015675296902</v>
      </c>
      <c r="X1157" t="s">
        <v>40</v>
      </c>
      <c r="Y1157" t="s">
        <v>32</v>
      </c>
      <c r="Z1157">
        <v>160.763782340934</v>
      </c>
    </row>
    <row r="1158" spans="1:26" x14ac:dyDescent="0.3">
      <c r="A1158" t="s">
        <v>72</v>
      </c>
      <c r="B1158" t="s">
        <v>1214</v>
      </c>
      <c r="C1158">
        <v>37.3992146176749</v>
      </c>
      <c r="D1158">
        <v>18</v>
      </c>
      <c r="E1158">
        <v>113</v>
      </c>
      <c r="F1158">
        <v>3803.50012661754</v>
      </c>
      <c r="G1158" t="s">
        <v>26</v>
      </c>
      <c r="H1158">
        <v>64</v>
      </c>
      <c r="I1158">
        <v>15</v>
      </c>
      <c r="J1158">
        <v>89</v>
      </c>
      <c r="K1158">
        <v>7</v>
      </c>
      <c r="L1158" t="s">
        <v>27</v>
      </c>
      <c r="M1158">
        <v>7.6445614014507797</v>
      </c>
      <c r="N1158" t="s">
        <v>37</v>
      </c>
      <c r="O1158" t="s">
        <v>29</v>
      </c>
      <c r="P1158">
        <f>VLOOKUP(O1158, Coordinates!$A$2:$C$6, 2, FALSE)</f>
        <v>29.760400000000001</v>
      </c>
      <c r="Q1158">
        <f>VLOOKUP(O1158, Coordinates!$A$2:$C$6, 3, FALSE)</f>
        <v>-95.369799999999998</v>
      </c>
      <c r="R1158">
        <v>16</v>
      </c>
      <c r="S1158">
        <v>361</v>
      </c>
      <c r="T1158">
        <v>27</v>
      </c>
      <c r="U1158">
        <v>81.348402370000002</v>
      </c>
      <c r="V1158" t="s">
        <v>30</v>
      </c>
      <c r="W1158">
        <v>2.3077676230336799</v>
      </c>
      <c r="X1158" t="s">
        <v>31</v>
      </c>
      <c r="Y1158" t="s">
        <v>41</v>
      </c>
      <c r="Z1158">
        <v>454.83678911604102</v>
      </c>
    </row>
    <row r="1159" spans="1:26" x14ac:dyDescent="0.3">
      <c r="A1159" t="s">
        <v>42</v>
      </c>
      <c r="B1159" t="s">
        <v>1215</v>
      </c>
      <c r="C1159">
        <v>19.076903181844798</v>
      </c>
      <c r="D1159">
        <v>66</v>
      </c>
      <c r="E1159">
        <v>300</v>
      </c>
      <c r="F1159">
        <v>8245.1592390000005</v>
      </c>
      <c r="G1159" t="s">
        <v>26</v>
      </c>
      <c r="H1159">
        <v>97</v>
      </c>
      <c r="I1159">
        <v>29</v>
      </c>
      <c r="J1159">
        <v>65</v>
      </c>
      <c r="K1159">
        <v>9</v>
      </c>
      <c r="L1159" t="s">
        <v>27</v>
      </c>
      <c r="M1159">
        <v>3.8037604864979202</v>
      </c>
      <c r="N1159" t="s">
        <v>51</v>
      </c>
      <c r="O1159" t="s">
        <v>58</v>
      </c>
      <c r="P1159">
        <f>VLOOKUP(O1159, Coordinates!$A$2:$C$6, 2, FALSE)</f>
        <v>34.052199999999999</v>
      </c>
      <c r="Q1159">
        <f>VLOOKUP(O1159, Coordinates!$A$2:$C$6, 3, FALSE)</f>
        <v>-118.2437</v>
      </c>
      <c r="R1159">
        <v>29</v>
      </c>
      <c r="S1159">
        <v>984</v>
      </c>
      <c r="T1159">
        <v>20</v>
      </c>
      <c r="U1159">
        <v>70.778043260717098</v>
      </c>
      <c r="V1159" t="s">
        <v>55</v>
      </c>
      <c r="W1159">
        <v>3.4645028026951499</v>
      </c>
      <c r="X1159" t="s">
        <v>46</v>
      </c>
      <c r="Y1159" t="s">
        <v>41</v>
      </c>
      <c r="Z1159">
        <v>897.51916958985396</v>
      </c>
    </row>
    <row r="1160" spans="1:26" x14ac:dyDescent="0.3">
      <c r="A1160" t="s">
        <v>82</v>
      </c>
      <c r="B1160" t="s">
        <v>1216</v>
      </c>
      <c r="C1160">
        <v>69.557243080000006</v>
      </c>
      <c r="D1160">
        <v>74</v>
      </c>
      <c r="E1160">
        <v>10</v>
      </c>
      <c r="F1160">
        <v>4328.9976308331197</v>
      </c>
      <c r="G1160" t="s">
        <v>35</v>
      </c>
      <c r="H1160">
        <v>46</v>
      </c>
      <c r="I1160">
        <v>25</v>
      </c>
      <c r="J1160">
        <v>19</v>
      </c>
      <c r="K1160">
        <v>8</v>
      </c>
      <c r="L1160" t="s">
        <v>44</v>
      </c>
      <c r="M1160">
        <v>5.5371404283660999</v>
      </c>
      <c r="N1160" t="s">
        <v>51</v>
      </c>
      <c r="O1160" t="s">
        <v>29</v>
      </c>
      <c r="P1160">
        <f>VLOOKUP(O1160, Coordinates!$A$2:$C$6, 2, FALSE)</f>
        <v>29.760400000000001</v>
      </c>
      <c r="Q1160">
        <f>VLOOKUP(O1160, Coordinates!$A$2:$C$6, 3, FALSE)</f>
        <v>-95.369799999999998</v>
      </c>
      <c r="R1160">
        <v>13</v>
      </c>
      <c r="S1160">
        <v>879</v>
      </c>
      <c r="T1160">
        <v>9</v>
      </c>
      <c r="U1160">
        <v>50.529212933199297</v>
      </c>
      <c r="V1160" t="s">
        <v>55</v>
      </c>
      <c r="W1160">
        <v>4.8245283141293003</v>
      </c>
      <c r="X1160" t="s">
        <v>40</v>
      </c>
      <c r="Y1160" t="s">
        <v>41</v>
      </c>
      <c r="Z1160">
        <v>106.995162420819</v>
      </c>
    </row>
    <row r="1161" spans="1:26" x14ac:dyDescent="0.3">
      <c r="A1161" t="s">
        <v>82</v>
      </c>
      <c r="B1161" t="s">
        <v>1217</v>
      </c>
      <c r="C1161">
        <v>26.364570597511602</v>
      </c>
      <c r="D1161">
        <v>79</v>
      </c>
      <c r="E1161">
        <v>554</v>
      </c>
      <c r="F1161">
        <v>6836.8074313000798</v>
      </c>
      <c r="G1161" t="s">
        <v>26</v>
      </c>
      <c r="H1161">
        <v>80</v>
      </c>
      <c r="I1161">
        <v>25</v>
      </c>
      <c r="J1161">
        <v>32</v>
      </c>
      <c r="K1161">
        <v>7</v>
      </c>
      <c r="L1161" t="s">
        <v>27</v>
      </c>
      <c r="M1161">
        <v>14.703418875948699</v>
      </c>
      <c r="N1161" t="s">
        <v>28</v>
      </c>
      <c r="O1161" t="s">
        <v>65</v>
      </c>
      <c r="P1161">
        <f>VLOOKUP(O1161, Coordinates!$A$2:$C$6, 2, FALSE)</f>
        <v>41.878100000000003</v>
      </c>
      <c r="Q1161">
        <f>VLOOKUP(O1161, Coordinates!$A$2:$C$6, 3, FALSE)</f>
        <v>-87.629800000000003</v>
      </c>
      <c r="R1161">
        <v>23</v>
      </c>
      <c r="S1161">
        <v>674</v>
      </c>
      <c r="T1161">
        <v>23</v>
      </c>
      <c r="U1161">
        <v>31.165273096298201</v>
      </c>
      <c r="V1161" t="s">
        <v>55</v>
      </c>
      <c r="W1161">
        <v>3.94760810238974</v>
      </c>
      <c r="X1161" t="s">
        <v>46</v>
      </c>
      <c r="Y1161" t="s">
        <v>32</v>
      </c>
      <c r="Z1161">
        <v>905.77308328643301</v>
      </c>
    </row>
    <row r="1162" spans="1:26" x14ac:dyDescent="0.3">
      <c r="A1162" t="s">
        <v>42</v>
      </c>
      <c r="B1162" t="s">
        <v>1218</v>
      </c>
      <c r="C1162">
        <v>45.981161633536999</v>
      </c>
      <c r="D1162">
        <v>94</v>
      </c>
      <c r="E1162">
        <v>685</v>
      </c>
      <c r="F1162">
        <v>7528.5064149564896</v>
      </c>
      <c r="G1162" t="s">
        <v>54</v>
      </c>
      <c r="H1162">
        <v>38</v>
      </c>
      <c r="I1162">
        <v>3</v>
      </c>
      <c r="J1162">
        <v>57</v>
      </c>
      <c r="K1162">
        <v>1</v>
      </c>
      <c r="L1162" t="s">
        <v>44</v>
      </c>
      <c r="M1162">
        <v>2.1970274095664699</v>
      </c>
      <c r="N1162" t="s">
        <v>45</v>
      </c>
      <c r="O1162" t="s">
        <v>38</v>
      </c>
      <c r="P1162">
        <f>VLOOKUP(O1162, Coordinates!$A$2:$C$6, 2, FALSE)</f>
        <v>25.761700000000001</v>
      </c>
      <c r="Q1162">
        <f>VLOOKUP(O1162, Coordinates!$A$2:$C$6, 3, FALSE)</f>
        <v>-80.191800000000001</v>
      </c>
      <c r="R1162">
        <v>26</v>
      </c>
      <c r="S1162">
        <v>647</v>
      </c>
      <c r="T1162">
        <v>4</v>
      </c>
      <c r="U1162">
        <v>22.3865199609582</v>
      </c>
      <c r="V1162" t="s">
        <v>55</v>
      </c>
      <c r="W1162">
        <v>4.9411200062055096</v>
      </c>
      <c r="X1162" t="s">
        <v>40</v>
      </c>
      <c r="Y1162" t="s">
        <v>41</v>
      </c>
      <c r="Z1162">
        <v>691.055014941065</v>
      </c>
    </row>
    <row r="1163" spans="1:26" x14ac:dyDescent="0.3">
      <c r="A1163" t="s">
        <v>72</v>
      </c>
      <c r="B1163" t="s">
        <v>1219</v>
      </c>
      <c r="C1163">
        <v>35.852771746298203</v>
      </c>
      <c r="D1163">
        <v>17</v>
      </c>
      <c r="E1163">
        <v>872</v>
      </c>
      <c r="F1163">
        <v>28137.255266494802</v>
      </c>
      <c r="G1163" t="s">
        <v>48</v>
      </c>
      <c r="H1163">
        <v>37</v>
      </c>
      <c r="I1163">
        <v>30</v>
      </c>
      <c r="J1163">
        <v>61</v>
      </c>
      <c r="K1163">
        <v>10</v>
      </c>
      <c r="L1163" t="s">
        <v>36</v>
      </c>
      <c r="M1163">
        <v>11.114810586353</v>
      </c>
      <c r="N1163" t="s">
        <v>57</v>
      </c>
      <c r="O1163" t="s">
        <v>29</v>
      </c>
      <c r="P1163">
        <f>VLOOKUP(O1163, Coordinates!$A$2:$C$6, 2, FALSE)</f>
        <v>29.760400000000001</v>
      </c>
      <c r="Q1163">
        <f>VLOOKUP(O1163, Coordinates!$A$2:$C$6, 3, FALSE)</f>
        <v>-95.369799999999998</v>
      </c>
      <c r="R1163">
        <v>7</v>
      </c>
      <c r="S1163">
        <v>620</v>
      </c>
      <c r="T1163">
        <v>28</v>
      </c>
      <c r="U1163">
        <v>81.673806717477902</v>
      </c>
      <c r="V1163" t="s">
        <v>30</v>
      </c>
      <c r="W1163">
        <v>1.3635092490177001</v>
      </c>
      <c r="X1163" t="s">
        <v>31</v>
      </c>
      <c r="Y1163" t="s">
        <v>60</v>
      </c>
      <c r="Z1163">
        <v>996.070260341986</v>
      </c>
    </row>
    <row r="1164" spans="1:26" x14ac:dyDescent="0.3">
      <c r="A1164" t="s">
        <v>42</v>
      </c>
      <c r="B1164" t="s">
        <v>1220</v>
      </c>
      <c r="C1164">
        <v>58.515840993139399</v>
      </c>
      <c r="D1164">
        <v>68</v>
      </c>
      <c r="E1164">
        <v>799</v>
      </c>
      <c r="F1164">
        <v>8962.0748650000005</v>
      </c>
      <c r="G1164" t="s">
        <v>48</v>
      </c>
      <c r="H1164">
        <v>43</v>
      </c>
      <c r="I1164">
        <v>24</v>
      </c>
      <c r="J1164">
        <v>24</v>
      </c>
      <c r="K1164">
        <v>6</v>
      </c>
      <c r="L1164" t="s">
        <v>44</v>
      </c>
      <c r="M1164">
        <v>3.4212277861922198</v>
      </c>
      <c r="N1164" t="s">
        <v>57</v>
      </c>
      <c r="O1164" t="s">
        <v>29</v>
      </c>
      <c r="P1164">
        <f>VLOOKUP(O1164, Coordinates!$A$2:$C$6, 2, FALSE)</f>
        <v>29.760400000000001</v>
      </c>
      <c r="Q1164">
        <f>VLOOKUP(O1164, Coordinates!$A$2:$C$6, 3, FALSE)</f>
        <v>-95.369799999999998</v>
      </c>
      <c r="R1164">
        <v>2</v>
      </c>
      <c r="S1164">
        <v>429</v>
      </c>
      <c r="T1164">
        <v>18</v>
      </c>
      <c r="U1164">
        <v>75.299494618681607</v>
      </c>
      <c r="V1164" t="s">
        <v>30</v>
      </c>
      <c r="W1164">
        <v>0.394119477</v>
      </c>
      <c r="X1164" t="s">
        <v>46</v>
      </c>
      <c r="Y1164" t="s">
        <v>32</v>
      </c>
      <c r="Z1164">
        <v>924.50588903187997</v>
      </c>
    </row>
    <row r="1165" spans="1:26" x14ac:dyDescent="0.3">
      <c r="A1165" t="s">
        <v>72</v>
      </c>
      <c r="B1165" t="s">
        <v>1221</v>
      </c>
      <c r="C1165">
        <v>30.614615506776101</v>
      </c>
      <c r="D1165">
        <v>71</v>
      </c>
      <c r="E1165">
        <v>207</v>
      </c>
      <c r="F1165">
        <v>5703.5028689123901</v>
      </c>
      <c r="G1165" t="s">
        <v>35</v>
      </c>
      <c r="H1165">
        <v>50</v>
      </c>
      <c r="I1165">
        <v>13</v>
      </c>
      <c r="J1165">
        <v>64</v>
      </c>
      <c r="K1165">
        <v>10</v>
      </c>
      <c r="L1165" t="s">
        <v>36</v>
      </c>
      <c r="M1165">
        <v>1.1036187529460699</v>
      </c>
      <c r="N1165" t="s">
        <v>45</v>
      </c>
      <c r="O1165" t="s">
        <v>38</v>
      </c>
      <c r="P1165">
        <f>VLOOKUP(O1165, Coordinates!$A$2:$C$6, 2, FALSE)</f>
        <v>25.761700000000001</v>
      </c>
      <c r="Q1165">
        <f>VLOOKUP(O1165, Coordinates!$A$2:$C$6, 3, FALSE)</f>
        <v>-80.191800000000001</v>
      </c>
      <c r="R1165">
        <v>26</v>
      </c>
      <c r="S1165">
        <v>422</v>
      </c>
      <c r="T1165">
        <v>16</v>
      </c>
      <c r="U1165">
        <v>75.021383232772806</v>
      </c>
      <c r="V1165" t="s">
        <v>39</v>
      </c>
      <c r="W1165">
        <v>3.81167468543455</v>
      </c>
      <c r="X1165" t="s">
        <v>31</v>
      </c>
      <c r="Y1165" t="s">
        <v>41</v>
      </c>
      <c r="Z1165">
        <v>882.05714237080394</v>
      </c>
    </row>
    <row r="1166" spans="1:26" x14ac:dyDescent="0.3">
      <c r="A1166" t="s">
        <v>72</v>
      </c>
      <c r="B1166" t="s">
        <v>1222</v>
      </c>
      <c r="C1166">
        <v>23.385795867036698</v>
      </c>
      <c r="D1166">
        <v>62</v>
      </c>
      <c r="E1166">
        <v>329</v>
      </c>
      <c r="F1166">
        <v>6924.5341562295798</v>
      </c>
      <c r="G1166" t="s">
        <v>48</v>
      </c>
      <c r="H1166">
        <v>96</v>
      </c>
      <c r="I1166">
        <v>4</v>
      </c>
      <c r="J1166">
        <v>52</v>
      </c>
      <c r="K1166">
        <v>9</v>
      </c>
      <c r="L1166" t="s">
        <v>44</v>
      </c>
      <c r="M1166">
        <v>8.0198619238706002</v>
      </c>
      <c r="N1166" t="s">
        <v>51</v>
      </c>
      <c r="O1166" t="s">
        <v>65</v>
      </c>
      <c r="P1166">
        <f>VLOOKUP(O1166, Coordinates!$A$2:$C$6, 2, FALSE)</f>
        <v>41.878100000000003</v>
      </c>
      <c r="Q1166">
        <f>VLOOKUP(O1166, Coordinates!$A$2:$C$6, 3, FALSE)</f>
        <v>-87.629800000000003</v>
      </c>
      <c r="R1166">
        <v>26</v>
      </c>
      <c r="S1166">
        <v>340</v>
      </c>
      <c r="T1166">
        <v>29</v>
      </c>
      <c r="U1166">
        <v>83.582257540039393</v>
      </c>
      <c r="V1166" t="s">
        <v>30</v>
      </c>
      <c r="W1166">
        <v>1.2534148243422301</v>
      </c>
      <c r="X1166" t="s">
        <v>31</v>
      </c>
      <c r="Y1166" t="s">
        <v>60</v>
      </c>
      <c r="Z1166">
        <v>133.758820729494</v>
      </c>
    </row>
    <row r="1167" spans="1:26" x14ac:dyDescent="0.3">
      <c r="A1167" t="s">
        <v>24</v>
      </c>
      <c r="B1167" t="s">
        <v>1223</v>
      </c>
      <c r="C1167">
        <v>36.820919729659799</v>
      </c>
      <c r="D1167">
        <v>41</v>
      </c>
      <c r="E1167">
        <v>829</v>
      </c>
      <c r="F1167">
        <v>27472.088210299102</v>
      </c>
      <c r="G1167" t="s">
        <v>26</v>
      </c>
      <c r="H1167">
        <v>84</v>
      </c>
      <c r="I1167">
        <v>23</v>
      </c>
      <c r="J1167">
        <v>59</v>
      </c>
      <c r="K1167">
        <v>7</v>
      </c>
      <c r="L1167" t="s">
        <v>44</v>
      </c>
      <c r="M1167">
        <v>3.2570141826357002</v>
      </c>
      <c r="N1167" t="s">
        <v>45</v>
      </c>
      <c r="O1167" t="s">
        <v>38</v>
      </c>
      <c r="P1167">
        <f>VLOOKUP(O1167, Coordinates!$A$2:$C$6, 2, FALSE)</f>
        <v>25.761700000000001</v>
      </c>
      <c r="Q1167">
        <f>VLOOKUP(O1167, Coordinates!$A$2:$C$6, 3, FALSE)</f>
        <v>-80.191800000000001</v>
      </c>
      <c r="R1167">
        <v>29</v>
      </c>
      <c r="S1167">
        <v>384</v>
      </c>
      <c r="T1167">
        <v>21</v>
      </c>
      <c r="U1167">
        <v>87.260281243804101</v>
      </c>
      <c r="V1167" t="s">
        <v>39</v>
      </c>
      <c r="W1167">
        <v>4.9048195257709901</v>
      </c>
      <c r="X1167" t="s">
        <v>46</v>
      </c>
      <c r="Y1167" t="s">
        <v>60</v>
      </c>
      <c r="Z1167">
        <v>352.22312430753698</v>
      </c>
    </row>
    <row r="1168" spans="1:26" x14ac:dyDescent="0.3">
      <c r="A1168" t="s">
        <v>33</v>
      </c>
      <c r="B1168" t="s">
        <v>1224</v>
      </c>
      <c r="C1168">
        <v>18.6623632799073</v>
      </c>
      <c r="D1168">
        <v>95</v>
      </c>
      <c r="E1168">
        <v>789</v>
      </c>
      <c r="F1168">
        <v>9480.7084410000007</v>
      </c>
      <c r="G1168" t="s">
        <v>26</v>
      </c>
      <c r="H1168">
        <v>25</v>
      </c>
      <c r="I1168">
        <v>22</v>
      </c>
      <c r="J1168">
        <v>15</v>
      </c>
      <c r="K1168">
        <v>1</v>
      </c>
      <c r="L1168" t="s">
        <v>36</v>
      </c>
      <c r="M1168">
        <v>14.516527583742</v>
      </c>
      <c r="N1168" t="s">
        <v>57</v>
      </c>
      <c r="O1168" t="s">
        <v>65</v>
      </c>
      <c r="P1168">
        <f>VLOOKUP(O1168, Coordinates!$A$2:$C$6, 2, FALSE)</f>
        <v>41.878100000000003</v>
      </c>
      <c r="Q1168">
        <f>VLOOKUP(O1168, Coordinates!$A$2:$C$6, 3, FALSE)</f>
        <v>-87.629800000000003</v>
      </c>
      <c r="R1168">
        <v>24</v>
      </c>
      <c r="S1168">
        <v>938</v>
      </c>
      <c r="T1168">
        <v>24</v>
      </c>
      <c r="U1168">
        <v>40.457412198559801</v>
      </c>
      <c r="V1168" t="s">
        <v>39</v>
      </c>
      <c r="W1168">
        <v>1.0682462538331801</v>
      </c>
      <c r="X1168" t="s">
        <v>31</v>
      </c>
      <c r="Y1168" t="s">
        <v>41</v>
      </c>
      <c r="Z1168">
        <v>437.26937219993698</v>
      </c>
    </row>
    <row r="1169" spans="1:26" x14ac:dyDescent="0.3">
      <c r="A1169" t="s">
        <v>72</v>
      </c>
      <c r="B1169" t="s">
        <v>1225</v>
      </c>
      <c r="C1169">
        <v>21.8789411741317</v>
      </c>
      <c r="D1169">
        <v>34</v>
      </c>
      <c r="E1169">
        <v>248</v>
      </c>
      <c r="F1169">
        <v>4883.3796700000003</v>
      </c>
      <c r="G1169" t="s">
        <v>54</v>
      </c>
      <c r="H1169">
        <v>35</v>
      </c>
      <c r="I1169">
        <v>8</v>
      </c>
      <c r="J1169">
        <v>42</v>
      </c>
      <c r="K1169">
        <v>9</v>
      </c>
      <c r="L1169" t="s">
        <v>44</v>
      </c>
      <c r="M1169">
        <v>3.8517543195301398</v>
      </c>
      <c r="N1169" t="s">
        <v>45</v>
      </c>
      <c r="O1169" t="s">
        <v>38</v>
      </c>
      <c r="P1169">
        <f>VLOOKUP(O1169, Coordinates!$A$2:$C$6, 2, FALSE)</f>
        <v>25.761700000000001</v>
      </c>
      <c r="Q1169">
        <f>VLOOKUP(O1169, Coordinates!$A$2:$C$6, 3, FALSE)</f>
        <v>-80.191800000000001</v>
      </c>
      <c r="R1169">
        <v>30</v>
      </c>
      <c r="S1169">
        <v>701</v>
      </c>
      <c r="T1169">
        <v>10</v>
      </c>
      <c r="U1169">
        <v>77.453897256791706</v>
      </c>
      <c r="V1169" t="s">
        <v>39</v>
      </c>
      <c r="W1169">
        <v>4.8020298685241496</v>
      </c>
      <c r="X1169" t="s">
        <v>40</v>
      </c>
      <c r="Y1169" t="s">
        <v>32</v>
      </c>
      <c r="Z1169">
        <v>729.84032951705206</v>
      </c>
    </row>
    <row r="1170" spans="1:26" x14ac:dyDescent="0.3">
      <c r="A1170" t="s">
        <v>49</v>
      </c>
      <c r="B1170" t="s">
        <v>1226</v>
      </c>
      <c r="C1170">
        <v>90.856969320000005</v>
      </c>
      <c r="D1170">
        <v>70</v>
      </c>
      <c r="E1170">
        <v>331</v>
      </c>
      <c r="F1170">
        <v>2872.2210650000002</v>
      </c>
      <c r="G1170" t="s">
        <v>48</v>
      </c>
      <c r="H1170">
        <v>68</v>
      </c>
      <c r="I1170">
        <v>22</v>
      </c>
      <c r="J1170">
        <v>71</v>
      </c>
      <c r="K1170">
        <v>3</v>
      </c>
      <c r="L1170" t="s">
        <v>36</v>
      </c>
      <c r="M1170">
        <v>3.6884938360000001</v>
      </c>
      <c r="N1170" t="s">
        <v>51</v>
      </c>
      <c r="O1170" t="s">
        <v>58</v>
      </c>
      <c r="P1170">
        <f>VLOOKUP(O1170, Coordinates!$A$2:$C$6, 2, FALSE)</f>
        <v>34.052199999999999</v>
      </c>
      <c r="Q1170">
        <f>VLOOKUP(O1170, Coordinates!$A$2:$C$6, 3, FALSE)</f>
        <v>-118.2437</v>
      </c>
      <c r="R1170">
        <v>24</v>
      </c>
      <c r="S1170">
        <v>363</v>
      </c>
      <c r="T1170">
        <v>26</v>
      </c>
      <c r="U1170">
        <v>69.412916768237096</v>
      </c>
      <c r="V1170" t="s">
        <v>55</v>
      </c>
      <c r="W1170">
        <v>1.5033934789180501</v>
      </c>
      <c r="X1170" t="s">
        <v>40</v>
      </c>
      <c r="Y1170" t="s">
        <v>60</v>
      </c>
      <c r="Z1170">
        <v>683.77671250786398</v>
      </c>
    </row>
    <row r="1171" spans="1:26" x14ac:dyDescent="0.3">
      <c r="A1171" t="s">
        <v>72</v>
      </c>
      <c r="B1171" t="s">
        <v>1227</v>
      </c>
      <c r="C1171">
        <v>37.749173715139797</v>
      </c>
      <c r="D1171">
        <v>45</v>
      </c>
      <c r="E1171">
        <v>991</v>
      </c>
      <c r="F1171">
        <v>33668.488036533199</v>
      </c>
      <c r="G1171" t="s">
        <v>35</v>
      </c>
      <c r="H1171">
        <v>96</v>
      </c>
      <c r="I1171">
        <v>4</v>
      </c>
      <c r="J1171">
        <v>64</v>
      </c>
      <c r="K1171">
        <v>9</v>
      </c>
      <c r="L1171" t="s">
        <v>27</v>
      </c>
      <c r="M1171">
        <v>1.4503369452517301</v>
      </c>
      <c r="N1171" t="s">
        <v>28</v>
      </c>
      <c r="O1171" t="s">
        <v>58</v>
      </c>
      <c r="P1171">
        <f>VLOOKUP(O1171, Coordinates!$A$2:$C$6, 2, FALSE)</f>
        <v>34.052199999999999</v>
      </c>
      <c r="Q1171">
        <f>VLOOKUP(O1171, Coordinates!$A$2:$C$6, 3, FALSE)</f>
        <v>-118.2437</v>
      </c>
      <c r="R1171">
        <v>5</v>
      </c>
      <c r="S1171">
        <v>398</v>
      </c>
      <c r="T1171">
        <v>22</v>
      </c>
      <c r="U1171">
        <v>88.143298019762199</v>
      </c>
      <c r="V1171" t="s">
        <v>30</v>
      </c>
      <c r="W1171">
        <v>0.62793034313379303</v>
      </c>
      <c r="X1171" t="s">
        <v>40</v>
      </c>
      <c r="Y1171" t="s">
        <v>60</v>
      </c>
      <c r="Z1171">
        <v>254.52625002537599</v>
      </c>
    </row>
    <row r="1172" spans="1:26" x14ac:dyDescent="0.3">
      <c r="A1172" t="s">
        <v>72</v>
      </c>
      <c r="B1172" t="s">
        <v>1228</v>
      </c>
      <c r="C1172">
        <v>35.3251280287868</v>
      </c>
      <c r="D1172">
        <v>58</v>
      </c>
      <c r="E1172">
        <v>51</v>
      </c>
      <c r="F1172">
        <v>1621.42337652131</v>
      </c>
      <c r="G1172" t="s">
        <v>26</v>
      </c>
      <c r="H1172">
        <v>0</v>
      </c>
      <c r="I1172">
        <v>18</v>
      </c>
      <c r="J1172">
        <v>48</v>
      </c>
      <c r="K1172">
        <v>4</v>
      </c>
      <c r="L1172" t="s">
        <v>36</v>
      </c>
      <c r="M1172">
        <v>5.6174749415047502</v>
      </c>
      <c r="N1172" t="s">
        <v>51</v>
      </c>
      <c r="O1172" t="s">
        <v>58</v>
      </c>
      <c r="P1172">
        <f>VLOOKUP(O1172, Coordinates!$A$2:$C$6, 2, FALSE)</f>
        <v>34.052199999999999</v>
      </c>
      <c r="Q1172">
        <f>VLOOKUP(O1172, Coordinates!$A$2:$C$6, 3, FALSE)</f>
        <v>-118.2437</v>
      </c>
      <c r="R1172">
        <v>29</v>
      </c>
      <c r="S1172">
        <v>304</v>
      </c>
      <c r="T1172">
        <v>12</v>
      </c>
      <c r="U1172">
        <v>82.314853409999998</v>
      </c>
      <c r="V1172" t="s">
        <v>39</v>
      </c>
      <c r="W1172">
        <v>1.38917491909147</v>
      </c>
      <c r="X1172" t="s">
        <v>31</v>
      </c>
      <c r="Y1172" t="s">
        <v>60</v>
      </c>
      <c r="Z1172">
        <v>763.15217952170701</v>
      </c>
    </row>
    <row r="1173" spans="1:26" x14ac:dyDescent="0.3">
      <c r="A1173" t="s">
        <v>72</v>
      </c>
      <c r="B1173" t="s">
        <v>1229</v>
      </c>
      <c r="C1173">
        <v>36.069100647499603</v>
      </c>
      <c r="D1173">
        <v>51</v>
      </c>
      <c r="E1173">
        <v>765</v>
      </c>
      <c r="F1173">
        <v>24833.575795803499</v>
      </c>
      <c r="G1173" t="s">
        <v>35</v>
      </c>
      <c r="H1173">
        <v>52</v>
      </c>
      <c r="I1173">
        <v>7</v>
      </c>
      <c r="J1173">
        <v>21</v>
      </c>
      <c r="K1173">
        <v>9</v>
      </c>
      <c r="L1173" t="s">
        <v>44</v>
      </c>
      <c r="M1173">
        <v>1.33756344900598</v>
      </c>
      <c r="N1173" t="s">
        <v>37</v>
      </c>
      <c r="O1173" t="s">
        <v>65</v>
      </c>
      <c r="P1173">
        <f>VLOOKUP(O1173, Coordinates!$A$2:$C$6, 2, FALSE)</f>
        <v>41.878100000000003</v>
      </c>
      <c r="Q1173">
        <f>VLOOKUP(O1173, Coordinates!$A$2:$C$6, 3, FALSE)</f>
        <v>-87.629800000000003</v>
      </c>
      <c r="R1173">
        <v>20</v>
      </c>
      <c r="S1173">
        <v>390</v>
      </c>
      <c r="T1173">
        <v>30</v>
      </c>
      <c r="U1173">
        <v>88.459957793068895</v>
      </c>
      <c r="V1173" t="s">
        <v>30</v>
      </c>
      <c r="W1173">
        <v>3.4420591364102799</v>
      </c>
      <c r="X1173" t="s">
        <v>46</v>
      </c>
      <c r="Y1173" t="s">
        <v>60</v>
      </c>
      <c r="Z1173">
        <v>240.06519352071899</v>
      </c>
    </row>
    <row r="1174" spans="1:26" x14ac:dyDescent="0.3">
      <c r="A1174" t="s">
        <v>24</v>
      </c>
      <c r="B1174" t="s">
        <v>1230</v>
      </c>
      <c r="C1174">
        <v>27.543938401375001</v>
      </c>
      <c r="D1174">
        <v>34</v>
      </c>
      <c r="E1174">
        <v>595</v>
      </c>
      <c r="F1174">
        <v>14749.779013936301</v>
      </c>
      <c r="G1174" t="s">
        <v>26</v>
      </c>
      <c r="H1174">
        <v>5</v>
      </c>
      <c r="I1174">
        <v>11</v>
      </c>
      <c r="J1174">
        <v>40</v>
      </c>
      <c r="K1174">
        <v>8</v>
      </c>
      <c r="L1174" t="s">
        <v>27</v>
      </c>
      <c r="M1174">
        <v>7.9844128934037704</v>
      </c>
      <c r="N1174" t="s">
        <v>37</v>
      </c>
      <c r="O1174" t="s">
        <v>29</v>
      </c>
      <c r="P1174">
        <f>VLOOKUP(O1174, Coordinates!$A$2:$C$6, 2, FALSE)</f>
        <v>29.760400000000001</v>
      </c>
      <c r="Q1174">
        <f>VLOOKUP(O1174, Coordinates!$A$2:$C$6, 3, FALSE)</f>
        <v>-95.369799999999998</v>
      </c>
      <c r="R1174">
        <v>10</v>
      </c>
      <c r="S1174">
        <v>310</v>
      </c>
      <c r="T1174">
        <v>28</v>
      </c>
      <c r="U1174">
        <v>80.021945587141104</v>
      </c>
      <c r="V1174" t="s">
        <v>30</v>
      </c>
      <c r="W1174">
        <v>1.1820049991272801</v>
      </c>
      <c r="X1174" t="s">
        <v>31</v>
      </c>
      <c r="Y1174" t="s">
        <v>41</v>
      </c>
      <c r="Z1174">
        <v>510.789874329702</v>
      </c>
    </row>
    <row r="1175" spans="1:26" x14ac:dyDescent="0.3">
      <c r="A1175" t="s">
        <v>24</v>
      </c>
      <c r="B1175" t="s">
        <v>1231</v>
      </c>
      <c r="C1175">
        <v>21.699237472586201</v>
      </c>
      <c r="D1175">
        <v>44</v>
      </c>
      <c r="E1175">
        <v>626</v>
      </c>
      <c r="F1175">
        <v>12225.350392055099</v>
      </c>
      <c r="G1175" t="s">
        <v>26</v>
      </c>
      <c r="H1175">
        <v>36</v>
      </c>
      <c r="I1175">
        <v>29</v>
      </c>
      <c r="J1175">
        <v>83</v>
      </c>
      <c r="K1175">
        <v>7</v>
      </c>
      <c r="L1175" t="s">
        <v>44</v>
      </c>
      <c r="M1175">
        <v>8.0785489995837203</v>
      </c>
      <c r="N1175" t="s">
        <v>45</v>
      </c>
      <c r="O1175" t="s">
        <v>38</v>
      </c>
      <c r="P1175">
        <f>VLOOKUP(O1175, Coordinates!$A$2:$C$6, 2, FALSE)</f>
        <v>25.761700000000001</v>
      </c>
      <c r="Q1175">
        <f>VLOOKUP(O1175, Coordinates!$A$2:$C$6, 3, FALSE)</f>
        <v>-80.191800000000001</v>
      </c>
      <c r="R1175">
        <v>29</v>
      </c>
      <c r="S1175">
        <v>465</v>
      </c>
      <c r="T1175">
        <v>11</v>
      </c>
      <c r="U1175">
        <v>90.492927688004002</v>
      </c>
      <c r="V1175" t="s">
        <v>39</v>
      </c>
      <c r="W1175">
        <v>4.6552822042918098</v>
      </c>
      <c r="X1175" t="s">
        <v>31</v>
      </c>
      <c r="Y1175" t="s">
        <v>32</v>
      </c>
      <c r="Z1175">
        <v>620.86556365647095</v>
      </c>
    </row>
    <row r="1176" spans="1:26" x14ac:dyDescent="0.3">
      <c r="A1176" t="s">
        <v>82</v>
      </c>
      <c r="B1176" t="s">
        <v>1232</v>
      </c>
      <c r="C1176">
        <v>56.728048059676603</v>
      </c>
      <c r="D1176">
        <v>15</v>
      </c>
      <c r="E1176">
        <v>17</v>
      </c>
      <c r="F1176">
        <v>7448.2863637794999</v>
      </c>
      <c r="G1176" t="s">
        <v>54</v>
      </c>
      <c r="H1176">
        <v>1</v>
      </c>
      <c r="I1176">
        <v>27</v>
      </c>
      <c r="J1176">
        <v>62</v>
      </c>
      <c r="K1176">
        <v>4</v>
      </c>
      <c r="L1176" t="s">
        <v>27</v>
      </c>
      <c r="M1176">
        <v>1.7454060188958</v>
      </c>
      <c r="N1176" t="s">
        <v>51</v>
      </c>
      <c r="O1176" t="s">
        <v>65</v>
      </c>
      <c r="P1176">
        <f>VLOOKUP(O1176, Coordinates!$A$2:$C$6, 2, FALSE)</f>
        <v>41.878100000000003</v>
      </c>
      <c r="Q1176">
        <f>VLOOKUP(O1176, Coordinates!$A$2:$C$6, 3, FALSE)</f>
        <v>-87.629800000000003</v>
      </c>
      <c r="R1176">
        <v>3</v>
      </c>
      <c r="S1176">
        <v>889</v>
      </c>
      <c r="T1176">
        <v>5</v>
      </c>
      <c r="U1176">
        <v>20.3360636985749</v>
      </c>
      <c r="V1176" t="s">
        <v>39</v>
      </c>
      <c r="W1176">
        <v>0.33847831092230302</v>
      </c>
      <c r="X1176" t="s">
        <v>40</v>
      </c>
      <c r="Y1176" t="s">
        <v>60</v>
      </c>
      <c r="Z1176">
        <v>883.61416318482304</v>
      </c>
    </row>
    <row r="1177" spans="1:26" x14ac:dyDescent="0.3">
      <c r="A1177" t="s">
        <v>24</v>
      </c>
      <c r="B1177" t="s">
        <v>1233</v>
      </c>
      <c r="C1177">
        <v>34.539086318996802</v>
      </c>
      <c r="D1177">
        <v>78</v>
      </c>
      <c r="E1177">
        <v>911</v>
      </c>
      <c r="F1177">
        <v>28318.596870000001</v>
      </c>
      <c r="G1177" t="s">
        <v>48</v>
      </c>
      <c r="H1177">
        <v>68</v>
      </c>
      <c r="I1177">
        <v>4</v>
      </c>
      <c r="J1177">
        <v>43</v>
      </c>
      <c r="K1177">
        <v>9</v>
      </c>
      <c r="L1177" t="s">
        <v>36</v>
      </c>
      <c r="M1177">
        <v>4.3608718778238202</v>
      </c>
      <c r="N1177" t="s">
        <v>51</v>
      </c>
      <c r="O1177" t="s">
        <v>65</v>
      </c>
      <c r="P1177">
        <f>VLOOKUP(O1177, Coordinates!$A$2:$C$6, 2, FALSE)</f>
        <v>41.878100000000003</v>
      </c>
      <c r="Q1177">
        <f>VLOOKUP(O1177, Coordinates!$A$2:$C$6, 3, FALSE)</f>
        <v>-87.629800000000003</v>
      </c>
      <c r="R1177">
        <v>13</v>
      </c>
      <c r="S1177">
        <v>563</v>
      </c>
      <c r="T1177">
        <v>20</v>
      </c>
      <c r="U1177">
        <v>85.977057239999993</v>
      </c>
      <c r="V1177" t="s">
        <v>55</v>
      </c>
      <c r="W1177">
        <v>2.4998574309851902</v>
      </c>
      <c r="X1177" t="s">
        <v>46</v>
      </c>
      <c r="Y1177" t="s">
        <v>60</v>
      </c>
      <c r="Z1177">
        <v>668.18983205321001</v>
      </c>
    </row>
    <row r="1178" spans="1:26" x14ac:dyDescent="0.3">
      <c r="A1178" t="s">
        <v>49</v>
      </c>
      <c r="B1178" t="s">
        <v>1234</v>
      </c>
      <c r="C1178">
        <v>29.2543622678735</v>
      </c>
      <c r="D1178">
        <v>70</v>
      </c>
      <c r="E1178">
        <v>384</v>
      </c>
      <c r="F1178">
        <v>2901.36625244376</v>
      </c>
      <c r="G1178" t="s">
        <v>54</v>
      </c>
      <c r="H1178">
        <v>89</v>
      </c>
      <c r="I1178">
        <v>13</v>
      </c>
      <c r="J1178">
        <v>50</v>
      </c>
      <c r="K1178">
        <v>4</v>
      </c>
      <c r="L1178" t="s">
        <v>27</v>
      </c>
      <c r="M1178">
        <v>12.649490792020901</v>
      </c>
      <c r="N1178" t="s">
        <v>57</v>
      </c>
      <c r="O1178" t="s">
        <v>67</v>
      </c>
      <c r="P1178">
        <f>VLOOKUP(O1178, Coordinates!$A$2:$C$6, 2, FALSE)</f>
        <v>40.712800000000001</v>
      </c>
      <c r="Q1178">
        <f>VLOOKUP(O1178, Coordinates!$A$2:$C$6, 3, FALSE)</f>
        <v>-74.006</v>
      </c>
      <c r="R1178">
        <v>13</v>
      </c>
      <c r="S1178">
        <v>818</v>
      </c>
      <c r="T1178">
        <v>11</v>
      </c>
      <c r="U1178">
        <v>50.110273381586303</v>
      </c>
      <c r="V1178" t="s">
        <v>30</v>
      </c>
      <c r="W1178">
        <v>4.2099136393613801</v>
      </c>
      <c r="X1178" t="s">
        <v>52</v>
      </c>
      <c r="Y1178" t="s">
        <v>60</v>
      </c>
      <c r="Z1178">
        <v>959.35935265378203</v>
      </c>
    </row>
    <row r="1179" spans="1:26" x14ac:dyDescent="0.3">
      <c r="A1179" t="s">
        <v>49</v>
      </c>
      <c r="B1179" t="s">
        <v>1235</v>
      </c>
      <c r="C1179">
        <v>33.090994029999997</v>
      </c>
      <c r="D1179">
        <v>50</v>
      </c>
      <c r="E1179">
        <v>369</v>
      </c>
      <c r="F1179">
        <v>6694.0933139999997</v>
      </c>
      <c r="G1179" t="s">
        <v>48</v>
      </c>
      <c r="H1179">
        <v>40</v>
      </c>
      <c r="I1179">
        <v>9</v>
      </c>
      <c r="J1179">
        <v>19</v>
      </c>
      <c r="K1179">
        <v>1</v>
      </c>
      <c r="L1179" t="s">
        <v>27</v>
      </c>
      <c r="M1179">
        <v>7.4756268209999996</v>
      </c>
      <c r="N1179" t="s">
        <v>28</v>
      </c>
      <c r="O1179" t="s">
        <v>38</v>
      </c>
      <c r="P1179">
        <f>VLOOKUP(O1179, Coordinates!$A$2:$C$6, 2, FALSE)</f>
        <v>25.761700000000001</v>
      </c>
      <c r="Q1179">
        <f>VLOOKUP(O1179, Coordinates!$A$2:$C$6, 3, FALSE)</f>
        <v>-80.191800000000001</v>
      </c>
      <c r="R1179">
        <v>10</v>
      </c>
      <c r="S1179">
        <v>421</v>
      </c>
      <c r="T1179">
        <v>16</v>
      </c>
      <c r="U1179">
        <v>81.080837221284597</v>
      </c>
      <c r="V1179" t="s">
        <v>55</v>
      </c>
      <c r="W1179">
        <v>0.29508322131870801</v>
      </c>
      <c r="X1179" t="s">
        <v>52</v>
      </c>
      <c r="Y1179" t="s">
        <v>32</v>
      </c>
      <c r="Z1179">
        <v>995.04423789999998</v>
      </c>
    </row>
    <row r="1180" spans="1:26" x14ac:dyDescent="0.3">
      <c r="A1180" t="s">
        <v>24</v>
      </c>
      <c r="B1180" t="s">
        <v>1236</v>
      </c>
      <c r="C1180">
        <v>39.561330211663098</v>
      </c>
      <c r="D1180">
        <v>32</v>
      </c>
      <c r="E1180">
        <v>606</v>
      </c>
      <c r="F1180">
        <v>21576.749497441</v>
      </c>
      <c r="G1180" t="s">
        <v>35</v>
      </c>
      <c r="H1180">
        <v>50</v>
      </c>
      <c r="I1180">
        <v>9</v>
      </c>
      <c r="J1180">
        <v>61</v>
      </c>
      <c r="K1180">
        <v>6</v>
      </c>
      <c r="L1180" t="s">
        <v>27</v>
      </c>
      <c r="M1180">
        <v>7.0845405822008001</v>
      </c>
      <c r="N1180" t="s">
        <v>51</v>
      </c>
      <c r="O1180" t="s">
        <v>38</v>
      </c>
      <c r="P1180">
        <f>VLOOKUP(O1180, Coordinates!$A$2:$C$6, 2, FALSE)</f>
        <v>25.761700000000001</v>
      </c>
      <c r="Q1180">
        <f>VLOOKUP(O1180, Coordinates!$A$2:$C$6, 3, FALSE)</f>
        <v>-80.191800000000001</v>
      </c>
      <c r="R1180">
        <v>29</v>
      </c>
      <c r="S1180">
        <v>457</v>
      </c>
      <c r="T1180">
        <v>15</v>
      </c>
      <c r="U1180">
        <v>85.663898804417599</v>
      </c>
      <c r="V1180" t="s">
        <v>30</v>
      </c>
      <c r="W1180">
        <v>2.71163013619074</v>
      </c>
      <c r="X1180" t="s">
        <v>46</v>
      </c>
      <c r="Y1180" t="s">
        <v>60</v>
      </c>
      <c r="Z1180">
        <v>557.94020774674595</v>
      </c>
    </row>
    <row r="1181" spans="1:26" x14ac:dyDescent="0.3">
      <c r="A1181" t="s">
        <v>42</v>
      </c>
      <c r="B1181" t="s">
        <v>1237</v>
      </c>
      <c r="C1181">
        <v>8.1169142922177997</v>
      </c>
      <c r="D1181">
        <v>67</v>
      </c>
      <c r="E1181">
        <v>346</v>
      </c>
      <c r="F1181">
        <v>3795.4087425579601</v>
      </c>
      <c r="G1181" t="s">
        <v>48</v>
      </c>
      <c r="H1181">
        <v>46</v>
      </c>
      <c r="I1181">
        <v>23</v>
      </c>
      <c r="J1181">
        <v>84</v>
      </c>
      <c r="K1181">
        <v>4</v>
      </c>
      <c r="L1181" t="s">
        <v>44</v>
      </c>
      <c r="M1181">
        <v>10.7828772630651</v>
      </c>
      <c r="N1181" t="s">
        <v>45</v>
      </c>
      <c r="O1181" t="s">
        <v>38</v>
      </c>
      <c r="P1181">
        <f>VLOOKUP(O1181, Coordinates!$A$2:$C$6, 2, FALSE)</f>
        <v>25.761700000000001</v>
      </c>
      <c r="Q1181">
        <f>VLOOKUP(O1181, Coordinates!$A$2:$C$6, 3, FALSE)</f>
        <v>-80.191800000000001</v>
      </c>
      <c r="R1181">
        <v>26</v>
      </c>
      <c r="S1181">
        <v>193</v>
      </c>
      <c r="T1181">
        <v>6</v>
      </c>
      <c r="U1181">
        <v>58.915742352377599</v>
      </c>
      <c r="V1181" t="s">
        <v>39</v>
      </c>
      <c r="W1181">
        <v>3.8141512856434798</v>
      </c>
      <c r="X1181" t="s">
        <v>46</v>
      </c>
      <c r="Y1181" t="s">
        <v>32</v>
      </c>
      <c r="Z1181">
        <v>146.33182512373099</v>
      </c>
    </row>
    <row r="1182" spans="1:26" x14ac:dyDescent="0.3">
      <c r="A1182" t="s">
        <v>33</v>
      </c>
      <c r="B1182" t="s">
        <v>1238</v>
      </c>
      <c r="C1182">
        <v>65.424034534096904</v>
      </c>
      <c r="D1182">
        <v>3</v>
      </c>
      <c r="E1182">
        <v>864</v>
      </c>
      <c r="F1182">
        <v>5148.7263299128499</v>
      </c>
      <c r="G1182" t="s">
        <v>35</v>
      </c>
      <c r="H1182">
        <v>12</v>
      </c>
      <c r="I1182">
        <v>21</v>
      </c>
      <c r="J1182">
        <v>66</v>
      </c>
      <c r="K1182">
        <v>10</v>
      </c>
      <c r="L1182" t="s">
        <v>27</v>
      </c>
      <c r="M1182">
        <v>11.0083472088498</v>
      </c>
      <c r="N1182" t="s">
        <v>57</v>
      </c>
      <c r="O1182" t="s">
        <v>29</v>
      </c>
      <c r="P1182">
        <f>VLOOKUP(O1182, Coordinates!$A$2:$C$6, 2, FALSE)</f>
        <v>29.760400000000001</v>
      </c>
      <c r="Q1182">
        <f>VLOOKUP(O1182, Coordinates!$A$2:$C$6, 3, FALSE)</f>
        <v>-95.369799999999998</v>
      </c>
      <c r="R1182">
        <v>27</v>
      </c>
      <c r="S1182">
        <v>810</v>
      </c>
      <c r="T1182">
        <v>13</v>
      </c>
      <c r="U1182">
        <v>18.133526984503799</v>
      </c>
      <c r="V1182" t="s">
        <v>30</v>
      </c>
      <c r="W1182">
        <v>2.9623082838942101</v>
      </c>
      <c r="X1182" t="s">
        <v>40</v>
      </c>
      <c r="Y1182" t="s">
        <v>32</v>
      </c>
      <c r="Z1182">
        <v>125.48700992648899</v>
      </c>
    </row>
    <row r="1183" spans="1:26" x14ac:dyDescent="0.3">
      <c r="A1183" t="s">
        <v>24</v>
      </c>
      <c r="B1183" t="s">
        <v>1239</v>
      </c>
      <c r="C1183">
        <v>37.168152806739798</v>
      </c>
      <c r="D1183">
        <v>86</v>
      </c>
      <c r="E1183">
        <v>796</v>
      </c>
      <c r="F1183">
        <v>26627.264670748398</v>
      </c>
      <c r="G1183" t="s">
        <v>26</v>
      </c>
      <c r="H1183">
        <v>75</v>
      </c>
      <c r="I1183">
        <v>19</v>
      </c>
      <c r="J1183">
        <v>87</v>
      </c>
      <c r="K1183">
        <v>3</v>
      </c>
      <c r="L1183" t="s">
        <v>36</v>
      </c>
      <c r="M1183">
        <v>11.667476411139599</v>
      </c>
      <c r="N1183" t="s">
        <v>57</v>
      </c>
      <c r="O1183" t="s">
        <v>58</v>
      </c>
      <c r="P1183">
        <f>VLOOKUP(O1183, Coordinates!$A$2:$C$6, 2, FALSE)</f>
        <v>34.052199999999999</v>
      </c>
      <c r="Q1183">
        <f>VLOOKUP(O1183, Coordinates!$A$2:$C$6, 3, FALSE)</f>
        <v>-118.2437</v>
      </c>
      <c r="R1183">
        <v>28</v>
      </c>
      <c r="S1183">
        <v>962</v>
      </c>
      <c r="T1183">
        <v>16</v>
      </c>
      <c r="U1183">
        <v>84.763173637334901</v>
      </c>
      <c r="V1183" t="s">
        <v>30</v>
      </c>
      <c r="W1183">
        <v>4.3881160178292502</v>
      </c>
      <c r="X1183" t="s">
        <v>46</v>
      </c>
      <c r="Y1183" t="s">
        <v>32</v>
      </c>
      <c r="Z1183">
        <v>870.08334595666395</v>
      </c>
    </row>
    <row r="1184" spans="1:26" x14ac:dyDescent="0.3">
      <c r="A1184" t="s">
        <v>72</v>
      </c>
      <c r="B1184" t="s">
        <v>1240</v>
      </c>
      <c r="C1184">
        <v>36.827764370910998</v>
      </c>
      <c r="D1184">
        <v>86</v>
      </c>
      <c r="E1184">
        <v>225</v>
      </c>
      <c r="F1184">
        <v>7457.6222851094799</v>
      </c>
      <c r="G1184" t="s">
        <v>35</v>
      </c>
      <c r="H1184">
        <v>68</v>
      </c>
      <c r="I1184">
        <v>3</v>
      </c>
      <c r="J1184">
        <v>12</v>
      </c>
      <c r="K1184">
        <v>5</v>
      </c>
      <c r="L1184" t="s">
        <v>36</v>
      </c>
      <c r="M1184">
        <v>12.6267525512067</v>
      </c>
      <c r="N1184" t="s">
        <v>45</v>
      </c>
      <c r="O1184" t="s">
        <v>38</v>
      </c>
      <c r="P1184">
        <f>VLOOKUP(O1184, Coordinates!$A$2:$C$6, 2, FALSE)</f>
        <v>25.761700000000001</v>
      </c>
      <c r="Q1184">
        <f>VLOOKUP(O1184, Coordinates!$A$2:$C$6, 3, FALSE)</f>
        <v>-80.191800000000001</v>
      </c>
      <c r="R1184">
        <v>25</v>
      </c>
      <c r="S1184">
        <v>268</v>
      </c>
      <c r="T1184">
        <v>27</v>
      </c>
      <c r="U1184">
        <v>91.839497139520304</v>
      </c>
      <c r="V1184" t="s">
        <v>39</v>
      </c>
      <c r="W1184">
        <v>3.8246570021461399</v>
      </c>
      <c r="X1184" t="s">
        <v>46</v>
      </c>
      <c r="Y1184" t="s">
        <v>32</v>
      </c>
      <c r="Z1184">
        <v>549.86510791269302</v>
      </c>
    </row>
    <row r="1185" spans="1:26" x14ac:dyDescent="0.3">
      <c r="A1185" t="s">
        <v>61</v>
      </c>
      <c r="B1185" t="s">
        <v>1241</v>
      </c>
      <c r="C1185">
        <v>88.552174219999998</v>
      </c>
      <c r="D1185">
        <v>74</v>
      </c>
      <c r="E1185">
        <v>77</v>
      </c>
      <c r="F1185">
        <v>8590.8501613814406</v>
      </c>
      <c r="G1185" t="s">
        <v>35</v>
      </c>
      <c r="H1185">
        <v>65</v>
      </c>
      <c r="I1185">
        <v>25</v>
      </c>
      <c r="J1185">
        <v>66</v>
      </c>
      <c r="K1185">
        <v>3</v>
      </c>
      <c r="L1185" t="s">
        <v>36</v>
      </c>
      <c r="M1185">
        <v>4.25150904963317</v>
      </c>
      <c r="N1185" t="s">
        <v>45</v>
      </c>
      <c r="O1185" t="s">
        <v>38</v>
      </c>
      <c r="P1185">
        <f>VLOOKUP(O1185, Coordinates!$A$2:$C$6, 2, FALSE)</f>
        <v>25.761700000000001</v>
      </c>
      <c r="Q1185">
        <f>VLOOKUP(O1185, Coordinates!$A$2:$C$6, 3, FALSE)</f>
        <v>-80.191800000000001</v>
      </c>
      <c r="R1185">
        <v>30</v>
      </c>
      <c r="S1185">
        <v>396</v>
      </c>
      <c r="T1185">
        <v>3</v>
      </c>
      <c r="U1185">
        <v>29.007240300150801</v>
      </c>
      <c r="V1185" t="s">
        <v>39</v>
      </c>
      <c r="W1185">
        <v>3.8889572862363702</v>
      </c>
      <c r="X1185" t="s">
        <v>31</v>
      </c>
      <c r="Y1185" t="s">
        <v>41</v>
      </c>
      <c r="Z1185">
        <v>430.114318147912</v>
      </c>
    </row>
    <row r="1186" spans="1:26" x14ac:dyDescent="0.3">
      <c r="A1186" t="s">
        <v>33</v>
      </c>
      <c r="B1186" t="s">
        <v>1242</v>
      </c>
      <c r="C1186">
        <v>48.700227580000004</v>
      </c>
      <c r="D1186">
        <v>51</v>
      </c>
      <c r="E1186">
        <v>889</v>
      </c>
      <c r="F1186">
        <v>7855.6843582256397</v>
      </c>
      <c r="G1186" t="s">
        <v>26</v>
      </c>
      <c r="H1186">
        <v>0</v>
      </c>
      <c r="I1186">
        <v>27</v>
      </c>
      <c r="J1186">
        <v>42</v>
      </c>
      <c r="K1186">
        <v>9</v>
      </c>
      <c r="L1186" t="s">
        <v>27</v>
      </c>
      <c r="M1186">
        <v>1.9293285019109101</v>
      </c>
      <c r="N1186" t="s">
        <v>51</v>
      </c>
      <c r="O1186" t="s">
        <v>67</v>
      </c>
      <c r="P1186">
        <f>VLOOKUP(O1186, Coordinates!$A$2:$C$6, 2, FALSE)</f>
        <v>40.712800000000001</v>
      </c>
      <c r="Q1186">
        <f>VLOOKUP(O1186, Coordinates!$A$2:$C$6, 3, FALSE)</f>
        <v>-74.006</v>
      </c>
      <c r="R1186">
        <v>19</v>
      </c>
      <c r="S1186">
        <v>838</v>
      </c>
      <c r="T1186">
        <v>18</v>
      </c>
      <c r="U1186">
        <v>43.014559069803603</v>
      </c>
      <c r="V1186" t="s">
        <v>30</v>
      </c>
      <c r="W1186">
        <v>1.8047198461184299</v>
      </c>
      <c r="X1186" t="s">
        <v>31</v>
      </c>
      <c r="Y1186" t="s">
        <v>41</v>
      </c>
      <c r="Z1186">
        <v>356.01048170873997</v>
      </c>
    </row>
    <row r="1187" spans="1:26" x14ac:dyDescent="0.3">
      <c r="A1187" t="s">
        <v>33</v>
      </c>
      <c r="B1187" t="s">
        <v>1243</v>
      </c>
      <c r="C1187">
        <v>14.0300393256058</v>
      </c>
      <c r="D1187">
        <v>67</v>
      </c>
      <c r="E1187">
        <v>776</v>
      </c>
      <c r="F1187">
        <v>1524.6748347612099</v>
      </c>
      <c r="G1187" t="s">
        <v>35</v>
      </c>
      <c r="H1187">
        <v>67</v>
      </c>
      <c r="I1187">
        <v>12</v>
      </c>
      <c r="J1187">
        <v>16</v>
      </c>
      <c r="K1187">
        <v>6</v>
      </c>
      <c r="L1187" t="s">
        <v>36</v>
      </c>
      <c r="M1187">
        <v>6.3237083005864898</v>
      </c>
      <c r="N1187" t="s">
        <v>51</v>
      </c>
      <c r="O1187" t="s">
        <v>65</v>
      </c>
      <c r="P1187">
        <f>VLOOKUP(O1187, Coordinates!$A$2:$C$6, 2, FALSE)</f>
        <v>41.878100000000003</v>
      </c>
      <c r="Q1187">
        <f>VLOOKUP(O1187, Coordinates!$A$2:$C$6, 3, FALSE)</f>
        <v>-87.629800000000003</v>
      </c>
      <c r="R1187">
        <v>5</v>
      </c>
      <c r="S1187">
        <v>615</v>
      </c>
      <c r="T1187">
        <v>1</v>
      </c>
      <c r="U1187">
        <v>78.521292883077095</v>
      </c>
      <c r="V1187" t="s">
        <v>55</v>
      </c>
      <c r="W1187">
        <v>3.3541491524887599</v>
      </c>
      <c r="X1187" t="s">
        <v>52</v>
      </c>
      <c r="Y1187" t="s">
        <v>41</v>
      </c>
      <c r="Z1187">
        <v>353.61067664729802</v>
      </c>
    </row>
    <row r="1188" spans="1:26" x14ac:dyDescent="0.3">
      <c r="A1188" t="s">
        <v>49</v>
      </c>
      <c r="B1188" t="s">
        <v>1244</v>
      </c>
      <c r="C1188">
        <v>83.540942962493403</v>
      </c>
      <c r="D1188">
        <v>76</v>
      </c>
      <c r="E1188">
        <v>629</v>
      </c>
      <c r="F1188">
        <v>9985.7911053139596</v>
      </c>
      <c r="G1188" t="s">
        <v>35</v>
      </c>
      <c r="H1188">
        <v>58</v>
      </c>
      <c r="I1188">
        <v>29</v>
      </c>
      <c r="J1188">
        <v>13</v>
      </c>
      <c r="K1188">
        <v>3</v>
      </c>
      <c r="L1188" t="s">
        <v>44</v>
      </c>
      <c r="M1188">
        <v>12.9713707487241</v>
      </c>
      <c r="N1188" t="s">
        <v>57</v>
      </c>
      <c r="O1188" t="s">
        <v>65</v>
      </c>
      <c r="P1188">
        <f>VLOOKUP(O1188, Coordinates!$A$2:$C$6, 2, FALSE)</f>
        <v>41.878100000000003</v>
      </c>
      <c r="Q1188">
        <f>VLOOKUP(O1188, Coordinates!$A$2:$C$6, 3, FALSE)</f>
        <v>-87.629800000000003</v>
      </c>
      <c r="R1188">
        <v>7</v>
      </c>
      <c r="S1188">
        <v>197</v>
      </c>
      <c r="T1188">
        <v>25</v>
      </c>
      <c r="U1188">
        <v>76.958778691021095</v>
      </c>
      <c r="V1188" t="s">
        <v>30</v>
      </c>
      <c r="W1188">
        <v>4.7622232774626498</v>
      </c>
      <c r="X1188" t="s">
        <v>40</v>
      </c>
      <c r="Y1188" t="s">
        <v>60</v>
      </c>
      <c r="Z1188">
        <v>165.53789706604101</v>
      </c>
    </row>
    <row r="1189" spans="1:26" x14ac:dyDescent="0.3">
      <c r="A1189" t="s">
        <v>33</v>
      </c>
      <c r="B1189" t="s">
        <v>1245</v>
      </c>
      <c r="C1189">
        <v>9.5259194564681202</v>
      </c>
      <c r="D1189">
        <v>93</v>
      </c>
      <c r="E1189">
        <v>50</v>
      </c>
      <c r="G1189" t="s">
        <v>26</v>
      </c>
      <c r="H1189">
        <v>90</v>
      </c>
      <c r="I1189">
        <v>11</v>
      </c>
      <c r="J1189">
        <v>48</v>
      </c>
      <c r="K1189">
        <v>5</v>
      </c>
      <c r="L1189" t="s">
        <v>36</v>
      </c>
      <c r="M1189">
        <v>2.0924012999979502</v>
      </c>
      <c r="N1189" t="s">
        <v>57</v>
      </c>
      <c r="O1189" t="s">
        <v>65</v>
      </c>
      <c r="P1189">
        <f>VLOOKUP(O1189, Coordinates!$A$2:$C$6, 2, FALSE)</f>
        <v>41.878100000000003</v>
      </c>
      <c r="Q1189">
        <f>VLOOKUP(O1189, Coordinates!$A$2:$C$6, 3, FALSE)</f>
        <v>-87.629800000000003</v>
      </c>
      <c r="R1189">
        <v>9</v>
      </c>
      <c r="S1189">
        <v>804</v>
      </c>
      <c r="T1189">
        <v>17</v>
      </c>
      <c r="U1189">
        <v>47.347567883678799</v>
      </c>
      <c r="V1189" t="s">
        <v>39</v>
      </c>
      <c r="W1189">
        <v>4.0234239819999997</v>
      </c>
      <c r="X1189" t="s">
        <v>40</v>
      </c>
      <c r="Y1189" t="s">
        <v>32</v>
      </c>
      <c r="Z1189">
        <v>372.69354971909303</v>
      </c>
    </row>
    <row r="1190" spans="1:26" x14ac:dyDescent="0.3">
      <c r="A1190" t="s">
        <v>24</v>
      </c>
      <c r="B1190" t="s">
        <v>1246</v>
      </c>
      <c r="C1190">
        <v>32.646131424114103</v>
      </c>
      <c r="D1190">
        <v>48</v>
      </c>
      <c r="E1190">
        <v>508</v>
      </c>
      <c r="F1190">
        <v>14925.811287105</v>
      </c>
      <c r="G1190" t="s">
        <v>26</v>
      </c>
      <c r="H1190">
        <v>9</v>
      </c>
      <c r="I1190">
        <v>20</v>
      </c>
      <c r="J1190">
        <v>57</v>
      </c>
      <c r="K1190">
        <v>8</v>
      </c>
      <c r="L1190" t="s">
        <v>27</v>
      </c>
      <c r="M1190">
        <v>9.0633531832413006</v>
      </c>
      <c r="N1190" t="s">
        <v>28</v>
      </c>
      <c r="O1190" t="s">
        <v>38</v>
      </c>
      <c r="P1190">
        <f>VLOOKUP(O1190, Coordinates!$A$2:$C$6, 2, FALSE)</f>
        <v>25.761700000000001</v>
      </c>
      <c r="Q1190">
        <f>VLOOKUP(O1190, Coordinates!$A$2:$C$6, 3, FALSE)</f>
        <v>-80.191800000000001</v>
      </c>
      <c r="R1190">
        <v>5</v>
      </c>
      <c r="S1190">
        <v>877</v>
      </c>
      <c r="T1190">
        <v>27</v>
      </c>
      <c r="U1190">
        <v>86.085094022099497</v>
      </c>
      <c r="V1190" t="s">
        <v>55</v>
      </c>
      <c r="W1190">
        <v>0.88294655266909605</v>
      </c>
      <c r="X1190" t="s">
        <v>46</v>
      </c>
      <c r="Y1190" t="s">
        <v>32</v>
      </c>
      <c r="Z1190">
        <v>680.325560775491</v>
      </c>
    </row>
    <row r="1191" spans="1:26" x14ac:dyDescent="0.3">
      <c r="A1191" t="s">
        <v>72</v>
      </c>
      <c r="B1191" t="s">
        <v>1247</v>
      </c>
      <c r="C1191">
        <v>22.3253537066139</v>
      </c>
      <c r="D1191">
        <v>17</v>
      </c>
      <c r="E1191">
        <v>278</v>
      </c>
      <c r="F1191">
        <v>5585.8034973948097</v>
      </c>
      <c r="G1191" t="s">
        <v>26</v>
      </c>
      <c r="H1191">
        <v>12</v>
      </c>
      <c r="I1191">
        <v>11</v>
      </c>
      <c r="J1191">
        <v>83</v>
      </c>
      <c r="K1191">
        <v>8</v>
      </c>
      <c r="L1191" t="s">
        <v>36</v>
      </c>
      <c r="M1191">
        <v>10.8151612879795</v>
      </c>
      <c r="N1191" t="s">
        <v>57</v>
      </c>
      <c r="O1191" t="s">
        <v>65</v>
      </c>
      <c r="P1191">
        <f>VLOOKUP(O1191, Coordinates!$A$2:$C$6, 2, FALSE)</f>
        <v>41.878100000000003</v>
      </c>
      <c r="Q1191">
        <f>VLOOKUP(O1191, Coordinates!$A$2:$C$6, 3, FALSE)</f>
        <v>-87.629800000000003</v>
      </c>
      <c r="R1191">
        <v>8</v>
      </c>
      <c r="S1191">
        <v>449</v>
      </c>
      <c r="T1191">
        <v>20</v>
      </c>
      <c r="U1191">
        <v>78.191984926663295</v>
      </c>
      <c r="V1191" t="s">
        <v>39</v>
      </c>
      <c r="W1191">
        <v>1.3960441887364901</v>
      </c>
      <c r="X1191" t="s">
        <v>40</v>
      </c>
      <c r="Y1191" t="s">
        <v>41</v>
      </c>
      <c r="Z1191">
        <v>446.68895268930601</v>
      </c>
    </row>
    <row r="1192" spans="1:26" x14ac:dyDescent="0.3">
      <c r="A1192" t="s">
        <v>72</v>
      </c>
      <c r="B1192" t="s">
        <v>1248</v>
      </c>
      <c r="C1192">
        <v>37.265529675142403</v>
      </c>
      <c r="D1192">
        <v>7</v>
      </c>
      <c r="E1192">
        <v>559</v>
      </c>
      <c r="F1192">
        <v>18748.287979564098</v>
      </c>
      <c r="G1192" t="s">
        <v>48</v>
      </c>
      <c r="H1192">
        <v>1</v>
      </c>
      <c r="I1192">
        <v>17</v>
      </c>
      <c r="J1192">
        <v>88</v>
      </c>
      <c r="K1192">
        <v>6</v>
      </c>
      <c r="L1192" t="s">
        <v>27</v>
      </c>
      <c r="M1192">
        <v>7.7397009859521599</v>
      </c>
      <c r="N1192" t="s">
        <v>45</v>
      </c>
      <c r="O1192" t="s">
        <v>38</v>
      </c>
      <c r="P1192">
        <f>VLOOKUP(O1192, Coordinates!$A$2:$C$6, 2, FALSE)</f>
        <v>25.761700000000001</v>
      </c>
      <c r="Q1192">
        <f>VLOOKUP(O1192, Coordinates!$A$2:$C$6, 3, FALSE)</f>
        <v>-80.191800000000001</v>
      </c>
      <c r="R1192">
        <v>30</v>
      </c>
      <c r="S1192">
        <v>835</v>
      </c>
      <c r="T1192">
        <v>6</v>
      </c>
      <c r="U1192">
        <v>87.516121817362801</v>
      </c>
      <c r="V1192" t="s">
        <v>55</v>
      </c>
      <c r="W1192">
        <v>4.7156846484785504</v>
      </c>
      <c r="X1192" t="s">
        <v>52</v>
      </c>
      <c r="Y1192" t="s">
        <v>41</v>
      </c>
      <c r="Z1192">
        <v>953.036030648375</v>
      </c>
    </row>
    <row r="1193" spans="1:26" x14ac:dyDescent="0.3">
      <c r="A1193" t="s">
        <v>82</v>
      </c>
      <c r="B1193" t="s">
        <v>1249</v>
      </c>
      <c r="C1193">
        <v>83.354846346389706</v>
      </c>
      <c r="D1193">
        <v>13</v>
      </c>
      <c r="E1193">
        <v>212</v>
      </c>
      <c r="F1193">
        <v>2011.44677435838</v>
      </c>
      <c r="G1193" t="s">
        <v>26</v>
      </c>
      <c r="H1193">
        <v>89</v>
      </c>
      <c r="I1193">
        <v>29</v>
      </c>
      <c r="J1193">
        <v>25</v>
      </c>
      <c r="K1193">
        <v>5</v>
      </c>
      <c r="L1193" t="s">
        <v>27</v>
      </c>
      <c r="M1193">
        <v>4.5724562104925104</v>
      </c>
      <c r="N1193" t="s">
        <v>45</v>
      </c>
      <c r="O1193" t="s">
        <v>38</v>
      </c>
      <c r="P1193">
        <f>VLOOKUP(O1193, Coordinates!$A$2:$C$6, 2, FALSE)</f>
        <v>25.761700000000001</v>
      </c>
      <c r="Q1193">
        <f>VLOOKUP(O1193, Coordinates!$A$2:$C$6, 3, FALSE)</f>
        <v>-80.191800000000001</v>
      </c>
      <c r="R1193">
        <v>29</v>
      </c>
      <c r="S1193">
        <v>678</v>
      </c>
      <c r="T1193">
        <v>9</v>
      </c>
      <c r="U1193">
        <v>88.247060082561006</v>
      </c>
      <c r="V1193" t="s">
        <v>39</v>
      </c>
      <c r="W1193">
        <v>3.7815339279627098</v>
      </c>
      <c r="X1193" t="s">
        <v>31</v>
      </c>
      <c r="Y1193" t="s">
        <v>32</v>
      </c>
      <c r="Z1193">
        <v>701.35338485925502</v>
      </c>
    </row>
    <row r="1194" spans="1:26" x14ac:dyDescent="0.3">
      <c r="A1194" t="s">
        <v>72</v>
      </c>
      <c r="B1194" t="s">
        <v>1250</v>
      </c>
      <c r="C1194">
        <v>24.4407684637914</v>
      </c>
      <c r="D1194">
        <v>66</v>
      </c>
      <c r="E1194">
        <v>933</v>
      </c>
      <c r="F1194">
        <v>20522.913279045599</v>
      </c>
      <c r="G1194" t="s">
        <v>26</v>
      </c>
      <c r="H1194">
        <v>14</v>
      </c>
      <c r="I1194">
        <v>26</v>
      </c>
      <c r="J1194">
        <v>47</v>
      </c>
      <c r="K1194">
        <v>5</v>
      </c>
      <c r="L1194" t="s">
        <v>36</v>
      </c>
      <c r="M1194">
        <v>5.5683327455270799</v>
      </c>
      <c r="N1194" t="s">
        <v>28</v>
      </c>
      <c r="O1194" t="s">
        <v>38</v>
      </c>
      <c r="P1194">
        <f>VLOOKUP(O1194, Coordinates!$A$2:$C$6, 2, FALSE)</f>
        <v>25.761700000000001</v>
      </c>
      <c r="Q1194">
        <f>VLOOKUP(O1194, Coordinates!$A$2:$C$6, 3, FALSE)</f>
        <v>-80.191800000000001</v>
      </c>
      <c r="R1194">
        <v>24</v>
      </c>
      <c r="S1194">
        <v>749</v>
      </c>
      <c r="T1194">
        <v>4</v>
      </c>
      <c r="U1194">
        <v>85.281732752314198</v>
      </c>
      <c r="V1194" t="s">
        <v>30</v>
      </c>
      <c r="W1194">
        <v>2.7365122101107699</v>
      </c>
      <c r="X1194" t="s">
        <v>52</v>
      </c>
      <c r="Y1194" t="s">
        <v>41</v>
      </c>
      <c r="Z1194">
        <v>877.57899219790102</v>
      </c>
    </row>
    <row r="1195" spans="1:26" x14ac:dyDescent="0.3">
      <c r="A1195" t="s">
        <v>72</v>
      </c>
      <c r="B1195" t="s">
        <v>1251</v>
      </c>
      <c r="C1195">
        <v>25.289919685410801</v>
      </c>
      <c r="D1195">
        <v>4</v>
      </c>
      <c r="E1195">
        <v>865</v>
      </c>
      <c r="F1195">
        <v>19688.202475092301</v>
      </c>
      <c r="G1195" t="s">
        <v>35</v>
      </c>
      <c r="H1195">
        <v>45</v>
      </c>
      <c r="I1195">
        <v>21</v>
      </c>
      <c r="J1195">
        <v>13</v>
      </c>
      <c r="K1195">
        <v>1</v>
      </c>
      <c r="L1195" t="s">
        <v>44</v>
      </c>
      <c r="M1195">
        <v>2.0031293717701999</v>
      </c>
      <c r="N1195" t="s">
        <v>37</v>
      </c>
      <c r="O1195" t="s">
        <v>29</v>
      </c>
      <c r="P1195">
        <f>VLOOKUP(O1195, Coordinates!$A$2:$C$6, 2, FALSE)</f>
        <v>29.760400000000001</v>
      </c>
      <c r="Q1195">
        <f>VLOOKUP(O1195, Coordinates!$A$2:$C$6, 3, FALSE)</f>
        <v>-95.369799999999998</v>
      </c>
      <c r="R1195">
        <v>25</v>
      </c>
      <c r="S1195">
        <v>940</v>
      </c>
      <c r="T1195">
        <v>7</v>
      </c>
      <c r="U1195">
        <v>76.378656341438898</v>
      </c>
      <c r="V1195" t="s">
        <v>39</v>
      </c>
      <c r="W1195">
        <v>3.04489910087853</v>
      </c>
      <c r="X1195" t="s">
        <v>52</v>
      </c>
      <c r="Y1195" t="s">
        <v>60</v>
      </c>
      <c r="Z1195">
        <v>202.74426041811699</v>
      </c>
    </row>
    <row r="1196" spans="1:26" x14ac:dyDescent="0.3">
      <c r="A1196" t="s">
        <v>49</v>
      </c>
      <c r="B1196" t="s">
        <v>1252</v>
      </c>
      <c r="C1196">
        <v>9.3133117395257905</v>
      </c>
      <c r="D1196">
        <v>10</v>
      </c>
      <c r="E1196">
        <v>619</v>
      </c>
      <c r="F1196">
        <v>2814.8969014020299</v>
      </c>
      <c r="G1196" t="s">
        <v>54</v>
      </c>
      <c r="H1196">
        <v>56</v>
      </c>
      <c r="I1196">
        <v>14</v>
      </c>
      <c r="J1196">
        <v>13</v>
      </c>
      <c r="K1196">
        <v>2</v>
      </c>
      <c r="L1196" t="s">
        <v>44</v>
      </c>
      <c r="M1196">
        <v>5.0961696627415201</v>
      </c>
      <c r="N1196" t="s">
        <v>37</v>
      </c>
      <c r="O1196" t="s">
        <v>67</v>
      </c>
      <c r="P1196">
        <f>VLOOKUP(O1196, Coordinates!$A$2:$C$6, 2, FALSE)</f>
        <v>40.712800000000001</v>
      </c>
      <c r="Q1196">
        <f>VLOOKUP(O1196, Coordinates!$A$2:$C$6, 3, FALSE)</f>
        <v>-74.006</v>
      </c>
      <c r="R1196">
        <v>27</v>
      </c>
      <c r="S1196">
        <v>500</v>
      </c>
      <c r="T1196">
        <v>23</v>
      </c>
      <c r="U1196">
        <v>41.561784144766101</v>
      </c>
      <c r="V1196" t="s">
        <v>55</v>
      </c>
      <c r="W1196">
        <v>0.51645758862869695</v>
      </c>
      <c r="X1196" t="s">
        <v>46</v>
      </c>
      <c r="Y1196" t="s">
        <v>60</v>
      </c>
      <c r="Z1196">
        <v>505.46428273583803</v>
      </c>
    </row>
    <row r="1197" spans="1:26" x14ac:dyDescent="0.3">
      <c r="A1197" t="s">
        <v>72</v>
      </c>
      <c r="B1197" t="s">
        <v>1253</v>
      </c>
      <c r="C1197">
        <v>35.1171593056186</v>
      </c>
      <c r="D1197">
        <v>88</v>
      </c>
      <c r="E1197">
        <v>128</v>
      </c>
      <c r="F1197">
        <v>4045.4967520072601</v>
      </c>
      <c r="G1197" t="s">
        <v>54</v>
      </c>
      <c r="H1197">
        <v>9</v>
      </c>
      <c r="I1197">
        <v>16</v>
      </c>
      <c r="J1197">
        <v>36</v>
      </c>
      <c r="K1197">
        <v>4</v>
      </c>
      <c r="L1197" t="s">
        <v>36</v>
      </c>
      <c r="M1197">
        <v>1.62129210585784</v>
      </c>
      <c r="N1197" t="s">
        <v>45</v>
      </c>
      <c r="O1197" t="s">
        <v>38</v>
      </c>
      <c r="P1197">
        <f>VLOOKUP(O1197, Coordinates!$A$2:$C$6, 2, FALSE)</f>
        <v>25.761700000000001</v>
      </c>
      <c r="Q1197">
        <f>VLOOKUP(O1197, Coordinates!$A$2:$C$6, 3, FALSE)</f>
        <v>-80.191800000000001</v>
      </c>
      <c r="R1197">
        <v>29</v>
      </c>
      <c r="S1197">
        <v>850</v>
      </c>
      <c r="T1197">
        <v>29</v>
      </c>
      <c r="U1197">
        <v>86.621619520588894</v>
      </c>
      <c r="V1197" t="s">
        <v>39</v>
      </c>
      <c r="W1197">
        <v>4.3712611649630499</v>
      </c>
      <c r="X1197" t="s">
        <v>31</v>
      </c>
      <c r="Y1197" t="s">
        <v>60</v>
      </c>
      <c r="Z1197">
        <v>137.29477235821599</v>
      </c>
    </row>
    <row r="1198" spans="1:26" x14ac:dyDescent="0.3">
      <c r="A1198" t="s">
        <v>82</v>
      </c>
      <c r="B1198" t="s">
        <v>1254</v>
      </c>
      <c r="C1198">
        <v>93.4459472341034</v>
      </c>
      <c r="D1198">
        <v>17</v>
      </c>
      <c r="E1198">
        <v>14</v>
      </c>
      <c r="F1198">
        <v>8093.0704595069701</v>
      </c>
      <c r="G1198" t="s">
        <v>48</v>
      </c>
      <c r="H1198">
        <v>21</v>
      </c>
      <c r="I1198">
        <v>24</v>
      </c>
      <c r="J1198">
        <v>95</v>
      </c>
      <c r="K1198">
        <v>6</v>
      </c>
      <c r="L1198" t="s">
        <v>27</v>
      </c>
      <c r="M1198">
        <v>11.1685499738755</v>
      </c>
      <c r="N1198" t="s">
        <v>37</v>
      </c>
      <c r="O1198" t="s">
        <v>29</v>
      </c>
      <c r="P1198">
        <f>VLOOKUP(O1198, Coordinates!$A$2:$C$6, 2, FALSE)</f>
        <v>29.760400000000001</v>
      </c>
      <c r="Q1198">
        <f>VLOOKUP(O1198, Coordinates!$A$2:$C$6, 3, FALSE)</f>
        <v>-95.369799999999998</v>
      </c>
      <c r="R1198">
        <v>20</v>
      </c>
      <c r="S1198">
        <v>550</v>
      </c>
      <c r="T1198">
        <v>30</v>
      </c>
      <c r="U1198">
        <v>40.260712223853801</v>
      </c>
      <c r="V1198" t="s">
        <v>55</v>
      </c>
      <c r="W1198">
        <v>4.3156721968836296</v>
      </c>
      <c r="X1198" t="s">
        <v>46</v>
      </c>
      <c r="Y1198" t="s">
        <v>32</v>
      </c>
      <c r="Z1198">
        <v>905.51214788604796</v>
      </c>
    </row>
    <row r="1199" spans="1:26" x14ac:dyDescent="0.3">
      <c r="A1199" t="s">
        <v>61</v>
      </c>
      <c r="B1199" t="s">
        <v>1255</v>
      </c>
      <c r="C1199">
        <v>42.223276509999998</v>
      </c>
      <c r="D1199">
        <v>52</v>
      </c>
      <c r="E1199">
        <v>333</v>
      </c>
      <c r="F1199">
        <v>8519.3754007896605</v>
      </c>
      <c r="G1199" t="s">
        <v>48</v>
      </c>
      <c r="H1199">
        <v>88</v>
      </c>
      <c r="I1199">
        <v>10</v>
      </c>
      <c r="J1199">
        <v>95</v>
      </c>
      <c r="K1199">
        <v>7</v>
      </c>
      <c r="L1199" t="s">
        <v>36</v>
      </c>
      <c r="M1199">
        <v>13.5719338991636</v>
      </c>
      <c r="N1199" t="s">
        <v>37</v>
      </c>
      <c r="O1199" t="s">
        <v>58</v>
      </c>
      <c r="P1199">
        <f>VLOOKUP(O1199, Coordinates!$A$2:$C$6, 2, FALSE)</f>
        <v>34.052199999999999</v>
      </c>
      <c r="Q1199">
        <f>VLOOKUP(O1199, Coordinates!$A$2:$C$6, 3, FALSE)</f>
        <v>-118.2437</v>
      </c>
      <c r="R1199">
        <v>7</v>
      </c>
      <c r="S1199">
        <v>574</v>
      </c>
      <c r="T1199">
        <v>22</v>
      </c>
      <c r="U1199">
        <v>66.292610807494498</v>
      </c>
      <c r="V1199" t="s">
        <v>30</v>
      </c>
      <c r="W1199">
        <v>2.3411972206418299</v>
      </c>
      <c r="X1199" t="s">
        <v>52</v>
      </c>
      <c r="Y1199" t="s">
        <v>41</v>
      </c>
      <c r="Z1199">
        <v>232.18175091003999</v>
      </c>
    </row>
    <row r="1200" spans="1:26" x14ac:dyDescent="0.3">
      <c r="A1200" t="s">
        <v>24</v>
      </c>
      <c r="B1200" t="s">
        <v>1256</v>
      </c>
      <c r="C1200">
        <v>34.338120925141197</v>
      </c>
      <c r="D1200">
        <v>6</v>
      </c>
      <c r="E1200">
        <v>191</v>
      </c>
      <c r="F1200">
        <v>5902.7229870317797</v>
      </c>
      <c r="G1200" t="s">
        <v>54</v>
      </c>
      <c r="H1200">
        <v>78</v>
      </c>
      <c r="I1200">
        <v>4</v>
      </c>
      <c r="J1200">
        <v>26</v>
      </c>
      <c r="K1200">
        <v>1</v>
      </c>
      <c r="L1200" t="s">
        <v>27</v>
      </c>
      <c r="M1200">
        <v>9.8691837983502992</v>
      </c>
      <c r="N1200" t="s">
        <v>28</v>
      </c>
      <c r="O1200" t="s">
        <v>67</v>
      </c>
      <c r="P1200">
        <f>VLOOKUP(O1200, Coordinates!$A$2:$C$6, 2, FALSE)</f>
        <v>40.712800000000001</v>
      </c>
      <c r="Q1200">
        <f>VLOOKUP(O1200, Coordinates!$A$2:$C$6, 3, FALSE)</f>
        <v>-74.006</v>
      </c>
      <c r="R1200">
        <v>29</v>
      </c>
      <c r="S1200">
        <v>920</v>
      </c>
      <c r="T1200">
        <v>25</v>
      </c>
      <c r="U1200">
        <v>76.587694118798694</v>
      </c>
      <c r="V1200" t="s">
        <v>30</v>
      </c>
      <c r="W1200">
        <v>3.1342260925033099</v>
      </c>
      <c r="X1200" t="s">
        <v>52</v>
      </c>
      <c r="Y1200" t="s">
        <v>60</v>
      </c>
      <c r="Z1200">
        <v>824.87932957448095</v>
      </c>
    </row>
    <row r="1201" spans="1:26" x14ac:dyDescent="0.3">
      <c r="A1201" t="s">
        <v>49</v>
      </c>
      <c r="B1201" t="s">
        <v>1257</v>
      </c>
      <c r="C1201">
        <v>55.5420595035039</v>
      </c>
      <c r="D1201">
        <v>83</v>
      </c>
      <c r="E1201">
        <v>547</v>
      </c>
      <c r="F1201">
        <v>8689.1138450444305</v>
      </c>
      <c r="G1201" t="s">
        <v>54</v>
      </c>
      <c r="H1201">
        <v>76</v>
      </c>
      <c r="I1201">
        <v>10</v>
      </c>
      <c r="J1201">
        <v>79</v>
      </c>
      <c r="K1201">
        <v>8</v>
      </c>
      <c r="L1201" t="s">
        <v>27</v>
      </c>
      <c r="M1201">
        <v>10.1938451210646</v>
      </c>
      <c r="N1201" t="s">
        <v>57</v>
      </c>
      <c r="O1201" t="s">
        <v>29</v>
      </c>
      <c r="P1201">
        <f>VLOOKUP(O1201, Coordinates!$A$2:$C$6, 2, FALSE)</f>
        <v>29.760400000000001</v>
      </c>
      <c r="Q1201">
        <f>VLOOKUP(O1201, Coordinates!$A$2:$C$6, 3, FALSE)</f>
        <v>-95.369799999999998</v>
      </c>
      <c r="R1201">
        <v>4</v>
      </c>
      <c r="S1201">
        <v>518</v>
      </c>
      <c r="T1201">
        <v>11</v>
      </c>
      <c r="U1201">
        <v>34.028983110824001</v>
      </c>
      <c r="V1201" t="s">
        <v>30</v>
      </c>
      <c r="W1201">
        <v>3.2995206001274502</v>
      </c>
      <c r="X1201" t="s">
        <v>40</v>
      </c>
      <c r="Y1201" t="s">
        <v>60</v>
      </c>
      <c r="Z1201">
        <v>931.42995529157099</v>
      </c>
    </row>
    <row r="1202" spans="1:26" x14ac:dyDescent="0.3">
      <c r="A1202" t="s">
        <v>61</v>
      </c>
      <c r="B1202" t="s">
        <v>1258</v>
      </c>
      <c r="D1202">
        <v>69</v>
      </c>
      <c r="E1202">
        <v>672</v>
      </c>
      <c r="F1202">
        <v>7180.9101603745203</v>
      </c>
      <c r="G1202" t="s">
        <v>26</v>
      </c>
      <c r="H1202">
        <v>7</v>
      </c>
      <c r="I1202">
        <v>26</v>
      </c>
      <c r="J1202">
        <v>63</v>
      </c>
      <c r="K1202">
        <v>1</v>
      </c>
      <c r="L1202" t="s">
        <v>27</v>
      </c>
      <c r="M1202">
        <v>7.6099927199654003</v>
      </c>
      <c r="N1202" t="s">
        <v>57</v>
      </c>
      <c r="O1202" t="s">
        <v>67</v>
      </c>
      <c r="P1202">
        <f>VLOOKUP(O1202, Coordinates!$A$2:$C$6, 2, FALSE)</f>
        <v>40.712800000000001</v>
      </c>
      <c r="Q1202">
        <f>VLOOKUP(O1202, Coordinates!$A$2:$C$6, 3, FALSE)</f>
        <v>-74.006</v>
      </c>
      <c r="R1202">
        <v>21</v>
      </c>
      <c r="S1202">
        <v>103</v>
      </c>
      <c r="T1202">
        <v>26</v>
      </c>
      <c r="U1202">
        <v>16.770303013701</v>
      </c>
      <c r="V1202" t="s">
        <v>55</v>
      </c>
      <c r="W1202">
        <v>0.94861292364941996</v>
      </c>
      <c r="X1202" t="s">
        <v>40</v>
      </c>
      <c r="Y1202" t="s">
        <v>60</v>
      </c>
      <c r="Z1202">
        <v>497.69947390109502</v>
      </c>
    </row>
    <row r="1203" spans="1:26" x14ac:dyDescent="0.3">
      <c r="A1203" t="s">
        <v>49</v>
      </c>
      <c r="B1203" t="s">
        <v>1259</v>
      </c>
      <c r="C1203">
        <v>10.826440786111799</v>
      </c>
      <c r="D1203">
        <v>96</v>
      </c>
      <c r="E1203">
        <v>64</v>
      </c>
      <c r="F1203">
        <v>5680.7441489492503</v>
      </c>
      <c r="G1203" t="s">
        <v>35</v>
      </c>
      <c r="H1203">
        <v>20</v>
      </c>
      <c r="I1203">
        <v>20</v>
      </c>
      <c r="J1203">
        <v>17</v>
      </c>
      <c r="K1203">
        <v>9</v>
      </c>
      <c r="L1203" t="s">
        <v>44</v>
      </c>
      <c r="M1203">
        <v>3.1845102888715102</v>
      </c>
      <c r="N1203" t="s">
        <v>37</v>
      </c>
      <c r="O1203" t="s">
        <v>38</v>
      </c>
      <c r="P1203">
        <f>VLOOKUP(O1203, Coordinates!$A$2:$C$6, 2, FALSE)</f>
        <v>25.761700000000001</v>
      </c>
      <c r="Q1203">
        <f>VLOOKUP(O1203, Coordinates!$A$2:$C$6, 3, FALSE)</f>
        <v>-80.191800000000001</v>
      </c>
      <c r="R1203">
        <v>15</v>
      </c>
      <c r="S1203">
        <v>423</v>
      </c>
      <c r="T1203">
        <v>23</v>
      </c>
      <c r="U1203">
        <v>47.812703699185697</v>
      </c>
      <c r="V1203" t="s">
        <v>55</v>
      </c>
      <c r="W1203">
        <v>0.56292414233139598</v>
      </c>
      <c r="X1203" t="s">
        <v>40</v>
      </c>
      <c r="Y1203" t="s">
        <v>60</v>
      </c>
      <c r="Z1203">
        <v>450.42482329412798</v>
      </c>
    </row>
    <row r="1204" spans="1:26" x14ac:dyDescent="0.3">
      <c r="A1204" t="s">
        <v>42</v>
      </c>
      <c r="B1204" t="s">
        <v>1260</v>
      </c>
      <c r="C1204">
        <v>39.4067442058791</v>
      </c>
      <c r="D1204">
        <v>74</v>
      </c>
      <c r="E1204">
        <v>889</v>
      </c>
      <c r="G1204" t="s">
        <v>26</v>
      </c>
      <c r="H1204">
        <v>3</v>
      </c>
      <c r="I1204">
        <v>29</v>
      </c>
      <c r="J1204">
        <v>62</v>
      </c>
      <c r="K1204">
        <v>4</v>
      </c>
      <c r="L1204" t="s">
        <v>44</v>
      </c>
      <c r="M1204">
        <v>1.10815197754717</v>
      </c>
      <c r="N1204" t="s">
        <v>51</v>
      </c>
      <c r="O1204" t="s">
        <v>67</v>
      </c>
      <c r="P1204">
        <f>VLOOKUP(O1204, Coordinates!$A$2:$C$6, 2, FALSE)</f>
        <v>40.712800000000001</v>
      </c>
      <c r="Q1204">
        <f>VLOOKUP(O1204, Coordinates!$A$2:$C$6, 3, FALSE)</f>
        <v>-74.006</v>
      </c>
      <c r="R1204">
        <v>18</v>
      </c>
      <c r="S1204">
        <v>468</v>
      </c>
      <c r="T1204">
        <v>3</v>
      </c>
      <c r="U1204">
        <v>65.635706810000002</v>
      </c>
      <c r="V1204" t="s">
        <v>30</v>
      </c>
      <c r="W1204">
        <v>0.103364732018751</v>
      </c>
      <c r="X1204" t="s">
        <v>40</v>
      </c>
      <c r="Y1204" t="s">
        <v>60</v>
      </c>
      <c r="Z1204">
        <v>640.1059285</v>
      </c>
    </row>
    <row r="1205" spans="1:26" x14ac:dyDescent="0.3">
      <c r="A1205" t="s">
        <v>33</v>
      </c>
      <c r="B1205" t="s">
        <v>1261</v>
      </c>
      <c r="C1205">
        <v>73.697186018842601</v>
      </c>
      <c r="D1205">
        <v>9</v>
      </c>
      <c r="E1205">
        <v>903</v>
      </c>
      <c r="F1205">
        <v>4773.2432438706901</v>
      </c>
      <c r="G1205" t="s">
        <v>48</v>
      </c>
      <c r="H1205">
        <v>21</v>
      </c>
      <c r="I1205">
        <v>12</v>
      </c>
      <c r="J1205">
        <v>14</v>
      </c>
      <c r="K1205">
        <v>7</v>
      </c>
      <c r="L1205" t="s">
        <v>36</v>
      </c>
      <c r="M1205">
        <v>5.8156639665479899</v>
      </c>
      <c r="N1205" t="s">
        <v>28</v>
      </c>
      <c r="O1205" t="s">
        <v>38</v>
      </c>
      <c r="P1205">
        <f>VLOOKUP(O1205, Coordinates!$A$2:$C$6, 2, FALSE)</f>
        <v>25.761700000000001</v>
      </c>
      <c r="Q1205">
        <f>VLOOKUP(O1205, Coordinates!$A$2:$C$6, 3, FALSE)</f>
        <v>-80.191800000000001</v>
      </c>
      <c r="R1205">
        <v>2</v>
      </c>
      <c r="S1205">
        <v>963</v>
      </c>
      <c r="T1205">
        <v>16</v>
      </c>
      <c r="U1205">
        <v>80.991544939999997</v>
      </c>
      <c r="V1205" t="s">
        <v>30</v>
      </c>
      <c r="W1205">
        <v>4.5644091338879997</v>
      </c>
      <c r="X1205" t="s">
        <v>52</v>
      </c>
      <c r="Y1205" t="s">
        <v>41</v>
      </c>
      <c r="Z1205">
        <v>766.29701019053095</v>
      </c>
    </row>
    <row r="1206" spans="1:26" x14ac:dyDescent="0.3">
      <c r="A1206" t="s">
        <v>42</v>
      </c>
      <c r="B1206" t="s">
        <v>1262</v>
      </c>
      <c r="C1206">
        <v>24.0532238519333</v>
      </c>
      <c r="D1206">
        <v>91</v>
      </c>
      <c r="E1206">
        <v>890</v>
      </c>
      <c r="F1206">
        <v>2745.9456060105699</v>
      </c>
      <c r="G1206" t="s">
        <v>54</v>
      </c>
      <c r="H1206">
        <v>96</v>
      </c>
      <c r="I1206">
        <v>30</v>
      </c>
      <c r="J1206">
        <v>78</v>
      </c>
      <c r="K1206">
        <v>6</v>
      </c>
      <c r="L1206" t="s">
        <v>44</v>
      </c>
      <c r="M1206">
        <v>11.520839803193301</v>
      </c>
      <c r="N1206" t="s">
        <v>37</v>
      </c>
      <c r="O1206" t="s">
        <v>38</v>
      </c>
      <c r="P1206">
        <f>VLOOKUP(O1206, Coordinates!$A$2:$C$6, 2, FALSE)</f>
        <v>25.761700000000001</v>
      </c>
      <c r="Q1206">
        <f>VLOOKUP(O1206, Coordinates!$A$2:$C$6, 3, FALSE)</f>
        <v>-80.191800000000001</v>
      </c>
      <c r="R1206">
        <v>27</v>
      </c>
      <c r="S1206">
        <v>713</v>
      </c>
      <c r="T1206">
        <v>6</v>
      </c>
      <c r="U1206">
        <v>82.931369035392393</v>
      </c>
      <c r="V1206" t="s">
        <v>30</v>
      </c>
      <c r="W1206">
        <v>1.7285664447234499</v>
      </c>
      <c r="X1206" t="s">
        <v>40</v>
      </c>
      <c r="Y1206" t="s">
        <v>60</v>
      </c>
      <c r="Z1206">
        <v>681.04890446407501</v>
      </c>
    </row>
    <row r="1207" spans="1:26" x14ac:dyDescent="0.3">
      <c r="A1207" t="s">
        <v>72</v>
      </c>
      <c r="B1207" t="s">
        <v>1263</v>
      </c>
      <c r="C1207">
        <v>21.451253028801698</v>
      </c>
      <c r="D1207">
        <v>77</v>
      </c>
      <c r="E1207">
        <v>955</v>
      </c>
      <c r="F1207">
        <v>18437.351978255101</v>
      </c>
      <c r="G1207" t="s">
        <v>48</v>
      </c>
      <c r="H1207">
        <v>44</v>
      </c>
      <c r="I1207">
        <v>9</v>
      </c>
      <c r="J1207">
        <v>56</v>
      </c>
      <c r="K1207">
        <v>9</v>
      </c>
      <c r="L1207" t="s">
        <v>27</v>
      </c>
      <c r="M1207">
        <v>14.4460421104181</v>
      </c>
      <c r="N1207" t="s">
        <v>51</v>
      </c>
      <c r="O1207" t="s">
        <v>67</v>
      </c>
      <c r="P1207">
        <f>VLOOKUP(O1207, Coordinates!$A$2:$C$6, 2, FALSE)</f>
        <v>40.712800000000001</v>
      </c>
      <c r="Q1207">
        <f>VLOOKUP(O1207, Coordinates!$A$2:$C$6, 3, FALSE)</f>
        <v>-74.006</v>
      </c>
      <c r="R1207">
        <v>14</v>
      </c>
      <c r="S1207">
        <v>494</v>
      </c>
      <c r="T1207">
        <v>7</v>
      </c>
      <c r="U1207">
        <v>89.496637134148301</v>
      </c>
      <c r="V1207" t="s">
        <v>39</v>
      </c>
      <c r="W1207">
        <v>0.42915467505501498</v>
      </c>
      <c r="X1207" t="s">
        <v>31</v>
      </c>
      <c r="Y1207" t="s">
        <v>60</v>
      </c>
      <c r="Z1207">
        <v>101.0392037</v>
      </c>
    </row>
    <row r="1208" spans="1:26" x14ac:dyDescent="0.3">
      <c r="A1208" t="s">
        <v>61</v>
      </c>
      <c r="B1208" t="s">
        <v>1264</v>
      </c>
      <c r="C1208">
        <v>5.9586076349999999</v>
      </c>
      <c r="D1208">
        <v>83</v>
      </c>
      <c r="E1208">
        <v>786</v>
      </c>
      <c r="F1208">
        <v>5546.4761646398301</v>
      </c>
      <c r="G1208" t="s">
        <v>26</v>
      </c>
      <c r="H1208">
        <v>90</v>
      </c>
      <c r="I1208">
        <v>15</v>
      </c>
      <c r="J1208">
        <v>83</v>
      </c>
      <c r="K1208">
        <v>2</v>
      </c>
      <c r="L1208" t="s">
        <v>27</v>
      </c>
      <c r="M1208">
        <v>7.0351889603865798</v>
      </c>
      <c r="N1208" t="s">
        <v>51</v>
      </c>
      <c r="O1208" t="s">
        <v>67</v>
      </c>
      <c r="P1208">
        <f>VLOOKUP(O1208, Coordinates!$A$2:$C$6, 2, FALSE)</f>
        <v>40.712800000000001</v>
      </c>
      <c r="Q1208">
        <f>VLOOKUP(O1208, Coordinates!$A$2:$C$6, 3, FALSE)</f>
        <v>-74.006</v>
      </c>
      <c r="R1208">
        <v>10</v>
      </c>
      <c r="S1208">
        <v>655</v>
      </c>
      <c r="T1208">
        <v>12</v>
      </c>
      <c r="U1208">
        <v>17.898015325326501</v>
      </c>
      <c r="V1208" t="s">
        <v>55</v>
      </c>
      <c r="W1208">
        <v>2.3289998924898501</v>
      </c>
      <c r="X1208" t="s">
        <v>52</v>
      </c>
      <c r="Y1208" t="s">
        <v>60</v>
      </c>
      <c r="Z1208">
        <v>807.34175282056503</v>
      </c>
    </row>
    <row r="1209" spans="1:26" x14ac:dyDescent="0.3">
      <c r="A1209" t="s">
        <v>72</v>
      </c>
      <c r="B1209" t="s">
        <v>1265</v>
      </c>
      <c r="C1209">
        <v>25.039179965623301</v>
      </c>
      <c r="D1209">
        <v>21</v>
      </c>
      <c r="E1209">
        <v>446</v>
      </c>
      <c r="F1209">
        <v>10050.726838201201</v>
      </c>
      <c r="G1209" t="s">
        <v>48</v>
      </c>
      <c r="H1209">
        <v>39</v>
      </c>
      <c r="I1209">
        <v>9</v>
      </c>
      <c r="J1209">
        <v>49</v>
      </c>
      <c r="K1209">
        <v>7</v>
      </c>
      <c r="L1209" t="s">
        <v>36</v>
      </c>
      <c r="M1209">
        <v>6.1154741726694599</v>
      </c>
      <c r="N1209" t="s">
        <v>28</v>
      </c>
      <c r="O1209" t="s">
        <v>38</v>
      </c>
      <c r="P1209">
        <f>VLOOKUP(O1209, Coordinates!$A$2:$C$6, 2, FALSE)</f>
        <v>25.761700000000001</v>
      </c>
      <c r="Q1209">
        <f>VLOOKUP(O1209, Coordinates!$A$2:$C$6, 3, FALSE)</f>
        <v>-80.191800000000001</v>
      </c>
      <c r="R1209">
        <v>5</v>
      </c>
      <c r="S1209">
        <v>218</v>
      </c>
      <c r="T1209">
        <v>7</v>
      </c>
      <c r="U1209">
        <v>88.095615263122397</v>
      </c>
      <c r="V1209" t="s">
        <v>55</v>
      </c>
      <c r="W1209">
        <v>0.378125566730875</v>
      </c>
      <c r="X1209" t="s">
        <v>52</v>
      </c>
      <c r="Y1209" t="s">
        <v>32</v>
      </c>
      <c r="Z1209">
        <v>232.649233633466</v>
      </c>
    </row>
    <row r="1210" spans="1:26" x14ac:dyDescent="0.3">
      <c r="A1210" t="s">
        <v>33</v>
      </c>
      <c r="B1210" t="s">
        <v>1266</v>
      </c>
      <c r="C1210">
        <v>88.859766160000007</v>
      </c>
      <c r="D1210">
        <v>24</v>
      </c>
      <c r="E1210">
        <v>988</v>
      </c>
      <c r="F1210">
        <v>8250.2274379710998</v>
      </c>
      <c r="G1210" t="s">
        <v>48</v>
      </c>
      <c r="H1210">
        <v>7</v>
      </c>
      <c r="I1210">
        <v>23</v>
      </c>
      <c r="J1210">
        <v>16</v>
      </c>
      <c r="K1210">
        <v>5</v>
      </c>
      <c r="L1210" t="s">
        <v>27</v>
      </c>
      <c r="M1210">
        <v>7.2434190886393299</v>
      </c>
      <c r="N1210" t="s">
        <v>57</v>
      </c>
      <c r="O1210" t="s">
        <v>67</v>
      </c>
      <c r="P1210">
        <f>VLOOKUP(O1210, Coordinates!$A$2:$C$6, 2, FALSE)</f>
        <v>40.712800000000001</v>
      </c>
      <c r="Q1210">
        <f>VLOOKUP(O1210, Coordinates!$A$2:$C$6, 3, FALSE)</f>
        <v>-74.006</v>
      </c>
      <c r="R1210">
        <v>12</v>
      </c>
      <c r="S1210">
        <v>799</v>
      </c>
      <c r="T1210">
        <v>29</v>
      </c>
      <c r="U1210">
        <v>56.923711786217197</v>
      </c>
      <c r="V1210" t="s">
        <v>55</v>
      </c>
      <c r="W1210">
        <v>0.426253764034774</v>
      </c>
      <c r="X1210" t="s">
        <v>31</v>
      </c>
      <c r="Y1210" t="s">
        <v>41</v>
      </c>
      <c r="Z1210">
        <v>504.70867986490799</v>
      </c>
    </row>
    <row r="1211" spans="1:26" x14ac:dyDescent="0.3">
      <c r="A1211" t="s">
        <v>49</v>
      </c>
      <c r="B1211" t="s">
        <v>1267</v>
      </c>
      <c r="C1211">
        <v>9.9305896407943504</v>
      </c>
      <c r="D1211">
        <v>4</v>
      </c>
      <c r="E1211">
        <v>915</v>
      </c>
      <c r="F1211">
        <v>8122.1745129999999</v>
      </c>
      <c r="G1211" t="s">
        <v>35</v>
      </c>
      <c r="H1211">
        <v>29</v>
      </c>
      <c r="I1211">
        <v>26</v>
      </c>
      <c r="J1211">
        <v>21</v>
      </c>
      <c r="K1211">
        <v>7</v>
      </c>
      <c r="L1211" t="s">
        <v>36</v>
      </c>
      <c r="M1211">
        <v>6.9888485412587</v>
      </c>
      <c r="N1211" t="s">
        <v>45</v>
      </c>
      <c r="O1211" t="s">
        <v>38</v>
      </c>
      <c r="P1211">
        <f>VLOOKUP(O1211, Coordinates!$A$2:$C$6, 2, FALSE)</f>
        <v>25.761700000000001</v>
      </c>
      <c r="Q1211">
        <f>VLOOKUP(O1211, Coordinates!$A$2:$C$6, 3, FALSE)</f>
        <v>-80.191800000000001</v>
      </c>
      <c r="R1211">
        <v>25</v>
      </c>
      <c r="S1211">
        <v>842</v>
      </c>
      <c r="T1211">
        <v>22</v>
      </c>
      <c r="U1211">
        <v>82.408008374010294</v>
      </c>
      <c r="V1211" t="s">
        <v>39</v>
      </c>
      <c r="W1211">
        <v>4.66629356557881</v>
      </c>
      <c r="X1211" t="s">
        <v>46</v>
      </c>
      <c r="Y1211" t="s">
        <v>60</v>
      </c>
      <c r="Z1211">
        <v>354.12100985210401</v>
      </c>
    </row>
    <row r="1212" spans="1:26" x14ac:dyDescent="0.3">
      <c r="A1212" t="s">
        <v>33</v>
      </c>
      <c r="B1212" t="s">
        <v>1268</v>
      </c>
      <c r="C1212">
        <v>23.1562774021202</v>
      </c>
      <c r="D1212">
        <v>24</v>
      </c>
      <c r="E1212">
        <v>6</v>
      </c>
      <c r="F1212">
        <v>6232.29901484117</v>
      </c>
      <c r="G1212" t="s">
        <v>48</v>
      </c>
      <c r="H1212">
        <v>61</v>
      </c>
      <c r="I1212">
        <v>24</v>
      </c>
      <c r="J1212">
        <v>34</v>
      </c>
      <c r="K1212">
        <v>1</v>
      </c>
      <c r="L1212" t="s">
        <v>36</v>
      </c>
      <c r="M1212">
        <v>9.7623176619999992</v>
      </c>
      <c r="N1212" t="s">
        <v>51</v>
      </c>
      <c r="O1212" t="s">
        <v>65</v>
      </c>
      <c r="P1212">
        <f>VLOOKUP(O1212, Coordinates!$A$2:$C$6, 2, FALSE)</f>
        <v>41.878100000000003</v>
      </c>
      <c r="Q1212">
        <f>VLOOKUP(O1212, Coordinates!$A$2:$C$6, 3, FALSE)</f>
        <v>-87.629800000000003</v>
      </c>
      <c r="R1212">
        <v>26</v>
      </c>
      <c r="S1212">
        <v>289</v>
      </c>
      <c r="T1212">
        <v>19</v>
      </c>
      <c r="U1212">
        <v>33.972266402996198</v>
      </c>
      <c r="V1212" t="s">
        <v>30</v>
      </c>
      <c r="W1212">
        <v>2.54418329858317</v>
      </c>
      <c r="X1212" t="s">
        <v>40</v>
      </c>
      <c r="Y1212" t="s">
        <v>41</v>
      </c>
      <c r="Z1212">
        <v>935.11674425322099</v>
      </c>
    </row>
    <row r="1213" spans="1:26" x14ac:dyDescent="0.3">
      <c r="A1213" t="s">
        <v>82</v>
      </c>
      <c r="B1213" t="s">
        <v>1269</v>
      </c>
      <c r="C1213">
        <v>34.458031142561701</v>
      </c>
      <c r="D1213">
        <v>59</v>
      </c>
      <c r="E1213">
        <v>540</v>
      </c>
      <c r="F1213">
        <v>8027.06935028928</v>
      </c>
      <c r="G1213" t="s">
        <v>26</v>
      </c>
      <c r="H1213">
        <v>72</v>
      </c>
      <c r="I1213">
        <v>12</v>
      </c>
      <c r="J1213">
        <v>37</v>
      </c>
      <c r="K1213">
        <v>10</v>
      </c>
      <c r="L1213" t="s">
        <v>27</v>
      </c>
      <c r="M1213">
        <v>11.278063559373299</v>
      </c>
      <c r="N1213" t="s">
        <v>45</v>
      </c>
      <c r="O1213" t="s">
        <v>38</v>
      </c>
      <c r="P1213">
        <f>VLOOKUP(O1213, Coordinates!$A$2:$C$6, 2, FALSE)</f>
        <v>25.761700000000001</v>
      </c>
      <c r="Q1213">
        <f>VLOOKUP(O1213, Coordinates!$A$2:$C$6, 3, FALSE)</f>
        <v>-80.191800000000001</v>
      </c>
      <c r="R1213">
        <v>29</v>
      </c>
      <c r="S1213">
        <v>721</v>
      </c>
      <c r="T1213">
        <v>22</v>
      </c>
      <c r="U1213">
        <v>16.243508794552</v>
      </c>
      <c r="V1213" t="s">
        <v>55</v>
      </c>
      <c r="W1213">
        <v>4.1909451118650001</v>
      </c>
      <c r="X1213" t="s">
        <v>52</v>
      </c>
      <c r="Y1213" t="s">
        <v>60</v>
      </c>
      <c r="Z1213">
        <v>551.89738459791295</v>
      </c>
    </row>
    <row r="1214" spans="1:26" x14ac:dyDescent="0.3">
      <c r="A1214" t="s">
        <v>33</v>
      </c>
      <c r="B1214" t="s">
        <v>1270</v>
      </c>
      <c r="C1214">
        <v>74.513849973600202</v>
      </c>
      <c r="D1214">
        <v>99</v>
      </c>
      <c r="E1214">
        <v>722</v>
      </c>
      <c r="F1214">
        <v>2725.96112464303</v>
      </c>
      <c r="G1214" t="s">
        <v>35</v>
      </c>
      <c r="H1214">
        <v>44</v>
      </c>
      <c r="I1214">
        <v>28</v>
      </c>
      <c r="J1214">
        <v>52</v>
      </c>
      <c r="K1214">
        <v>9</v>
      </c>
      <c r="L1214" t="s">
        <v>44</v>
      </c>
      <c r="M1214">
        <v>11.9894123255641</v>
      </c>
      <c r="N1214" t="s">
        <v>45</v>
      </c>
      <c r="O1214" t="s">
        <v>38</v>
      </c>
      <c r="P1214">
        <f>VLOOKUP(O1214, Coordinates!$A$2:$C$6, 2, FALSE)</f>
        <v>25.761700000000001</v>
      </c>
      <c r="Q1214">
        <f>VLOOKUP(O1214, Coordinates!$A$2:$C$6, 3, FALSE)</f>
        <v>-80.191800000000001</v>
      </c>
      <c r="R1214">
        <v>29</v>
      </c>
      <c r="S1214">
        <v>515</v>
      </c>
      <c r="T1214">
        <v>16</v>
      </c>
      <c r="U1214">
        <v>38.238292924157697</v>
      </c>
      <c r="V1214" t="s">
        <v>55</v>
      </c>
      <c r="W1214">
        <v>4.7611191016407801</v>
      </c>
      <c r="X1214" t="s">
        <v>31</v>
      </c>
      <c r="Y1214" t="s">
        <v>32</v>
      </c>
      <c r="Z1214">
        <v>569.94448332629099</v>
      </c>
    </row>
    <row r="1215" spans="1:26" x14ac:dyDescent="0.3">
      <c r="A1215" t="s">
        <v>82</v>
      </c>
      <c r="B1215" t="s">
        <v>1271</v>
      </c>
      <c r="C1215">
        <v>65.860381316245693</v>
      </c>
      <c r="D1215">
        <v>3</v>
      </c>
      <c r="E1215">
        <v>836</v>
      </c>
      <c r="F1215">
        <v>1450.58074383964</v>
      </c>
      <c r="G1215" t="s">
        <v>48</v>
      </c>
      <c r="H1215">
        <v>34</v>
      </c>
      <c r="I1215">
        <v>20</v>
      </c>
      <c r="J1215">
        <v>86</v>
      </c>
      <c r="K1215">
        <v>1</v>
      </c>
      <c r="L1215" t="s">
        <v>27</v>
      </c>
      <c r="M1215">
        <v>10.094467332086399</v>
      </c>
      <c r="N1215" t="s">
        <v>28</v>
      </c>
      <c r="O1215" t="s">
        <v>65</v>
      </c>
      <c r="P1215">
        <f>VLOOKUP(O1215, Coordinates!$A$2:$C$6, 2, FALSE)</f>
        <v>41.878100000000003</v>
      </c>
      <c r="Q1215">
        <f>VLOOKUP(O1215, Coordinates!$A$2:$C$6, 3, FALSE)</f>
        <v>-87.629800000000003</v>
      </c>
      <c r="R1215">
        <v>28</v>
      </c>
      <c r="S1215">
        <v>913</v>
      </c>
      <c r="T1215">
        <v>18</v>
      </c>
      <c r="U1215">
        <v>98.553504615783396</v>
      </c>
      <c r="V1215" t="s">
        <v>39</v>
      </c>
      <c r="W1215">
        <v>3.3413368508955901</v>
      </c>
      <c r="X1215" t="s">
        <v>46</v>
      </c>
      <c r="Y1215" t="s">
        <v>32</v>
      </c>
      <c r="Z1215">
        <v>168.53223449999999</v>
      </c>
    </row>
    <row r="1216" spans="1:26" x14ac:dyDescent="0.3">
      <c r="A1216" t="s">
        <v>33</v>
      </c>
      <c r="B1216" t="s">
        <v>1272</v>
      </c>
      <c r="C1216">
        <v>44.5146709352762</v>
      </c>
      <c r="D1216">
        <v>68</v>
      </c>
      <c r="E1216">
        <v>715</v>
      </c>
      <c r="F1216">
        <v>8862.7044037122996</v>
      </c>
      <c r="G1216" t="s">
        <v>26</v>
      </c>
      <c r="H1216">
        <v>81</v>
      </c>
      <c r="I1216">
        <v>24</v>
      </c>
      <c r="J1216">
        <v>56</v>
      </c>
      <c r="K1216">
        <v>5</v>
      </c>
      <c r="L1216" t="s">
        <v>27</v>
      </c>
      <c r="M1216">
        <v>7.1281354230230098</v>
      </c>
      <c r="N1216" t="s">
        <v>57</v>
      </c>
      <c r="O1216" t="s">
        <v>58</v>
      </c>
      <c r="P1216">
        <f>VLOOKUP(O1216, Coordinates!$A$2:$C$6, 2, FALSE)</f>
        <v>34.052199999999999</v>
      </c>
      <c r="Q1216">
        <f>VLOOKUP(O1216, Coordinates!$A$2:$C$6, 3, FALSE)</f>
        <v>-118.2437</v>
      </c>
      <c r="R1216">
        <v>6</v>
      </c>
      <c r="S1216">
        <v>890</v>
      </c>
      <c r="T1216">
        <v>10</v>
      </c>
      <c r="U1216">
        <v>90.949707804212693</v>
      </c>
      <c r="V1216" t="s">
        <v>55</v>
      </c>
      <c r="W1216">
        <v>2.1649834377575798</v>
      </c>
      <c r="X1216" t="s">
        <v>46</v>
      </c>
      <c r="Y1216" t="s">
        <v>32</v>
      </c>
      <c r="Z1216">
        <v>907.62491922484003</v>
      </c>
    </row>
    <row r="1217" spans="1:26" x14ac:dyDescent="0.3">
      <c r="A1217" t="s">
        <v>24</v>
      </c>
      <c r="B1217" t="s">
        <v>1273</v>
      </c>
      <c r="C1217">
        <v>36.353714437336002</v>
      </c>
      <c r="D1217">
        <v>40</v>
      </c>
      <c r="E1217">
        <v>360</v>
      </c>
      <c r="F1217">
        <v>11778.603477696801</v>
      </c>
      <c r="G1217" t="s">
        <v>54</v>
      </c>
      <c r="H1217">
        <v>41</v>
      </c>
      <c r="I1217">
        <v>14</v>
      </c>
      <c r="J1217">
        <v>58</v>
      </c>
      <c r="K1217">
        <v>8</v>
      </c>
      <c r="L1217" t="s">
        <v>36</v>
      </c>
      <c r="M1217">
        <v>14.3014525777215</v>
      </c>
      <c r="N1217" t="s">
        <v>28</v>
      </c>
      <c r="O1217" t="s">
        <v>65</v>
      </c>
      <c r="P1217">
        <f>VLOOKUP(O1217, Coordinates!$A$2:$C$6, 2, FALSE)</f>
        <v>41.878100000000003</v>
      </c>
      <c r="Q1217">
        <f>VLOOKUP(O1217, Coordinates!$A$2:$C$6, 3, FALSE)</f>
        <v>-87.629800000000003</v>
      </c>
      <c r="R1217">
        <v>28</v>
      </c>
      <c r="S1217">
        <v>205</v>
      </c>
      <c r="T1217">
        <v>29</v>
      </c>
      <c r="U1217">
        <v>84.865128555130099</v>
      </c>
      <c r="V1217" t="s">
        <v>30</v>
      </c>
      <c r="W1217">
        <v>3.2176652926868798</v>
      </c>
      <c r="X1217" t="s">
        <v>31</v>
      </c>
      <c r="Y1217" t="s">
        <v>32</v>
      </c>
      <c r="Z1217">
        <v>315.12474255419301</v>
      </c>
    </row>
    <row r="1218" spans="1:26" x14ac:dyDescent="0.3">
      <c r="A1218" t="s">
        <v>82</v>
      </c>
      <c r="B1218" t="s">
        <v>1274</v>
      </c>
      <c r="C1218">
        <v>62.914946107405598</v>
      </c>
      <c r="D1218">
        <v>48</v>
      </c>
      <c r="E1218">
        <v>630</v>
      </c>
      <c r="F1218">
        <v>3220.1958676959698</v>
      </c>
      <c r="G1218" t="s">
        <v>35</v>
      </c>
      <c r="H1218">
        <v>4</v>
      </c>
      <c r="I1218">
        <v>22</v>
      </c>
      <c r="J1218">
        <v>95</v>
      </c>
      <c r="K1218">
        <v>1</v>
      </c>
      <c r="L1218" t="s">
        <v>44</v>
      </c>
      <c r="M1218">
        <v>10.9542757491977</v>
      </c>
      <c r="N1218" t="s">
        <v>51</v>
      </c>
      <c r="O1218" t="s">
        <v>65</v>
      </c>
      <c r="P1218">
        <f>VLOOKUP(O1218, Coordinates!$A$2:$C$6, 2, FALSE)</f>
        <v>41.878100000000003</v>
      </c>
      <c r="Q1218">
        <f>VLOOKUP(O1218, Coordinates!$A$2:$C$6, 3, FALSE)</f>
        <v>-87.629800000000003</v>
      </c>
      <c r="R1218">
        <v>22</v>
      </c>
      <c r="S1218">
        <v>264</v>
      </c>
      <c r="T1218">
        <v>1</v>
      </c>
      <c r="U1218">
        <v>88.864479887055396</v>
      </c>
      <c r="V1218" t="s">
        <v>30</v>
      </c>
      <c r="W1218">
        <v>1.52369878107257</v>
      </c>
      <c r="X1218" t="s">
        <v>52</v>
      </c>
      <c r="Y1218" t="s">
        <v>60</v>
      </c>
      <c r="Z1218">
        <v>472.561769666484</v>
      </c>
    </row>
    <row r="1219" spans="1:26" x14ac:dyDescent="0.3">
      <c r="A1219" t="s">
        <v>61</v>
      </c>
      <c r="B1219" t="s">
        <v>1275</v>
      </c>
      <c r="C1219">
        <v>90.123875967435794</v>
      </c>
      <c r="D1219">
        <v>54</v>
      </c>
      <c r="E1219">
        <v>796</v>
      </c>
      <c r="F1219">
        <v>7257.8705466194597</v>
      </c>
      <c r="G1219" t="s">
        <v>48</v>
      </c>
      <c r="H1219">
        <v>26</v>
      </c>
      <c r="I1219">
        <v>16</v>
      </c>
      <c r="J1219">
        <v>63</v>
      </c>
      <c r="K1219">
        <v>7</v>
      </c>
      <c r="L1219" t="s">
        <v>36</v>
      </c>
      <c r="M1219">
        <v>6.9732125718464797</v>
      </c>
      <c r="N1219" t="s">
        <v>57</v>
      </c>
      <c r="O1219" t="s">
        <v>58</v>
      </c>
      <c r="P1219">
        <f>VLOOKUP(O1219, Coordinates!$A$2:$C$6, 2, FALSE)</f>
        <v>34.052199999999999</v>
      </c>
      <c r="Q1219">
        <f>VLOOKUP(O1219, Coordinates!$A$2:$C$6, 3, FALSE)</f>
        <v>-118.2437</v>
      </c>
      <c r="R1219">
        <v>12</v>
      </c>
      <c r="S1219">
        <v>737</v>
      </c>
      <c r="T1219">
        <v>8</v>
      </c>
      <c r="U1219">
        <v>12.9479035704992</v>
      </c>
      <c r="V1219" t="s">
        <v>30</v>
      </c>
      <c r="W1219">
        <v>2.206540956</v>
      </c>
      <c r="X1219" t="s">
        <v>52</v>
      </c>
      <c r="Y1219" t="s">
        <v>41</v>
      </c>
      <c r="Z1219">
        <v>986.76511340158902</v>
      </c>
    </row>
    <row r="1220" spans="1:26" x14ac:dyDescent="0.3">
      <c r="A1220" t="s">
        <v>72</v>
      </c>
      <c r="B1220" t="s">
        <v>1276</v>
      </c>
      <c r="C1220">
        <v>38.991660888990403</v>
      </c>
      <c r="D1220">
        <v>35</v>
      </c>
      <c r="E1220">
        <v>671</v>
      </c>
      <c r="F1220">
        <v>23547.064010861301</v>
      </c>
      <c r="G1220" t="s">
        <v>48</v>
      </c>
      <c r="H1220">
        <v>69</v>
      </c>
      <c r="I1220">
        <v>29</v>
      </c>
      <c r="J1220">
        <v>27</v>
      </c>
      <c r="K1220">
        <v>2</v>
      </c>
      <c r="L1220" t="s">
        <v>27</v>
      </c>
      <c r="M1220">
        <v>7.2521448793370604</v>
      </c>
      <c r="N1220" t="s">
        <v>37</v>
      </c>
      <c r="O1220" t="s">
        <v>38</v>
      </c>
      <c r="P1220">
        <f>VLOOKUP(O1220, Coordinates!$A$2:$C$6, 2, FALSE)</f>
        <v>25.761700000000001</v>
      </c>
      <c r="Q1220">
        <f>VLOOKUP(O1220, Coordinates!$A$2:$C$6, 3, FALSE)</f>
        <v>-80.191800000000001</v>
      </c>
      <c r="R1220">
        <v>24</v>
      </c>
      <c r="S1220">
        <v>445</v>
      </c>
      <c r="T1220">
        <v>3</v>
      </c>
      <c r="U1220">
        <v>89.975685940000005</v>
      </c>
      <c r="V1220" t="s">
        <v>55</v>
      </c>
      <c r="W1220">
        <v>1.9666352426614</v>
      </c>
      <c r="X1220" t="s">
        <v>40</v>
      </c>
      <c r="Y1220" t="s">
        <v>60</v>
      </c>
      <c r="Z1220">
        <v>202.50564069840601</v>
      </c>
    </row>
    <row r="1221" spans="1:26" x14ac:dyDescent="0.3">
      <c r="A1221" t="s">
        <v>72</v>
      </c>
      <c r="B1221" t="s">
        <v>1277</v>
      </c>
      <c r="C1221">
        <v>25.326222004557501</v>
      </c>
      <c r="D1221">
        <v>95</v>
      </c>
      <c r="E1221">
        <v>169</v>
      </c>
      <c r="F1221">
        <v>3852.1183668931999</v>
      </c>
      <c r="G1221" t="s">
        <v>35</v>
      </c>
      <c r="H1221">
        <v>61</v>
      </c>
      <c r="I1221">
        <v>19</v>
      </c>
      <c r="J1221">
        <v>36</v>
      </c>
      <c r="K1221">
        <v>7</v>
      </c>
      <c r="L1221" t="s">
        <v>36</v>
      </c>
      <c r="M1221">
        <v>12.4517318990062</v>
      </c>
      <c r="N1221" t="s">
        <v>57</v>
      </c>
      <c r="O1221" t="s">
        <v>65</v>
      </c>
      <c r="P1221">
        <f>VLOOKUP(O1221, Coordinates!$A$2:$C$6, 2, FALSE)</f>
        <v>41.878100000000003</v>
      </c>
      <c r="Q1221">
        <f>VLOOKUP(O1221, Coordinates!$A$2:$C$6, 3, FALSE)</f>
        <v>-87.629800000000003</v>
      </c>
      <c r="R1221">
        <v>28</v>
      </c>
      <c r="S1221">
        <v>197</v>
      </c>
      <c r="T1221">
        <v>30</v>
      </c>
      <c r="U1221">
        <v>80.614851979635404</v>
      </c>
      <c r="V1221" t="s">
        <v>55</v>
      </c>
      <c r="W1221">
        <v>1.64555000609318</v>
      </c>
      <c r="X1221" t="s">
        <v>40</v>
      </c>
      <c r="Y1221" t="s">
        <v>32</v>
      </c>
      <c r="Z1221">
        <v>746.67508034288403</v>
      </c>
    </row>
    <row r="1222" spans="1:26" x14ac:dyDescent="0.3">
      <c r="A1222" t="s">
        <v>42</v>
      </c>
      <c r="B1222" t="s">
        <v>1278</v>
      </c>
      <c r="C1222">
        <v>30.786664875248999</v>
      </c>
      <c r="D1222">
        <v>56</v>
      </c>
      <c r="E1222">
        <v>738</v>
      </c>
      <c r="F1222">
        <v>3681.81815196042</v>
      </c>
      <c r="G1222" t="s">
        <v>26</v>
      </c>
      <c r="H1222">
        <v>31</v>
      </c>
      <c r="I1222">
        <v>23</v>
      </c>
      <c r="J1222">
        <v>81</v>
      </c>
      <c r="K1222">
        <v>7</v>
      </c>
      <c r="L1222" t="s">
        <v>36</v>
      </c>
      <c r="M1222">
        <v>7.16757242811412</v>
      </c>
      <c r="N1222" t="s">
        <v>28</v>
      </c>
      <c r="O1222" t="s">
        <v>29</v>
      </c>
      <c r="P1222">
        <f>VLOOKUP(O1222, Coordinates!$A$2:$C$6, 2, FALSE)</f>
        <v>29.760400000000001</v>
      </c>
      <c r="Q1222">
        <f>VLOOKUP(O1222, Coordinates!$A$2:$C$6, 3, FALSE)</f>
        <v>-95.369799999999998</v>
      </c>
      <c r="R1222">
        <v>1</v>
      </c>
      <c r="S1222">
        <v>585</v>
      </c>
      <c r="T1222">
        <v>16</v>
      </c>
      <c r="U1222">
        <v>29.930702591515502</v>
      </c>
      <c r="V1222" t="s">
        <v>30</v>
      </c>
      <c r="W1222">
        <v>1.1928541280548299</v>
      </c>
      <c r="X1222" t="s">
        <v>31</v>
      </c>
      <c r="Y1222" t="s">
        <v>32</v>
      </c>
      <c r="Z1222">
        <v>334.12096435874298</v>
      </c>
    </row>
    <row r="1223" spans="1:26" x14ac:dyDescent="0.3">
      <c r="A1223" t="s">
        <v>72</v>
      </c>
      <c r="B1223" t="s">
        <v>1279</v>
      </c>
      <c r="C1223">
        <v>35.213002759552403</v>
      </c>
      <c r="D1223">
        <v>89</v>
      </c>
      <c r="E1223">
        <v>95</v>
      </c>
      <c r="F1223">
        <v>3010.7117359417298</v>
      </c>
      <c r="G1223" t="s">
        <v>48</v>
      </c>
      <c r="H1223">
        <v>7</v>
      </c>
      <c r="I1223">
        <v>3</v>
      </c>
      <c r="J1223">
        <v>15</v>
      </c>
      <c r="K1223">
        <v>9</v>
      </c>
      <c r="L1223" t="s">
        <v>27</v>
      </c>
      <c r="M1223">
        <v>8.2278307189072706</v>
      </c>
      <c r="N1223" t="s">
        <v>28</v>
      </c>
      <c r="O1223" t="s">
        <v>65</v>
      </c>
      <c r="P1223">
        <f>VLOOKUP(O1223, Coordinates!$A$2:$C$6, 2, FALSE)</f>
        <v>41.878100000000003</v>
      </c>
      <c r="Q1223">
        <f>VLOOKUP(O1223, Coordinates!$A$2:$C$6, 3, FALSE)</f>
        <v>-87.629800000000003</v>
      </c>
      <c r="R1223">
        <v>7</v>
      </c>
      <c r="S1223">
        <v>430</v>
      </c>
      <c r="T1223">
        <v>24</v>
      </c>
      <c r="U1223">
        <v>83.928523161379502</v>
      </c>
      <c r="V1223" t="s">
        <v>55</v>
      </c>
      <c r="W1223">
        <v>0.39229500270436501</v>
      </c>
      <c r="X1223" t="s">
        <v>31</v>
      </c>
      <c r="Y1223" t="s">
        <v>60</v>
      </c>
      <c r="Z1223">
        <v>477.81109029978501</v>
      </c>
    </row>
    <row r="1224" spans="1:26" x14ac:dyDescent="0.3">
      <c r="A1224" t="s">
        <v>49</v>
      </c>
      <c r="B1224" t="s">
        <v>1280</v>
      </c>
      <c r="C1224">
        <v>37.011648943158299</v>
      </c>
      <c r="D1224">
        <v>40</v>
      </c>
      <c r="E1224">
        <v>171</v>
      </c>
      <c r="F1224">
        <v>3705.9007650466901</v>
      </c>
      <c r="G1224" t="s">
        <v>26</v>
      </c>
      <c r="H1224">
        <v>84</v>
      </c>
      <c r="I1224">
        <v>11</v>
      </c>
      <c r="J1224">
        <v>84</v>
      </c>
      <c r="K1224">
        <v>6</v>
      </c>
      <c r="L1224" t="s">
        <v>36</v>
      </c>
      <c r="M1224">
        <v>5.0817320868747302</v>
      </c>
      <c r="N1224" t="s">
        <v>45</v>
      </c>
      <c r="O1224" t="s">
        <v>38</v>
      </c>
      <c r="P1224">
        <f>VLOOKUP(O1224, Coordinates!$A$2:$C$6, 2, FALSE)</f>
        <v>25.761700000000001</v>
      </c>
      <c r="Q1224">
        <f>VLOOKUP(O1224, Coordinates!$A$2:$C$6, 3, FALSE)</f>
        <v>-80.191800000000001</v>
      </c>
      <c r="R1224">
        <v>30</v>
      </c>
      <c r="S1224">
        <v>469</v>
      </c>
      <c r="T1224">
        <v>3</v>
      </c>
      <c r="U1224">
        <v>87.56267914</v>
      </c>
      <c r="V1224" t="s">
        <v>39</v>
      </c>
      <c r="W1224">
        <v>4.34315449746315</v>
      </c>
      <c r="X1224" t="s">
        <v>52</v>
      </c>
      <c r="Y1224" t="s">
        <v>60</v>
      </c>
      <c r="Z1224">
        <v>476.37363519474599</v>
      </c>
    </row>
    <row r="1225" spans="1:26" x14ac:dyDescent="0.3">
      <c r="A1225" t="s">
        <v>24</v>
      </c>
      <c r="B1225" t="s">
        <v>1281</v>
      </c>
      <c r="C1225">
        <v>30.112710441585001</v>
      </c>
      <c r="D1225">
        <v>77</v>
      </c>
      <c r="E1225">
        <v>963</v>
      </c>
      <c r="F1225">
        <v>26098.6861397217</v>
      </c>
      <c r="H1225">
        <v>17</v>
      </c>
      <c r="I1225">
        <v>23</v>
      </c>
      <c r="J1225">
        <v>78</v>
      </c>
      <c r="K1225">
        <v>4</v>
      </c>
      <c r="L1225" t="s">
        <v>27</v>
      </c>
      <c r="M1225">
        <v>12.744807674394099</v>
      </c>
      <c r="N1225" t="s">
        <v>37</v>
      </c>
      <c r="O1225" t="s">
        <v>58</v>
      </c>
      <c r="P1225">
        <f>VLOOKUP(O1225, Coordinates!$A$2:$C$6, 2, FALSE)</f>
        <v>34.052199999999999</v>
      </c>
      <c r="Q1225">
        <f>VLOOKUP(O1225, Coordinates!$A$2:$C$6, 3, FALSE)</f>
        <v>-118.2437</v>
      </c>
      <c r="R1225">
        <v>7</v>
      </c>
      <c r="S1225">
        <v>541</v>
      </c>
      <c r="T1225">
        <v>2</v>
      </c>
      <c r="U1225">
        <v>75.305767250807804</v>
      </c>
      <c r="V1225" t="s">
        <v>30</v>
      </c>
      <c r="W1225">
        <v>2.6864409310294701</v>
      </c>
      <c r="X1225" t="s">
        <v>52</v>
      </c>
      <c r="Y1225" t="s">
        <v>41</v>
      </c>
      <c r="Z1225">
        <v>939.00967683910903</v>
      </c>
    </row>
    <row r="1226" spans="1:26" x14ac:dyDescent="0.3">
      <c r="A1226" t="s">
        <v>33</v>
      </c>
      <c r="B1226" t="s">
        <v>1282</v>
      </c>
      <c r="C1226">
        <v>43.546361018430702</v>
      </c>
      <c r="D1226">
        <v>68</v>
      </c>
      <c r="E1226">
        <v>211</v>
      </c>
      <c r="F1226">
        <v>4383.4453789999998</v>
      </c>
      <c r="G1226" t="s">
        <v>48</v>
      </c>
      <c r="H1226">
        <v>77</v>
      </c>
      <c r="I1226">
        <v>21</v>
      </c>
      <c r="J1226">
        <v>80</v>
      </c>
      <c r="K1226">
        <v>7</v>
      </c>
      <c r="L1226" t="s">
        <v>36</v>
      </c>
      <c r="M1226">
        <v>8.3119967240000001</v>
      </c>
      <c r="N1226" t="s">
        <v>57</v>
      </c>
      <c r="O1226" t="s">
        <v>58</v>
      </c>
      <c r="P1226">
        <f>VLOOKUP(O1226, Coordinates!$A$2:$C$6, 2, FALSE)</f>
        <v>34.052199999999999</v>
      </c>
      <c r="Q1226">
        <f>VLOOKUP(O1226, Coordinates!$A$2:$C$6, 3, FALSE)</f>
        <v>-118.2437</v>
      </c>
      <c r="R1226">
        <v>9</v>
      </c>
      <c r="S1226">
        <v>219</v>
      </c>
      <c r="T1226">
        <v>12</v>
      </c>
      <c r="U1226">
        <v>99.012044648083204</v>
      </c>
      <c r="V1226" t="s">
        <v>30</v>
      </c>
      <c r="W1226">
        <v>1.6807752205102799</v>
      </c>
      <c r="X1226" t="s">
        <v>31</v>
      </c>
      <c r="Y1226" t="s">
        <v>41</v>
      </c>
      <c r="Z1226">
        <v>109.326111040811</v>
      </c>
    </row>
    <row r="1227" spans="1:26" x14ac:dyDescent="0.3">
      <c r="A1227" t="s">
        <v>42</v>
      </c>
      <c r="B1227" t="s">
        <v>1283</v>
      </c>
      <c r="C1227">
        <v>25.946401295465101</v>
      </c>
      <c r="D1227">
        <v>46</v>
      </c>
      <c r="E1227">
        <v>286</v>
      </c>
      <c r="F1227">
        <v>5813.8548018287902</v>
      </c>
      <c r="G1227" t="s">
        <v>54</v>
      </c>
      <c r="H1227">
        <v>14</v>
      </c>
      <c r="I1227">
        <v>20</v>
      </c>
      <c r="J1227">
        <v>31</v>
      </c>
      <c r="K1227">
        <v>7</v>
      </c>
      <c r="L1227" t="s">
        <v>44</v>
      </c>
      <c r="M1227">
        <v>8.73550313745198</v>
      </c>
      <c r="N1227" t="s">
        <v>37</v>
      </c>
      <c r="O1227" t="s">
        <v>29</v>
      </c>
      <c r="P1227">
        <f>VLOOKUP(O1227, Coordinates!$A$2:$C$6, 2, FALSE)</f>
        <v>29.760400000000001</v>
      </c>
      <c r="Q1227">
        <f>VLOOKUP(O1227, Coordinates!$A$2:$C$6, 3, FALSE)</f>
        <v>-95.369799999999998</v>
      </c>
      <c r="R1227">
        <v>20</v>
      </c>
      <c r="S1227">
        <v>952</v>
      </c>
      <c r="T1227">
        <v>8</v>
      </c>
      <c r="U1227">
        <v>22.120270865123299</v>
      </c>
      <c r="V1227" t="s">
        <v>39</v>
      </c>
      <c r="W1227">
        <v>4.8792193151772203</v>
      </c>
      <c r="X1227" t="s">
        <v>31</v>
      </c>
      <c r="Y1227" t="s">
        <v>41</v>
      </c>
      <c r="Z1227">
        <v>430.48366915704298</v>
      </c>
    </row>
    <row r="1228" spans="1:26" x14ac:dyDescent="0.3">
      <c r="A1228" t="s">
        <v>49</v>
      </c>
      <c r="B1228" t="s">
        <v>1284</v>
      </c>
      <c r="C1228">
        <v>77.435874025177498</v>
      </c>
      <c r="D1228">
        <v>78</v>
      </c>
      <c r="E1228">
        <v>69</v>
      </c>
      <c r="F1228">
        <v>8889.3830695151591</v>
      </c>
      <c r="H1228">
        <v>25</v>
      </c>
      <c r="I1228">
        <v>19</v>
      </c>
      <c r="J1228">
        <v>68</v>
      </c>
      <c r="K1228">
        <v>4</v>
      </c>
      <c r="L1228" t="s">
        <v>27</v>
      </c>
      <c r="M1228">
        <v>13.3294556379875</v>
      </c>
      <c r="N1228" t="s">
        <v>45</v>
      </c>
      <c r="O1228" t="s">
        <v>38</v>
      </c>
      <c r="P1228">
        <f>VLOOKUP(O1228, Coordinates!$A$2:$C$6, 2, FALSE)</f>
        <v>25.761700000000001</v>
      </c>
      <c r="Q1228">
        <f>VLOOKUP(O1228, Coordinates!$A$2:$C$6, 3, FALSE)</f>
        <v>-80.191800000000001</v>
      </c>
      <c r="R1228">
        <v>27</v>
      </c>
      <c r="S1228">
        <v>398</v>
      </c>
      <c r="T1228">
        <v>19</v>
      </c>
      <c r="U1228">
        <v>42.051556650000002</v>
      </c>
      <c r="V1228" t="s">
        <v>55</v>
      </c>
      <c r="W1228">
        <v>4.3926880850961201</v>
      </c>
      <c r="X1228" t="s">
        <v>46</v>
      </c>
      <c r="Y1228" t="s">
        <v>41</v>
      </c>
      <c r="Z1228">
        <v>867.18103582655601</v>
      </c>
    </row>
    <row r="1229" spans="1:26" x14ac:dyDescent="0.3">
      <c r="A1229" t="s">
        <v>49</v>
      </c>
      <c r="B1229" t="s">
        <v>1285</v>
      </c>
      <c r="C1229">
        <v>56.534745328952297</v>
      </c>
      <c r="D1229">
        <v>13</v>
      </c>
      <c r="E1229">
        <v>892</v>
      </c>
      <c r="F1229">
        <v>9212.3654880733102</v>
      </c>
      <c r="G1229" t="s">
        <v>54</v>
      </c>
      <c r="H1229">
        <v>52</v>
      </c>
      <c r="I1229">
        <v>8</v>
      </c>
      <c r="J1229">
        <v>56</v>
      </c>
      <c r="K1229">
        <v>2</v>
      </c>
      <c r="L1229" t="s">
        <v>44</v>
      </c>
      <c r="M1229">
        <v>13.8872417498609</v>
      </c>
      <c r="N1229" t="s">
        <v>37</v>
      </c>
      <c r="O1229" t="s">
        <v>58</v>
      </c>
      <c r="P1229">
        <f>VLOOKUP(O1229, Coordinates!$A$2:$C$6, 2, FALSE)</f>
        <v>34.052199999999999</v>
      </c>
      <c r="Q1229">
        <f>VLOOKUP(O1229, Coordinates!$A$2:$C$6, 3, FALSE)</f>
        <v>-118.2437</v>
      </c>
      <c r="R1229">
        <v>23</v>
      </c>
      <c r="S1229">
        <v>955</v>
      </c>
      <c r="T1229">
        <v>24</v>
      </c>
      <c r="U1229">
        <v>38.009203460000002</v>
      </c>
      <c r="V1229" t="s">
        <v>39</v>
      </c>
      <c r="W1229">
        <v>4.4450525949999999</v>
      </c>
      <c r="X1229" t="s">
        <v>46</v>
      </c>
      <c r="Y1229" t="s">
        <v>32</v>
      </c>
      <c r="Z1229">
        <v>919.46096720412504</v>
      </c>
    </row>
    <row r="1230" spans="1:26" x14ac:dyDescent="0.3">
      <c r="A1230" t="s">
        <v>82</v>
      </c>
      <c r="B1230" t="s">
        <v>1286</v>
      </c>
      <c r="C1230">
        <v>19.2121377050604</v>
      </c>
      <c r="D1230">
        <v>27</v>
      </c>
      <c r="E1230">
        <v>520</v>
      </c>
      <c r="F1230">
        <v>3393.766581887</v>
      </c>
      <c r="G1230" t="s">
        <v>35</v>
      </c>
      <c r="H1230">
        <v>43</v>
      </c>
      <c r="I1230">
        <v>20</v>
      </c>
      <c r="J1230">
        <v>77</v>
      </c>
      <c r="K1230">
        <v>9</v>
      </c>
      <c r="L1230" t="s">
        <v>36</v>
      </c>
      <c r="M1230">
        <v>12.5387131533312</v>
      </c>
      <c r="N1230" t="s">
        <v>37</v>
      </c>
      <c r="O1230" t="s">
        <v>67</v>
      </c>
      <c r="P1230">
        <f>VLOOKUP(O1230, Coordinates!$A$2:$C$6, 2, FALSE)</f>
        <v>40.712800000000001</v>
      </c>
      <c r="Q1230">
        <f>VLOOKUP(O1230, Coordinates!$A$2:$C$6, 3, FALSE)</f>
        <v>-74.006</v>
      </c>
      <c r="R1230">
        <v>12</v>
      </c>
      <c r="S1230">
        <v>242</v>
      </c>
      <c r="T1230">
        <v>18</v>
      </c>
      <c r="U1230">
        <v>89.211901394701798</v>
      </c>
      <c r="V1230" t="s">
        <v>39</v>
      </c>
      <c r="W1230">
        <v>2.8504265476080901</v>
      </c>
      <c r="X1230" t="s">
        <v>46</v>
      </c>
      <c r="Y1230" t="s">
        <v>32</v>
      </c>
      <c r="Z1230">
        <v>380.19216078869698</v>
      </c>
    </row>
    <row r="1231" spans="1:26" x14ac:dyDescent="0.3">
      <c r="A1231" t="s">
        <v>72</v>
      </c>
      <c r="B1231" t="s">
        <v>1287</v>
      </c>
      <c r="C1231">
        <v>27.6012245886531</v>
      </c>
      <c r="D1231">
        <v>6</v>
      </c>
      <c r="E1231">
        <v>161</v>
      </c>
      <c r="F1231">
        <v>3999.4174428958399</v>
      </c>
      <c r="G1231" t="s">
        <v>48</v>
      </c>
      <c r="H1231">
        <v>31</v>
      </c>
      <c r="I1231">
        <v>8</v>
      </c>
      <c r="J1231">
        <v>41</v>
      </c>
      <c r="K1231">
        <v>8</v>
      </c>
      <c r="L1231" t="s">
        <v>44</v>
      </c>
      <c r="M1231">
        <v>1.9151857816823099</v>
      </c>
      <c r="N1231" t="s">
        <v>57</v>
      </c>
      <c r="O1231" t="s">
        <v>29</v>
      </c>
      <c r="P1231">
        <f>VLOOKUP(O1231, Coordinates!$A$2:$C$6, 2, FALSE)</f>
        <v>29.760400000000001</v>
      </c>
      <c r="Q1231">
        <f>VLOOKUP(O1231, Coordinates!$A$2:$C$6, 3, FALSE)</f>
        <v>-95.369799999999998</v>
      </c>
      <c r="R1231">
        <v>13</v>
      </c>
      <c r="S1231">
        <v>806</v>
      </c>
      <c r="T1231">
        <v>20</v>
      </c>
      <c r="U1231">
        <v>94.765866308107704</v>
      </c>
      <c r="V1231" t="s">
        <v>30</v>
      </c>
      <c r="W1231">
        <v>0.94957926485830502</v>
      </c>
      <c r="X1231" t="s">
        <v>46</v>
      </c>
      <c r="Y1231" t="s">
        <v>41</v>
      </c>
      <c r="Z1231">
        <v>934.73040638391501</v>
      </c>
    </row>
    <row r="1232" spans="1:26" x14ac:dyDescent="0.3">
      <c r="A1232" t="s">
        <v>61</v>
      </c>
      <c r="B1232" t="s">
        <v>1288</v>
      </c>
      <c r="C1232">
        <v>44.374622976237603</v>
      </c>
      <c r="D1232">
        <v>17</v>
      </c>
      <c r="E1232">
        <v>765</v>
      </c>
      <c r="F1232">
        <v>5942.2961371730598</v>
      </c>
      <c r="G1232" t="s">
        <v>35</v>
      </c>
      <c r="H1232">
        <v>27</v>
      </c>
      <c r="I1232">
        <v>26</v>
      </c>
      <c r="J1232">
        <v>92</v>
      </c>
      <c r="K1232">
        <v>8</v>
      </c>
      <c r="L1232" t="s">
        <v>44</v>
      </c>
      <c r="M1232">
        <v>7.2091274249215997</v>
      </c>
      <c r="N1232" t="s">
        <v>37</v>
      </c>
      <c r="O1232" t="s">
        <v>65</v>
      </c>
      <c r="P1232">
        <f>VLOOKUP(O1232, Coordinates!$A$2:$C$6, 2, FALSE)</f>
        <v>41.878100000000003</v>
      </c>
      <c r="Q1232">
        <f>VLOOKUP(O1232, Coordinates!$A$2:$C$6, 3, FALSE)</f>
        <v>-87.629800000000003</v>
      </c>
      <c r="R1232">
        <v>22</v>
      </c>
      <c r="S1232">
        <v>741</v>
      </c>
      <c r="T1232">
        <v>25</v>
      </c>
      <c r="U1232">
        <v>41.811489790000003</v>
      </c>
      <c r="V1232" t="s">
        <v>30</v>
      </c>
      <c r="W1232">
        <v>4.8731126980095896</v>
      </c>
      <c r="X1232" t="s">
        <v>46</v>
      </c>
      <c r="Y1232" t="s">
        <v>41</v>
      </c>
      <c r="Z1232">
        <v>994.951616149355</v>
      </c>
    </row>
    <row r="1233" spans="1:26" x14ac:dyDescent="0.3">
      <c r="A1233" t="s">
        <v>61</v>
      </c>
      <c r="B1233" t="s">
        <v>1289</v>
      </c>
      <c r="C1233">
        <v>76.613821554075699</v>
      </c>
      <c r="D1233">
        <v>36</v>
      </c>
      <c r="E1233">
        <v>773</v>
      </c>
      <c r="F1233">
        <v>9542.0121119942196</v>
      </c>
      <c r="G1233" t="s">
        <v>48</v>
      </c>
      <c r="H1233">
        <v>38</v>
      </c>
      <c r="I1233">
        <v>3</v>
      </c>
      <c r="J1233">
        <v>10</v>
      </c>
      <c r="K1233">
        <v>5</v>
      </c>
      <c r="L1233" t="s">
        <v>44</v>
      </c>
      <c r="M1233">
        <v>5.8066331481339502</v>
      </c>
      <c r="N1233" t="s">
        <v>45</v>
      </c>
      <c r="O1233" t="s">
        <v>38</v>
      </c>
      <c r="P1233">
        <f>VLOOKUP(O1233, Coordinates!$A$2:$C$6, 2, FALSE)</f>
        <v>25.761700000000001</v>
      </c>
      <c r="Q1233">
        <f>VLOOKUP(O1233, Coordinates!$A$2:$C$6, 3, FALSE)</f>
        <v>-80.191800000000001</v>
      </c>
      <c r="R1233">
        <v>25</v>
      </c>
      <c r="S1233">
        <v>715</v>
      </c>
      <c r="T1233">
        <v>15</v>
      </c>
      <c r="U1233">
        <v>22.8550488107884</v>
      </c>
      <c r="V1233" t="s">
        <v>55</v>
      </c>
      <c r="W1233">
        <v>4.5151749638816803</v>
      </c>
      <c r="X1233" t="s">
        <v>31</v>
      </c>
      <c r="Y1233" t="s">
        <v>32</v>
      </c>
      <c r="Z1233">
        <v>771.255597963931</v>
      </c>
    </row>
    <row r="1234" spans="1:26" x14ac:dyDescent="0.3">
      <c r="A1234" t="s">
        <v>42</v>
      </c>
      <c r="B1234" t="s">
        <v>1290</v>
      </c>
      <c r="C1234">
        <v>6.9637800447309202</v>
      </c>
      <c r="D1234">
        <v>99</v>
      </c>
      <c r="E1234">
        <v>868</v>
      </c>
      <c r="F1234">
        <v>9987.5558724794591</v>
      </c>
      <c r="G1234" t="s">
        <v>54</v>
      </c>
      <c r="H1234">
        <v>1</v>
      </c>
      <c r="I1234">
        <v>29</v>
      </c>
      <c r="J1234">
        <v>63</v>
      </c>
      <c r="K1234">
        <v>1</v>
      </c>
      <c r="L1234" t="s">
        <v>36</v>
      </c>
      <c r="M1234">
        <v>3.9892069386076598</v>
      </c>
      <c r="N1234" t="s">
        <v>51</v>
      </c>
      <c r="O1234" t="s">
        <v>67</v>
      </c>
      <c r="P1234">
        <f>VLOOKUP(O1234, Coordinates!$A$2:$C$6, 2, FALSE)</f>
        <v>40.712800000000001</v>
      </c>
      <c r="Q1234">
        <f>VLOOKUP(O1234, Coordinates!$A$2:$C$6, 3, FALSE)</f>
        <v>-74.006</v>
      </c>
      <c r="R1234">
        <v>10</v>
      </c>
      <c r="S1234">
        <v>192</v>
      </c>
      <c r="T1234">
        <v>17</v>
      </c>
      <c r="U1234">
        <v>79.786088438426802</v>
      </c>
      <c r="V1234" t="s">
        <v>39</v>
      </c>
      <c r="W1234">
        <v>2.3563683921883598</v>
      </c>
      <c r="X1234" t="s">
        <v>40</v>
      </c>
      <c r="Y1234" t="s">
        <v>32</v>
      </c>
      <c r="Z1234">
        <v>238.63471285350099</v>
      </c>
    </row>
    <row r="1235" spans="1:26" x14ac:dyDescent="0.3">
      <c r="A1235" t="s">
        <v>24</v>
      </c>
      <c r="B1235" t="s">
        <v>1291</v>
      </c>
      <c r="C1235">
        <v>37.962345490634497</v>
      </c>
      <c r="D1235">
        <v>81</v>
      </c>
      <c r="E1235">
        <v>310</v>
      </c>
      <c r="F1235">
        <v>10591.494391886999</v>
      </c>
      <c r="G1235" t="s">
        <v>54</v>
      </c>
      <c r="H1235">
        <v>76</v>
      </c>
      <c r="I1235">
        <v>13</v>
      </c>
      <c r="J1235">
        <v>55</v>
      </c>
      <c r="K1235">
        <v>9</v>
      </c>
      <c r="L1235" t="s">
        <v>27</v>
      </c>
      <c r="M1235">
        <v>13.725354261841</v>
      </c>
      <c r="N1235" t="s">
        <v>51</v>
      </c>
      <c r="O1235" t="s">
        <v>29</v>
      </c>
      <c r="P1235">
        <f>VLOOKUP(O1235, Coordinates!$A$2:$C$6, 2, FALSE)</f>
        <v>29.760400000000001</v>
      </c>
      <c r="Q1235">
        <f>VLOOKUP(O1235, Coordinates!$A$2:$C$6, 3, FALSE)</f>
        <v>-95.369799999999998</v>
      </c>
      <c r="R1235">
        <v>28</v>
      </c>
      <c r="S1235">
        <v>396</v>
      </c>
      <c r="T1235">
        <v>18</v>
      </c>
      <c r="U1235">
        <v>76.125092180244593</v>
      </c>
      <c r="V1235" t="s">
        <v>30</v>
      </c>
      <c r="W1235">
        <v>1.2152894590365699</v>
      </c>
      <c r="X1235" t="s">
        <v>31</v>
      </c>
      <c r="Y1235" t="s">
        <v>32</v>
      </c>
      <c r="Z1235">
        <v>806.02011223019201</v>
      </c>
    </row>
    <row r="1236" spans="1:26" x14ac:dyDescent="0.3">
      <c r="A1236" t="s">
        <v>61</v>
      </c>
      <c r="B1236" t="s">
        <v>1292</v>
      </c>
      <c r="C1236">
        <v>54.171648624974502</v>
      </c>
      <c r="D1236">
        <v>2</v>
      </c>
      <c r="E1236">
        <v>882</v>
      </c>
      <c r="F1236">
        <v>7542.8188421123295</v>
      </c>
      <c r="G1236" t="s">
        <v>26</v>
      </c>
      <c r="H1236">
        <v>78</v>
      </c>
      <c r="I1236">
        <v>9</v>
      </c>
      <c r="J1236">
        <v>50</v>
      </c>
      <c r="K1236">
        <v>10</v>
      </c>
      <c r="L1236" t="s">
        <v>36</v>
      </c>
      <c r="M1236">
        <v>13.460965416403001</v>
      </c>
      <c r="N1236" t="s">
        <v>28</v>
      </c>
      <c r="O1236" t="s">
        <v>29</v>
      </c>
      <c r="P1236">
        <f>VLOOKUP(O1236, Coordinates!$A$2:$C$6, 2, FALSE)</f>
        <v>29.760400000000001</v>
      </c>
      <c r="Q1236">
        <f>VLOOKUP(O1236, Coordinates!$A$2:$C$6, 3, FALSE)</f>
        <v>-95.369799999999998</v>
      </c>
      <c r="R1236">
        <v>24</v>
      </c>
      <c r="S1236">
        <v>546</v>
      </c>
      <c r="T1236">
        <v>18</v>
      </c>
      <c r="U1236">
        <v>16.1488245008997</v>
      </c>
      <c r="V1236" t="s">
        <v>30</v>
      </c>
      <c r="W1236">
        <v>1.11334808132425</v>
      </c>
      <c r="X1236" t="s">
        <v>46</v>
      </c>
      <c r="Y1236" t="s">
        <v>41</v>
      </c>
      <c r="Z1236">
        <v>561.40518471093196</v>
      </c>
    </row>
    <row r="1237" spans="1:26" x14ac:dyDescent="0.3">
      <c r="A1237" t="s">
        <v>33</v>
      </c>
      <c r="B1237" t="s">
        <v>1293</v>
      </c>
      <c r="C1237">
        <v>30.540440533020099</v>
      </c>
      <c r="D1237">
        <v>77</v>
      </c>
      <c r="E1237">
        <v>986</v>
      </c>
      <c r="F1237">
        <v>4402.2795600987502</v>
      </c>
      <c r="G1237" t="s">
        <v>35</v>
      </c>
      <c r="H1237">
        <v>17</v>
      </c>
      <c r="I1237">
        <v>6</v>
      </c>
      <c r="J1237">
        <v>50</v>
      </c>
      <c r="K1237">
        <v>8</v>
      </c>
      <c r="L1237" t="s">
        <v>36</v>
      </c>
      <c r="M1237">
        <v>7.5141703659654997</v>
      </c>
      <c r="N1237" t="s">
        <v>51</v>
      </c>
      <c r="O1237" t="s">
        <v>58</v>
      </c>
      <c r="P1237">
        <f>VLOOKUP(O1237, Coordinates!$A$2:$C$6, 2, FALSE)</f>
        <v>34.052199999999999</v>
      </c>
      <c r="Q1237">
        <f>VLOOKUP(O1237, Coordinates!$A$2:$C$6, 3, FALSE)</f>
        <v>-118.2437</v>
      </c>
      <c r="R1237">
        <v>3</v>
      </c>
      <c r="S1237">
        <v>579</v>
      </c>
      <c r="T1237">
        <v>9</v>
      </c>
      <c r="U1237">
        <v>49.159785939999999</v>
      </c>
      <c r="V1237" t="s">
        <v>30</v>
      </c>
      <c r="W1237">
        <v>4.0301021358312799</v>
      </c>
      <c r="X1237" t="s">
        <v>31</v>
      </c>
      <c r="Y1237" t="s">
        <v>41</v>
      </c>
      <c r="Z1237">
        <v>226.72498479835301</v>
      </c>
    </row>
    <row r="1238" spans="1:26" x14ac:dyDescent="0.3">
      <c r="A1238" t="s">
        <v>61</v>
      </c>
      <c r="B1238" t="s">
        <v>1294</v>
      </c>
      <c r="C1238">
        <v>64.701234504804802</v>
      </c>
      <c r="D1238">
        <v>52</v>
      </c>
      <c r="E1238">
        <v>399</v>
      </c>
      <c r="F1238">
        <v>1072.97377197591</v>
      </c>
      <c r="G1238" t="s">
        <v>35</v>
      </c>
      <c r="H1238">
        <v>69</v>
      </c>
      <c r="I1238">
        <v>15</v>
      </c>
      <c r="J1238">
        <v>17</v>
      </c>
      <c r="K1238">
        <v>5</v>
      </c>
      <c r="L1238" t="s">
        <v>36</v>
      </c>
      <c r="M1238">
        <v>2.8838519094200801</v>
      </c>
      <c r="N1238" t="s">
        <v>57</v>
      </c>
      <c r="O1238" t="s">
        <v>67</v>
      </c>
      <c r="P1238">
        <f>VLOOKUP(O1238, Coordinates!$A$2:$C$6, 2, FALSE)</f>
        <v>40.712800000000001</v>
      </c>
      <c r="Q1238">
        <f>VLOOKUP(O1238, Coordinates!$A$2:$C$6, 3, FALSE)</f>
        <v>-74.006</v>
      </c>
      <c r="R1238">
        <v>24</v>
      </c>
      <c r="S1238">
        <v>833</v>
      </c>
      <c r="T1238">
        <v>26</v>
      </c>
      <c r="U1238">
        <v>45.231231156538101</v>
      </c>
      <c r="V1238" t="s">
        <v>30</v>
      </c>
      <c r="W1238">
        <v>0.34559305725629702</v>
      </c>
      <c r="X1238" t="s">
        <v>52</v>
      </c>
      <c r="Y1238" t="s">
        <v>32</v>
      </c>
      <c r="Z1238">
        <v>704.58342550451698</v>
      </c>
    </row>
    <row r="1239" spans="1:26" x14ac:dyDescent="0.3">
      <c r="A1239" t="s">
        <v>42</v>
      </c>
      <c r="B1239" t="s">
        <v>1295</v>
      </c>
      <c r="C1239">
        <v>50.777410531088499</v>
      </c>
      <c r="D1239">
        <v>66</v>
      </c>
      <c r="E1239">
        <v>78</v>
      </c>
      <c r="F1239">
        <v>1083.2727019231199</v>
      </c>
      <c r="H1239">
        <v>10</v>
      </c>
      <c r="I1239">
        <v>16</v>
      </c>
      <c r="J1239">
        <v>41</v>
      </c>
      <c r="K1239">
        <v>10</v>
      </c>
      <c r="L1239" t="s">
        <v>27</v>
      </c>
      <c r="M1239">
        <v>1.1871186846450199</v>
      </c>
      <c r="N1239" t="s">
        <v>28</v>
      </c>
      <c r="O1239" t="s">
        <v>58</v>
      </c>
      <c r="P1239">
        <f>VLOOKUP(O1239, Coordinates!$A$2:$C$6, 2, FALSE)</f>
        <v>34.052199999999999</v>
      </c>
      <c r="Q1239">
        <f>VLOOKUP(O1239, Coordinates!$A$2:$C$6, 3, FALSE)</f>
        <v>-118.2437</v>
      </c>
      <c r="R1239">
        <v>29</v>
      </c>
      <c r="S1239">
        <v>811</v>
      </c>
      <c r="T1239">
        <v>5</v>
      </c>
      <c r="U1239">
        <v>25.984828387483699</v>
      </c>
      <c r="V1239" t="s">
        <v>30</v>
      </c>
      <c r="W1239">
        <v>3.1903019070677399</v>
      </c>
      <c r="X1239" t="s">
        <v>31</v>
      </c>
      <c r="Y1239" t="s">
        <v>32</v>
      </c>
      <c r="Z1239">
        <v>665.38070918914696</v>
      </c>
    </row>
    <row r="1240" spans="1:26" x14ac:dyDescent="0.3">
      <c r="A1240" t="s">
        <v>61</v>
      </c>
      <c r="B1240" t="s">
        <v>1296</v>
      </c>
      <c r="C1240">
        <v>39.3624742116601</v>
      </c>
      <c r="D1240">
        <v>52</v>
      </c>
      <c r="E1240">
        <v>191</v>
      </c>
      <c r="F1240">
        <v>5145.0940680602998</v>
      </c>
      <c r="G1240" t="s">
        <v>54</v>
      </c>
      <c r="H1240">
        <v>31</v>
      </c>
      <c r="I1240">
        <v>5</v>
      </c>
      <c r="J1240">
        <v>39</v>
      </c>
      <c r="K1240">
        <v>6</v>
      </c>
      <c r="L1240" t="s">
        <v>36</v>
      </c>
      <c r="M1240">
        <v>7.1385391279074604</v>
      </c>
      <c r="N1240" t="s">
        <v>51</v>
      </c>
      <c r="O1240" t="s">
        <v>67</v>
      </c>
      <c r="P1240">
        <f>VLOOKUP(O1240, Coordinates!$A$2:$C$6, 2, FALSE)</f>
        <v>40.712800000000001</v>
      </c>
      <c r="Q1240">
        <f>VLOOKUP(O1240, Coordinates!$A$2:$C$6, 3, FALSE)</f>
        <v>-74.006</v>
      </c>
      <c r="R1240">
        <v>5</v>
      </c>
      <c r="S1240">
        <v>899</v>
      </c>
      <c r="T1240">
        <v>11</v>
      </c>
      <c r="U1240">
        <v>22.023780389999999</v>
      </c>
      <c r="V1240" t="s">
        <v>30</v>
      </c>
      <c r="W1240">
        <v>3.2006746177091698</v>
      </c>
      <c r="X1240" t="s">
        <v>31</v>
      </c>
      <c r="Y1240" t="s">
        <v>60</v>
      </c>
      <c r="Z1240">
        <v>660.12648223479596</v>
      </c>
    </row>
    <row r="1241" spans="1:26" x14ac:dyDescent="0.3">
      <c r="A1241" t="s">
        <v>33</v>
      </c>
      <c r="B1241" t="s">
        <v>1297</v>
      </c>
      <c r="C1241">
        <v>95.174819552698594</v>
      </c>
      <c r="D1241">
        <v>92</v>
      </c>
      <c r="E1241">
        <v>578</v>
      </c>
      <c r="F1241">
        <v>5395.01421703901</v>
      </c>
      <c r="G1241" t="s">
        <v>54</v>
      </c>
      <c r="H1241">
        <v>19</v>
      </c>
      <c r="I1241">
        <v>21</v>
      </c>
      <c r="J1241">
        <v>55</v>
      </c>
      <c r="K1241">
        <v>10</v>
      </c>
      <c r="L1241" t="s">
        <v>36</v>
      </c>
      <c r="M1241">
        <v>1.5593720800296</v>
      </c>
      <c r="N1241" t="s">
        <v>51</v>
      </c>
      <c r="O1241" t="s">
        <v>58</v>
      </c>
      <c r="P1241">
        <f>VLOOKUP(O1241, Coordinates!$A$2:$C$6, 2, FALSE)</f>
        <v>34.052199999999999</v>
      </c>
      <c r="Q1241">
        <f>VLOOKUP(O1241, Coordinates!$A$2:$C$6, 3, FALSE)</f>
        <v>-118.2437</v>
      </c>
      <c r="R1241">
        <v>4</v>
      </c>
      <c r="S1241">
        <v>973</v>
      </c>
      <c r="T1241">
        <v>29</v>
      </c>
      <c r="U1241">
        <v>90.690149204493395</v>
      </c>
      <c r="V1241" t="s">
        <v>55</v>
      </c>
      <c r="W1241">
        <v>0.91227273862904401</v>
      </c>
      <c r="X1241" t="s">
        <v>40</v>
      </c>
      <c r="Y1241" t="s">
        <v>60</v>
      </c>
      <c r="Z1241">
        <v>779.307901997106</v>
      </c>
    </row>
    <row r="1242" spans="1:26" x14ac:dyDescent="0.3">
      <c r="A1242" t="s">
        <v>82</v>
      </c>
      <c r="B1242" t="s">
        <v>1298</v>
      </c>
      <c r="C1242">
        <v>65.055152422713405</v>
      </c>
      <c r="D1242">
        <v>43</v>
      </c>
      <c r="E1242">
        <v>341</v>
      </c>
      <c r="F1242">
        <v>1203.1272691609799</v>
      </c>
      <c r="G1242" t="s">
        <v>35</v>
      </c>
      <c r="H1242">
        <v>96</v>
      </c>
      <c r="I1242">
        <v>13</v>
      </c>
      <c r="J1242">
        <v>61</v>
      </c>
      <c r="K1242">
        <v>10</v>
      </c>
      <c r="L1242" t="s">
        <v>27</v>
      </c>
      <c r="M1242">
        <v>-10</v>
      </c>
      <c r="N1242" t="s">
        <v>28</v>
      </c>
      <c r="O1242" t="s">
        <v>58</v>
      </c>
      <c r="P1242">
        <f>VLOOKUP(O1242, Coordinates!$A$2:$C$6, 2, FALSE)</f>
        <v>34.052199999999999</v>
      </c>
      <c r="Q1242">
        <f>VLOOKUP(O1242, Coordinates!$A$2:$C$6, 3, FALSE)</f>
        <v>-118.2437</v>
      </c>
      <c r="R1242">
        <v>19</v>
      </c>
      <c r="S1242">
        <v>357</v>
      </c>
      <c r="T1242">
        <v>4</v>
      </c>
      <c r="U1242">
        <v>16.1060037896107</v>
      </c>
      <c r="V1242" t="s">
        <v>30</v>
      </c>
      <c r="W1242">
        <v>3.52456184217331</v>
      </c>
      <c r="X1242" t="s">
        <v>46</v>
      </c>
      <c r="Y1242" t="s">
        <v>32</v>
      </c>
      <c r="Z1242">
        <v>263.10050716675801</v>
      </c>
    </row>
    <row r="1243" spans="1:26" x14ac:dyDescent="0.3">
      <c r="A1243" t="s">
        <v>24</v>
      </c>
      <c r="B1243" t="s">
        <v>1299</v>
      </c>
      <c r="C1243">
        <v>30.964069139619799</v>
      </c>
      <c r="D1243">
        <v>90</v>
      </c>
      <c r="E1243">
        <v>680</v>
      </c>
      <c r="F1243">
        <v>18950.010313447299</v>
      </c>
      <c r="G1243" t="s">
        <v>48</v>
      </c>
      <c r="H1243">
        <v>39</v>
      </c>
      <c r="I1243">
        <v>19</v>
      </c>
      <c r="J1243">
        <v>98</v>
      </c>
      <c r="K1243">
        <v>8</v>
      </c>
      <c r="L1243" t="s">
        <v>27</v>
      </c>
      <c r="M1243">
        <v>9.5177241923209603</v>
      </c>
      <c r="N1243" t="s">
        <v>57</v>
      </c>
      <c r="O1243" t="s">
        <v>29</v>
      </c>
      <c r="P1243">
        <f>VLOOKUP(O1243, Coordinates!$A$2:$C$6, 2, FALSE)</f>
        <v>29.760400000000001</v>
      </c>
      <c r="Q1243">
        <f>VLOOKUP(O1243, Coordinates!$A$2:$C$6, 3, FALSE)</f>
        <v>-95.369799999999998</v>
      </c>
      <c r="R1243">
        <v>15</v>
      </c>
      <c r="S1243">
        <v>621</v>
      </c>
      <c r="T1243">
        <v>26</v>
      </c>
      <c r="U1243">
        <v>77.089105459020999</v>
      </c>
      <c r="V1243" t="s">
        <v>55</v>
      </c>
      <c r="W1243">
        <v>3.5270314459773999</v>
      </c>
      <c r="X1243" t="s">
        <v>46</v>
      </c>
      <c r="Y1243" t="s">
        <v>32</v>
      </c>
      <c r="Z1243">
        <v>727.74761654984798</v>
      </c>
    </row>
    <row r="1244" spans="1:26" x14ac:dyDescent="0.3">
      <c r="A1244" t="s">
        <v>42</v>
      </c>
      <c r="B1244" t="s">
        <v>1300</v>
      </c>
      <c r="C1244">
        <v>58.208711257122502</v>
      </c>
      <c r="D1244">
        <v>22</v>
      </c>
      <c r="E1244">
        <v>572</v>
      </c>
      <c r="F1244">
        <v>3646.0304973545699</v>
      </c>
      <c r="G1244" t="s">
        <v>54</v>
      </c>
      <c r="H1244">
        <v>7</v>
      </c>
      <c r="I1244">
        <v>2</v>
      </c>
      <c r="J1244">
        <v>70</v>
      </c>
      <c r="K1244">
        <v>6</v>
      </c>
      <c r="L1244" t="s">
        <v>27</v>
      </c>
      <c r="M1244">
        <v>13.585152270844199</v>
      </c>
      <c r="N1244" t="s">
        <v>28</v>
      </c>
      <c r="O1244" t="s">
        <v>29</v>
      </c>
      <c r="P1244">
        <f>VLOOKUP(O1244, Coordinates!$A$2:$C$6, 2, FALSE)</f>
        <v>29.760400000000001</v>
      </c>
      <c r="Q1244">
        <f>VLOOKUP(O1244, Coordinates!$A$2:$C$6, 3, FALSE)</f>
        <v>-95.369799999999998</v>
      </c>
      <c r="R1244">
        <v>30</v>
      </c>
      <c r="S1244">
        <v>782</v>
      </c>
      <c r="T1244">
        <v>10</v>
      </c>
      <c r="U1244">
        <v>32.054255302456497</v>
      </c>
      <c r="V1244" t="s">
        <v>55</v>
      </c>
      <c r="W1244">
        <v>1.7501543372069099</v>
      </c>
      <c r="X1244" t="s">
        <v>31</v>
      </c>
      <c r="Y1244" t="s">
        <v>60</v>
      </c>
      <c r="Z1244">
        <v>898.56492149999997</v>
      </c>
    </row>
    <row r="1245" spans="1:26" x14ac:dyDescent="0.3">
      <c r="A1245" t="s">
        <v>82</v>
      </c>
      <c r="B1245" t="s">
        <v>1301</v>
      </c>
      <c r="C1245">
        <v>79.169526050000002</v>
      </c>
      <c r="D1245">
        <v>55</v>
      </c>
      <c r="E1245">
        <v>627</v>
      </c>
      <c r="F1245">
        <v>6039.0379138235403</v>
      </c>
      <c r="G1245" t="s">
        <v>26</v>
      </c>
      <c r="H1245">
        <v>34</v>
      </c>
      <c r="I1245">
        <v>6</v>
      </c>
      <c r="J1245">
        <v>22</v>
      </c>
      <c r="K1245">
        <v>10</v>
      </c>
      <c r="L1245" t="s">
        <v>44</v>
      </c>
      <c r="M1245">
        <v>3.6606877960509898</v>
      </c>
      <c r="N1245" t="s">
        <v>57</v>
      </c>
      <c r="O1245" t="s">
        <v>65</v>
      </c>
      <c r="P1245">
        <f>VLOOKUP(O1245, Coordinates!$A$2:$C$6, 2, FALSE)</f>
        <v>41.878100000000003</v>
      </c>
      <c r="Q1245">
        <f>VLOOKUP(O1245, Coordinates!$A$2:$C$6, 3, FALSE)</f>
        <v>-87.629800000000003</v>
      </c>
      <c r="R1245">
        <v>28</v>
      </c>
      <c r="S1245">
        <v>474</v>
      </c>
      <c r="T1245">
        <v>4</v>
      </c>
      <c r="U1245">
        <v>95.755527069085105</v>
      </c>
      <c r="V1245" t="s">
        <v>30</v>
      </c>
      <c r="W1245">
        <v>2.41687956358495</v>
      </c>
      <c r="X1245" t="s">
        <v>31</v>
      </c>
      <c r="Y1245" t="s">
        <v>41</v>
      </c>
      <c r="Z1245">
        <v>577.28016593562495</v>
      </c>
    </row>
    <row r="1246" spans="1:26" x14ac:dyDescent="0.3">
      <c r="A1246" t="s">
        <v>82</v>
      </c>
      <c r="B1246" t="s">
        <v>1302</v>
      </c>
      <c r="C1246">
        <v>72.306521261815703</v>
      </c>
      <c r="D1246">
        <v>67</v>
      </c>
      <c r="E1246">
        <v>734</v>
      </c>
      <c r="F1246">
        <v>3708.2716584887598</v>
      </c>
      <c r="H1246">
        <v>68</v>
      </c>
      <c r="I1246">
        <v>27</v>
      </c>
      <c r="J1246">
        <v>98</v>
      </c>
      <c r="K1246">
        <v>4</v>
      </c>
      <c r="L1246" t="s">
        <v>27</v>
      </c>
      <c r="M1246">
        <v>6.1995193937896103</v>
      </c>
      <c r="N1246" t="s">
        <v>57</v>
      </c>
      <c r="O1246" t="s">
        <v>65</v>
      </c>
      <c r="P1246">
        <f>VLOOKUP(O1246, Coordinates!$A$2:$C$6, 2, FALSE)</f>
        <v>41.878100000000003</v>
      </c>
      <c r="Q1246">
        <f>VLOOKUP(O1246, Coordinates!$A$2:$C$6, 3, FALSE)</f>
        <v>-87.629800000000003</v>
      </c>
      <c r="R1246">
        <v>26</v>
      </c>
      <c r="S1246">
        <v>526</v>
      </c>
      <c r="T1246">
        <v>23</v>
      </c>
      <c r="U1246">
        <v>17.684582456786899</v>
      </c>
      <c r="V1246" t="s">
        <v>39</v>
      </c>
      <c r="W1246">
        <v>4.1638177557449598</v>
      </c>
      <c r="X1246" t="s">
        <v>46</v>
      </c>
      <c r="Y1246" t="s">
        <v>32</v>
      </c>
      <c r="Z1246">
        <v>537.42672861292203</v>
      </c>
    </row>
    <row r="1247" spans="1:26" x14ac:dyDescent="0.3">
      <c r="A1247" t="s">
        <v>82</v>
      </c>
      <c r="B1247" t="s">
        <v>1303</v>
      </c>
      <c r="C1247">
        <v>21.348476783049598</v>
      </c>
      <c r="D1247">
        <v>99</v>
      </c>
      <c r="E1247">
        <v>244</v>
      </c>
      <c r="F1247">
        <v>2504.20883382376</v>
      </c>
      <c r="G1247" t="s">
        <v>26</v>
      </c>
      <c r="H1247">
        <v>98</v>
      </c>
      <c r="I1247">
        <v>1</v>
      </c>
      <c r="J1247">
        <v>49</v>
      </c>
      <c r="K1247">
        <v>3</v>
      </c>
      <c r="L1247" t="s">
        <v>44</v>
      </c>
      <c r="M1247">
        <v>13.0336354429799</v>
      </c>
      <c r="N1247" t="s">
        <v>45</v>
      </c>
      <c r="O1247" t="s">
        <v>38</v>
      </c>
      <c r="P1247">
        <f>VLOOKUP(O1247, Coordinates!$A$2:$C$6, 2, FALSE)</f>
        <v>25.761700000000001</v>
      </c>
      <c r="Q1247">
        <f>VLOOKUP(O1247, Coordinates!$A$2:$C$6, 3, FALSE)</f>
        <v>-80.191800000000001</v>
      </c>
      <c r="R1247">
        <v>27</v>
      </c>
      <c r="S1247">
        <v>200</v>
      </c>
      <c r="T1247">
        <v>3</v>
      </c>
      <c r="U1247">
        <v>83.441334409999996</v>
      </c>
      <c r="V1247" t="s">
        <v>55</v>
      </c>
      <c r="W1247">
        <v>4.7689685594537803</v>
      </c>
      <c r="X1247" t="s">
        <v>52</v>
      </c>
      <c r="Y1247" t="s">
        <v>32</v>
      </c>
      <c r="Z1247">
        <v>818.00932272183604</v>
      </c>
    </row>
    <row r="1248" spans="1:26" x14ac:dyDescent="0.3">
      <c r="A1248" t="s">
        <v>49</v>
      </c>
      <c r="B1248" t="s">
        <v>1304</v>
      </c>
      <c r="C1248">
        <v>97.379899908809804</v>
      </c>
      <c r="D1248">
        <v>60</v>
      </c>
      <c r="E1248">
        <v>537</v>
      </c>
      <c r="F1248">
        <v>4664.5636473898703</v>
      </c>
      <c r="G1248" t="s">
        <v>35</v>
      </c>
      <c r="H1248">
        <v>77</v>
      </c>
      <c r="I1248">
        <v>15</v>
      </c>
      <c r="J1248">
        <v>70</v>
      </c>
      <c r="K1248">
        <v>7</v>
      </c>
      <c r="L1248" t="s">
        <v>44</v>
      </c>
      <c r="M1248">
        <v>7.6401510349999997</v>
      </c>
      <c r="N1248" t="s">
        <v>51</v>
      </c>
      <c r="O1248" t="s">
        <v>29</v>
      </c>
      <c r="P1248">
        <f>VLOOKUP(O1248, Coordinates!$A$2:$C$6, 2, FALSE)</f>
        <v>29.760400000000001</v>
      </c>
      <c r="Q1248">
        <f>VLOOKUP(O1248, Coordinates!$A$2:$C$6, 3, FALSE)</f>
        <v>-95.369799999999998</v>
      </c>
      <c r="R1248">
        <v>29</v>
      </c>
      <c r="S1248">
        <v>721</v>
      </c>
      <c r="T1248">
        <v>25</v>
      </c>
      <c r="U1248">
        <v>90.284693798694406</v>
      </c>
      <c r="V1248" t="s">
        <v>39</v>
      </c>
      <c r="W1248">
        <v>3.0907855049999999</v>
      </c>
      <c r="X1248" t="s">
        <v>46</v>
      </c>
      <c r="Y1248" t="s">
        <v>32</v>
      </c>
      <c r="Z1248">
        <v>231.61240520905</v>
      </c>
    </row>
    <row r="1249" spans="1:26" x14ac:dyDescent="0.3">
      <c r="A1249" t="s">
        <v>24</v>
      </c>
      <c r="B1249" t="s">
        <v>1305</v>
      </c>
      <c r="C1249">
        <v>33.835212240300599</v>
      </c>
      <c r="D1249">
        <v>58</v>
      </c>
      <c r="E1249">
        <v>145</v>
      </c>
      <c r="F1249">
        <v>4415.4951973592297</v>
      </c>
      <c r="G1249" t="s">
        <v>35</v>
      </c>
      <c r="H1249">
        <v>20</v>
      </c>
      <c r="I1249">
        <v>15</v>
      </c>
      <c r="J1249">
        <v>53</v>
      </c>
      <c r="K1249">
        <v>2</v>
      </c>
      <c r="L1249" t="s">
        <v>36</v>
      </c>
      <c r="M1249">
        <v>1.8361260456072099</v>
      </c>
      <c r="N1249" t="s">
        <v>51</v>
      </c>
      <c r="O1249" t="s">
        <v>58</v>
      </c>
      <c r="P1249">
        <f>VLOOKUP(O1249, Coordinates!$A$2:$C$6, 2, FALSE)</f>
        <v>34.052199999999999</v>
      </c>
      <c r="Q1249">
        <f>VLOOKUP(O1249, Coordinates!$A$2:$C$6, 3, FALSE)</f>
        <v>-118.2437</v>
      </c>
      <c r="R1249">
        <v>7</v>
      </c>
      <c r="S1249">
        <v>858</v>
      </c>
      <c r="T1249">
        <v>16</v>
      </c>
      <c r="U1249">
        <v>84.897711836661799</v>
      </c>
      <c r="V1249" t="s">
        <v>30</v>
      </c>
      <c r="W1249">
        <v>2.0638482524313799</v>
      </c>
      <c r="X1249" t="s">
        <v>52</v>
      </c>
      <c r="Y1249" t="s">
        <v>41</v>
      </c>
      <c r="Z1249">
        <v>406.78658273249698</v>
      </c>
    </row>
    <row r="1250" spans="1:26" x14ac:dyDescent="0.3">
      <c r="A1250" t="s">
        <v>72</v>
      </c>
      <c r="B1250" t="s">
        <v>1306</v>
      </c>
      <c r="C1250">
        <v>31.848907942868699</v>
      </c>
      <c r="D1250">
        <v>12</v>
      </c>
      <c r="E1250">
        <v>269</v>
      </c>
      <c r="F1250">
        <v>7710.6206129685297</v>
      </c>
      <c r="G1250" t="s">
        <v>35</v>
      </c>
      <c r="H1250">
        <v>23</v>
      </c>
      <c r="I1250">
        <v>14</v>
      </c>
      <c r="J1250">
        <v>71</v>
      </c>
      <c r="K1250">
        <v>7</v>
      </c>
      <c r="L1250" t="s">
        <v>44</v>
      </c>
      <c r="M1250">
        <v>2.5509747623373999</v>
      </c>
      <c r="N1250" t="s">
        <v>37</v>
      </c>
      <c r="O1250" t="s">
        <v>65</v>
      </c>
      <c r="P1250">
        <f>VLOOKUP(O1250, Coordinates!$A$2:$C$6, 2, FALSE)</f>
        <v>41.878100000000003</v>
      </c>
      <c r="Q1250">
        <f>VLOOKUP(O1250, Coordinates!$A$2:$C$6, 3, FALSE)</f>
        <v>-87.629800000000003</v>
      </c>
      <c r="R1250">
        <v>29</v>
      </c>
      <c r="S1250">
        <v>934</v>
      </c>
      <c r="T1250">
        <v>21</v>
      </c>
      <c r="U1250">
        <v>82.518065466762394</v>
      </c>
      <c r="V1250" t="s">
        <v>30</v>
      </c>
      <c r="W1250">
        <v>0.74799544582451005</v>
      </c>
      <c r="X1250" t="s">
        <v>31</v>
      </c>
      <c r="Y1250" t="s">
        <v>60</v>
      </c>
      <c r="Z1250">
        <v>868.40581360310205</v>
      </c>
    </row>
    <row r="1251" spans="1:26" x14ac:dyDescent="0.3">
      <c r="A1251" t="s">
        <v>24</v>
      </c>
      <c r="B1251" t="s">
        <v>1307</v>
      </c>
      <c r="C1251">
        <v>32.871614977980897</v>
      </c>
      <c r="D1251">
        <v>88</v>
      </c>
      <c r="E1251">
        <v>143</v>
      </c>
      <c r="F1251">
        <v>4230.5768476661497</v>
      </c>
      <c r="G1251" t="s">
        <v>35</v>
      </c>
      <c r="H1251">
        <v>16</v>
      </c>
      <c r="I1251">
        <v>7</v>
      </c>
      <c r="J1251">
        <v>53</v>
      </c>
      <c r="K1251">
        <v>1</v>
      </c>
      <c r="L1251" t="s">
        <v>36</v>
      </c>
      <c r="M1251">
        <v>12.388364002098299</v>
      </c>
      <c r="N1251" t="s">
        <v>28</v>
      </c>
      <c r="O1251" t="s">
        <v>29</v>
      </c>
      <c r="P1251">
        <f>VLOOKUP(O1251, Coordinates!$A$2:$C$6, 2, FALSE)</f>
        <v>29.760400000000001</v>
      </c>
      <c r="Q1251">
        <f>VLOOKUP(O1251, Coordinates!$A$2:$C$6, 3, FALSE)</f>
        <v>-95.369799999999998</v>
      </c>
      <c r="R1251">
        <v>22</v>
      </c>
      <c r="S1251">
        <v>343</v>
      </c>
      <c r="T1251">
        <v>11</v>
      </c>
      <c r="U1251">
        <v>85.646973509313398</v>
      </c>
      <c r="V1251" t="s">
        <v>39</v>
      </c>
      <c r="W1251">
        <v>4.9903331581704498</v>
      </c>
      <c r="X1251" t="s">
        <v>31</v>
      </c>
      <c r="Y1251" t="s">
        <v>41</v>
      </c>
      <c r="Z1251">
        <v>549.79685820672296</v>
      </c>
    </row>
    <row r="1252" spans="1:26" x14ac:dyDescent="0.3">
      <c r="A1252" t="s">
        <v>49</v>
      </c>
      <c r="B1252" t="s">
        <v>1308</v>
      </c>
      <c r="C1252">
        <v>14.3323242579626</v>
      </c>
      <c r="D1252">
        <v>69</v>
      </c>
      <c r="E1252">
        <v>463</v>
      </c>
      <c r="F1252">
        <v>5575.6537898016404</v>
      </c>
      <c r="G1252" t="s">
        <v>26</v>
      </c>
      <c r="H1252">
        <v>17</v>
      </c>
      <c r="I1252">
        <v>5</v>
      </c>
      <c r="J1252">
        <v>57</v>
      </c>
      <c r="K1252">
        <v>10</v>
      </c>
      <c r="L1252" t="s">
        <v>44</v>
      </c>
      <c r="M1252">
        <v>11.411764020399101</v>
      </c>
      <c r="N1252" t="s">
        <v>45</v>
      </c>
      <c r="O1252" t="s">
        <v>38</v>
      </c>
      <c r="P1252">
        <f>VLOOKUP(O1252, Coordinates!$A$2:$C$6, 2, FALSE)</f>
        <v>25.761700000000001</v>
      </c>
      <c r="Q1252">
        <f>VLOOKUP(O1252, Coordinates!$A$2:$C$6, 3, FALSE)</f>
        <v>-80.191800000000001</v>
      </c>
      <c r="R1252">
        <v>30</v>
      </c>
      <c r="S1252">
        <v>122</v>
      </c>
      <c r="T1252">
        <v>9</v>
      </c>
      <c r="U1252">
        <v>73.237114054919999</v>
      </c>
      <c r="V1252" t="s">
        <v>55</v>
      </c>
      <c r="W1252">
        <v>3.5069509923775302</v>
      </c>
      <c r="X1252" t="s">
        <v>52</v>
      </c>
      <c r="Y1252" t="s">
        <v>41</v>
      </c>
      <c r="Z1252">
        <v>856.39250241624995</v>
      </c>
    </row>
    <row r="1253" spans="1:26" x14ac:dyDescent="0.3">
      <c r="A1253" t="s">
        <v>72</v>
      </c>
      <c r="B1253" t="s">
        <v>1309</v>
      </c>
      <c r="C1253">
        <v>30.345649831609201</v>
      </c>
      <c r="D1253">
        <v>84</v>
      </c>
      <c r="E1253">
        <v>74</v>
      </c>
      <c r="F1253">
        <v>2021.0202787851699</v>
      </c>
      <c r="G1253" t="s">
        <v>26</v>
      </c>
      <c r="H1253">
        <v>97</v>
      </c>
      <c r="I1253">
        <v>20</v>
      </c>
      <c r="J1253">
        <v>83</v>
      </c>
      <c r="K1253">
        <v>5</v>
      </c>
      <c r="L1253" t="s">
        <v>27</v>
      </c>
      <c r="M1253">
        <v>13.262341240334999</v>
      </c>
      <c r="N1253" t="s">
        <v>51</v>
      </c>
      <c r="O1253" t="s">
        <v>67</v>
      </c>
      <c r="P1253">
        <f>VLOOKUP(O1253, Coordinates!$A$2:$C$6, 2, FALSE)</f>
        <v>40.712800000000001</v>
      </c>
      <c r="Q1253">
        <f>VLOOKUP(O1253, Coordinates!$A$2:$C$6, 3, FALSE)</f>
        <v>-74.006</v>
      </c>
      <c r="R1253">
        <v>25</v>
      </c>
      <c r="S1253">
        <v>453</v>
      </c>
      <c r="T1253">
        <v>1</v>
      </c>
      <c r="U1253">
        <v>91.700228373169494</v>
      </c>
      <c r="V1253" t="s">
        <v>30</v>
      </c>
      <c r="W1253">
        <v>1.68223230710255</v>
      </c>
      <c r="X1253" t="s">
        <v>46</v>
      </c>
      <c r="Y1253" t="s">
        <v>32</v>
      </c>
      <c r="Z1253">
        <v>326.68124842067601</v>
      </c>
    </row>
    <row r="1254" spans="1:26" x14ac:dyDescent="0.3">
      <c r="A1254" t="s">
        <v>24</v>
      </c>
      <c r="B1254" t="s">
        <v>1310</v>
      </c>
      <c r="C1254">
        <v>30.668842953656799</v>
      </c>
      <c r="D1254">
        <v>39</v>
      </c>
      <c r="E1254">
        <v>389</v>
      </c>
      <c r="F1254">
        <v>10737.1619180752</v>
      </c>
      <c r="G1254" t="s">
        <v>35</v>
      </c>
      <c r="H1254">
        <v>11</v>
      </c>
      <c r="I1254">
        <v>25</v>
      </c>
      <c r="J1254">
        <v>68</v>
      </c>
      <c r="K1254">
        <v>9</v>
      </c>
      <c r="L1254" t="s">
        <v>36</v>
      </c>
      <c r="M1254">
        <v>2.6640563227280101</v>
      </c>
      <c r="N1254" t="s">
        <v>37</v>
      </c>
      <c r="O1254" t="s">
        <v>65</v>
      </c>
      <c r="P1254">
        <f>VLOOKUP(O1254, Coordinates!$A$2:$C$6, 2, FALSE)</f>
        <v>41.878100000000003</v>
      </c>
      <c r="Q1254">
        <f>VLOOKUP(O1254, Coordinates!$A$2:$C$6, 3, FALSE)</f>
        <v>-87.629800000000003</v>
      </c>
      <c r="R1254">
        <v>30</v>
      </c>
      <c r="S1254">
        <v>565</v>
      </c>
      <c r="T1254">
        <v>10</v>
      </c>
      <c r="U1254">
        <v>78.172413191997094</v>
      </c>
      <c r="V1254" t="s">
        <v>30</v>
      </c>
      <c r="W1254">
        <v>3.56893662996566</v>
      </c>
      <c r="X1254" t="s">
        <v>31</v>
      </c>
      <c r="Y1254" t="s">
        <v>32</v>
      </c>
      <c r="Z1254">
        <v>450.617126659907</v>
      </c>
    </row>
    <row r="1255" spans="1:26" x14ac:dyDescent="0.3">
      <c r="A1255" t="s">
        <v>82</v>
      </c>
      <c r="B1255" t="s">
        <v>1311</v>
      </c>
      <c r="C1255">
        <v>16.886899428465899</v>
      </c>
      <c r="D1255">
        <v>13</v>
      </c>
      <c r="E1255">
        <v>634</v>
      </c>
      <c r="F1255">
        <v>7785.4391599728096</v>
      </c>
      <c r="G1255" t="s">
        <v>35</v>
      </c>
      <c r="H1255">
        <v>15</v>
      </c>
      <c r="I1255">
        <v>26</v>
      </c>
      <c r="J1255">
        <v>66</v>
      </c>
      <c r="K1255">
        <v>1</v>
      </c>
      <c r="L1255" t="s">
        <v>44</v>
      </c>
      <c r="M1255">
        <v>11.645834413151301</v>
      </c>
      <c r="N1255" t="s">
        <v>45</v>
      </c>
      <c r="O1255" t="s">
        <v>38</v>
      </c>
      <c r="P1255">
        <f>VLOOKUP(O1255, Coordinates!$A$2:$C$6, 2, FALSE)</f>
        <v>25.761700000000001</v>
      </c>
      <c r="Q1255">
        <f>VLOOKUP(O1255, Coordinates!$A$2:$C$6, 3, FALSE)</f>
        <v>-80.191800000000001</v>
      </c>
      <c r="R1255">
        <v>25</v>
      </c>
      <c r="S1255">
        <v>324</v>
      </c>
      <c r="T1255">
        <v>12</v>
      </c>
      <c r="U1255">
        <v>34.155591041110597</v>
      </c>
      <c r="V1255" t="s">
        <v>39</v>
      </c>
      <c r="W1255">
        <v>4.0888329183869896</v>
      </c>
      <c r="X1255" t="s">
        <v>46</v>
      </c>
      <c r="Y1255" t="s">
        <v>60</v>
      </c>
      <c r="Z1255">
        <v>841.25672740000005</v>
      </c>
    </row>
    <row r="1256" spans="1:26" x14ac:dyDescent="0.3">
      <c r="A1256" t="s">
        <v>42</v>
      </c>
      <c r="B1256" t="s">
        <v>1312</v>
      </c>
      <c r="C1256">
        <v>85.794803402279499</v>
      </c>
      <c r="D1256">
        <v>41</v>
      </c>
      <c r="E1256">
        <v>202</v>
      </c>
      <c r="F1256">
        <v>1993.5481082494</v>
      </c>
      <c r="G1256" t="s">
        <v>26</v>
      </c>
      <c r="H1256">
        <v>3</v>
      </c>
      <c r="I1256">
        <v>16</v>
      </c>
      <c r="J1256">
        <v>20</v>
      </c>
      <c r="K1256">
        <v>8</v>
      </c>
      <c r="L1256" t="s">
        <v>36</v>
      </c>
      <c r="M1256">
        <v>10.171461109414601</v>
      </c>
      <c r="N1256" t="s">
        <v>57</v>
      </c>
      <c r="O1256" t="s">
        <v>58</v>
      </c>
      <c r="P1256">
        <f>VLOOKUP(O1256, Coordinates!$A$2:$C$6, 2, FALSE)</f>
        <v>34.052199999999999</v>
      </c>
      <c r="Q1256">
        <f>VLOOKUP(O1256, Coordinates!$A$2:$C$6, 3, FALSE)</f>
        <v>-118.2437</v>
      </c>
      <c r="R1256">
        <v>16</v>
      </c>
      <c r="S1256">
        <v>964</v>
      </c>
      <c r="T1256">
        <v>30</v>
      </c>
      <c r="U1256">
        <v>71.826544169798396</v>
      </c>
      <c r="V1256" t="s">
        <v>55</v>
      </c>
      <c r="W1256">
        <v>1.1645414014967701</v>
      </c>
      <c r="X1256" t="s">
        <v>31</v>
      </c>
      <c r="Y1256" t="s">
        <v>41</v>
      </c>
      <c r="Z1256">
        <v>247.14577600406801</v>
      </c>
    </row>
    <row r="1257" spans="1:26" x14ac:dyDescent="0.3">
      <c r="A1257" t="s">
        <v>72</v>
      </c>
      <c r="B1257" t="s">
        <v>1313</v>
      </c>
      <c r="C1257">
        <v>37.04339324</v>
      </c>
      <c r="D1257">
        <v>57</v>
      </c>
      <c r="E1257">
        <v>209</v>
      </c>
      <c r="F1257">
        <v>6967.8622686971003</v>
      </c>
      <c r="G1257" t="s">
        <v>35</v>
      </c>
      <c r="H1257">
        <v>88</v>
      </c>
      <c r="I1257">
        <v>17</v>
      </c>
      <c r="J1257">
        <v>34</v>
      </c>
      <c r="K1257">
        <v>9</v>
      </c>
      <c r="L1257" t="s">
        <v>27</v>
      </c>
      <c r="M1257">
        <v>4.2521053759745904</v>
      </c>
      <c r="N1257" t="s">
        <v>51</v>
      </c>
      <c r="O1257" t="s">
        <v>65</v>
      </c>
      <c r="P1257">
        <f>VLOOKUP(O1257, Coordinates!$A$2:$C$6, 2, FALSE)</f>
        <v>41.878100000000003</v>
      </c>
      <c r="Q1257">
        <f>VLOOKUP(O1257, Coordinates!$A$2:$C$6, 3, FALSE)</f>
        <v>-87.629800000000003</v>
      </c>
      <c r="R1257">
        <v>15</v>
      </c>
      <c r="S1257">
        <v>543</v>
      </c>
      <c r="T1257">
        <v>24</v>
      </c>
      <c r="U1257">
        <v>87.790632489999993</v>
      </c>
      <c r="V1257" t="s">
        <v>30</v>
      </c>
      <c r="W1257">
        <v>4.3846274969877603</v>
      </c>
      <c r="X1257" t="s">
        <v>40</v>
      </c>
      <c r="Y1257" t="s">
        <v>60</v>
      </c>
      <c r="Z1257">
        <v>905.29991611595005</v>
      </c>
    </row>
    <row r="1258" spans="1:26" x14ac:dyDescent="0.3">
      <c r="A1258" t="s">
        <v>33</v>
      </c>
      <c r="B1258" t="s">
        <v>1314</v>
      </c>
      <c r="C1258">
        <v>7.9315009092668802</v>
      </c>
      <c r="D1258">
        <v>53</v>
      </c>
      <c r="E1258">
        <v>730</v>
      </c>
      <c r="F1258">
        <v>1637.8453058938601</v>
      </c>
      <c r="G1258" t="s">
        <v>35</v>
      </c>
      <c r="H1258">
        <v>33</v>
      </c>
      <c r="I1258">
        <v>11</v>
      </c>
      <c r="J1258">
        <v>70</v>
      </c>
      <c r="K1258">
        <v>9</v>
      </c>
      <c r="L1258" t="s">
        <v>44</v>
      </c>
      <c r="M1258">
        <v>14.634661397778499</v>
      </c>
      <c r="N1258" t="s">
        <v>28</v>
      </c>
      <c r="O1258" t="s">
        <v>29</v>
      </c>
      <c r="P1258">
        <f>VLOOKUP(O1258, Coordinates!$A$2:$C$6, 2, FALSE)</f>
        <v>29.760400000000001</v>
      </c>
      <c r="Q1258">
        <f>VLOOKUP(O1258, Coordinates!$A$2:$C$6, 3, FALSE)</f>
        <v>-95.369799999999998</v>
      </c>
      <c r="R1258">
        <v>18</v>
      </c>
      <c r="S1258">
        <v>873</v>
      </c>
      <c r="T1258">
        <v>2</v>
      </c>
      <c r="U1258">
        <v>55.9658198389738</v>
      </c>
      <c r="V1258" t="s">
        <v>30</v>
      </c>
      <c r="W1258">
        <v>0.35451468460618402</v>
      </c>
      <c r="X1258" t="s">
        <v>40</v>
      </c>
      <c r="Y1258" t="s">
        <v>41</v>
      </c>
      <c r="Z1258">
        <v>378.87692409027699</v>
      </c>
    </row>
    <row r="1259" spans="1:26" x14ac:dyDescent="0.3">
      <c r="A1259" t="s">
        <v>33</v>
      </c>
      <c r="B1259" t="s">
        <v>1315</v>
      </c>
      <c r="C1259">
        <v>9.9300534542490304</v>
      </c>
      <c r="D1259">
        <v>12</v>
      </c>
      <c r="E1259">
        <v>572</v>
      </c>
      <c r="F1259">
        <v>6383.64200987802</v>
      </c>
      <c r="G1259" t="s">
        <v>35</v>
      </c>
      <c r="H1259">
        <v>91</v>
      </c>
      <c r="I1259">
        <v>15</v>
      </c>
      <c r="J1259">
        <v>55</v>
      </c>
      <c r="K1259">
        <v>8</v>
      </c>
      <c r="L1259" t="s">
        <v>44</v>
      </c>
      <c r="M1259">
        <v>8.9849674681172296</v>
      </c>
      <c r="N1259" t="s">
        <v>45</v>
      </c>
      <c r="O1259" t="s">
        <v>38</v>
      </c>
      <c r="P1259">
        <f>VLOOKUP(O1259, Coordinates!$A$2:$C$6, 2, FALSE)</f>
        <v>25.761700000000001</v>
      </c>
      <c r="Q1259">
        <f>VLOOKUP(O1259, Coordinates!$A$2:$C$6, 3, FALSE)</f>
        <v>-80.191800000000001</v>
      </c>
      <c r="R1259">
        <v>25</v>
      </c>
      <c r="S1259">
        <v>368</v>
      </c>
      <c r="T1259">
        <v>15</v>
      </c>
      <c r="U1259">
        <v>65.159822486133393</v>
      </c>
      <c r="V1259" t="s">
        <v>55</v>
      </c>
      <c r="W1259">
        <v>4.9444872750000002</v>
      </c>
      <c r="X1259" t="s">
        <v>40</v>
      </c>
      <c r="Y1259" t="s">
        <v>32</v>
      </c>
      <c r="Z1259">
        <v>975.42718430149705</v>
      </c>
    </row>
    <row r="1260" spans="1:26" x14ac:dyDescent="0.3">
      <c r="A1260" t="s">
        <v>61</v>
      </c>
      <c r="B1260" t="s">
        <v>1316</v>
      </c>
      <c r="C1260">
        <v>18.506192436869998</v>
      </c>
      <c r="D1260">
        <v>13</v>
      </c>
      <c r="E1260">
        <v>803</v>
      </c>
      <c r="F1260">
        <v>3379.6386813668</v>
      </c>
      <c r="G1260" t="s">
        <v>35</v>
      </c>
      <c r="H1260">
        <v>45</v>
      </c>
      <c r="I1260">
        <v>20</v>
      </c>
      <c r="J1260">
        <v>63</v>
      </c>
      <c r="K1260">
        <v>4</v>
      </c>
      <c r="L1260" t="s">
        <v>27</v>
      </c>
      <c r="M1260">
        <v>13.696291655559801</v>
      </c>
      <c r="N1260" t="s">
        <v>37</v>
      </c>
      <c r="O1260" t="s">
        <v>58</v>
      </c>
      <c r="P1260">
        <f>VLOOKUP(O1260, Coordinates!$A$2:$C$6, 2, FALSE)</f>
        <v>34.052199999999999</v>
      </c>
      <c r="Q1260">
        <f>VLOOKUP(O1260, Coordinates!$A$2:$C$6, 3, FALSE)</f>
        <v>-118.2437</v>
      </c>
      <c r="R1260">
        <v>14</v>
      </c>
      <c r="S1260">
        <v>632</v>
      </c>
      <c r="T1260">
        <v>30</v>
      </c>
      <c r="U1260">
        <v>24.5558743008893</v>
      </c>
      <c r="V1260" t="s">
        <v>30</v>
      </c>
      <c r="W1260">
        <v>2.3894424573916599</v>
      </c>
      <c r="X1260" t="s">
        <v>52</v>
      </c>
      <c r="Y1260" t="s">
        <v>60</v>
      </c>
      <c r="Z1260">
        <v>844.95474113291095</v>
      </c>
    </row>
    <row r="1261" spans="1:26" x14ac:dyDescent="0.3">
      <c r="A1261" t="s">
        <v>72</v>
      </c>
      <c r="B1261" t="s">
        <v>1317</v>
      </c>
      <c r="C1261">
        <v>26.053166598732702</v>
      </c>
      <c r="D1261">
        <v>74</v>
      </c>
      <c r="E1261">
        <v>986</v>
      </c>
      <c r="F1261">
        <v>23119.580039715402</v>
      </c>
      <c r="G1261" t="s">
        <v>54</v>
      </c>
      <c r="H1261">
        <v>74</v>
      </c>
      <c r="I1261">
        <v>16</v>
      </c>
      <c r="J1261">
        <v>43</v>
      </c>
      <c r="K1261">
        <v>8</v>
      </c>
      <c r="L1261" t="s">
        <v>44</v>
      </c>
      <c r="M1261">
        <v>13.027303878897801</v>
      </c>
      <c r="N1261" t="s">
        <v>28</v>
      </c>
      <c r="O1261" t="s">
        <v>29</v>
      </c>
      <c r="P1261">
        <f>VLOOKUP(O1261, Coordinates!$A$2:$C$6, 2, FALSE)</f>
        <v>29.760400000000001</v>
      </c>
      <c r="Q1261">
        <f>VLOOKUP(O1261, Coordinates!$A$2:$C$6, 3, FALSE)</f>
        <v>-95.369799999999998</v>
      </c>
      <c r="R1261">
        <v>1</v>
      </c>
      <c r="S1261">
        <v>413</v>
      </c>
      <c r="T1261">
        <v>24</v>
      </c>
      <c r="U1261">
        <v>75.360707856800303</v>
      </c>
      <c r="V1261" t="s">
        <v>39</v>
      </c>
      <c r="W1261">
        <v>1.5909920689999999</v>
      </c>
      <c r="X1261" t="s">
        <v>46</v>
      </c>
      <c r="Y1261" t="s">
        <v>41</v>
      </c>
      <c r="Z1261">
        <v>960.05788220092302</v>
      </c>
    </row>
    <row r="1262" spans="1:26" x14ac:dyDescent="0.3">
      <c r="A1262" t="s">
        <v>42</v>
      </c>
      <c r="B1262" t="s">
        <v>1318</v>
      </c>
      <c r="C1262">
        <v>68.188888452648499</v>
      </c>
      <c r="D1262">
        <v>97</v>
      </c>
      <c r="E1262">
        <v>809</v>
      </c>
      <c r="F1262">
        <v>5657.1490844586197</v>
      </c>
      <c r="G1262" t="s">
        <v>35</v>
      </c>
      <c r="H1262">
        <v>76</v>
      </c>
      <c r="I1262">
        <v>3</v>
      </c>
      <c r="J1262">
        <v>93</v>
      </c>
      <c r="K1262">
        <v>1</v>
      </c>
      <c r="L1262" t="s">
        <v>44</v>
      </c>
      <c r="M1262">
        <v>5.66375644731656</v>
      </c>
      <c r="N1262" t="s">
        <v>57</v>
      </c>
      <c r="O1262" t="s">
        <v>38</v>
      </c>
      <c r="P1262">
        <f>VLOOKUP(O1262, Coordinates!$A$2:$C$6, 2, FALSE)</f>
        <v>25.761700000000001</v>
      </c>
      <c r="Q1262">
        <f>VLOOKUP(O1262, Coordinates!$A$2:$C$6, 3, FALSE)</f>
        <v>-80.191800000000001</v>
      </c>
      <c r="R1262">
        <v>7</v>
      </c>
      <c r="S1262">
        <v>219</v>
      </c>
      <c r="T1262">
        <v>20</v>
      </c>
      <c r="U1262">
        <v>27.527165764857301</v>
      </c>
      <c r="V1262" t="s">
        <v>30</v>
      </c>
      <c r="W1262">
        <v>4.1319006409999997</v>
      </c>
      <c r="X1262" t="s">
        <v>40</v>
      </c>
      <c r="Y1262" t="s">
        <v>32</v>
      </c>
      <c r="Z1262">
        <v>768.02017956169402</v>
      </c>
    </row>
    <row r="1263" spans="1:26" x14ac:dyDescent="0.3">
      <c r="A1263" t="s">
        <v>49</v>
      </c>
      <c r="B1263" t="s">
        <v>1319</v>
      </c>
      <c r="C1263">
        <v>19.945996600173601</v>
      </c>
      <c r="D1263">
        <v>57</v>
      </c>
      <c r="E1263">
        <v>691</v>
      </c>
      <c r="F1263">
        <v>9319.1891157442005</v>
      </c>
      <c r="G1263" t="s">
        <v>26</v>
      </c>
      <c r="H1263">
        <v>30</v>
      </c>
      <c r="I1263">
        <v>6</v>
      </c>
      <c r="J1263">
        <v>16</v>
      </c>
      <c r="K1263">
        <v>7</v>
      </c>
      <c r="L1263" t="s">
        <v>36</v>
      </c>
      <c r="M1263">
        <v>8.5033960678153804</v>
      </c>
      <c r="N1263" t="s">
        <v>28</v>
      </c>
      <c r="O1263" t="s">
        <v>58</v>
      </c>
      <c r="P1263">
        <f>VLOOKUP(O1263, Coordinates!$A$2:$C$6, 2, FALSE)</f>
        <v>34.052199999999999</v>
      </c>
      <c r="Q1263">
        <f>VLOOKUP(O1263, Coordinates!$A$2:$C$6, 3, FALSE)</f>
        <v>-118.2437</v>
      </c>
      <c r="R1263">
        <v>2</v>
      </c>
      <c r="S1263">
        <v>580</v>
      </c>
      <c r="T1263">
        <v>16</v>
      </c>
      <c r="U1263">
        <v>47.852987306712997</v>
      </c>
      <c r="V1263" t="s">
        <v>55</v>
      </c>
      <c r="W1263">
        <v>3.2813853714463099</v>
      </c>
      <c r="X1263" t="s">
        <v>52</v>
      </c>
      <c r="Y1263" t="s">
        <v>32</v>
      </c>
      <c r="Z1263">
        <v>599.73601169999995</v>
      </c>
    </row>
    <row r="1264" spans="1:26" x14ac:dyDescent="0.3">
      <c r="A1264" t="s">
        <v>82</v>
      </c>
      <c r="B1264" t="s">
        <v>1320</v>
      </c>
      <c r="C1264">
        <v>16.293067161821799</v>
      </c>
      <c r="D1264">
        <v>40</v>
      </c>
      <c r="E1264">
        <v>863</v>
      </c>
      <c r="F1264">
        <v>5941.7490031184998</v>
      </c>
      <c r="G1264" t="s">
        <v>26</v>
      </c>
      <c r="H1264">
        <v>24</v>
      </c>
      <c r="I1264">
        <v>21</v>
      </c>
      <c r="J1264">
        <v>71</v>
      </c>
      <c r="K1264">
        <v>6</v>
      </c>
      <c r="L1264" t="s">
        <v>44</v>
      </c>
      <c r="M1264">
        <v>7.0391561916654002</v>
      </c>
      <c r="N1264" t="s">
        <v>37</v>
      </c>
      <c r="O1264" t="s">
        <v>67</v>
      </c>
      <c r="P1264">
        <f>VLOOKUP(O1264, Coordinates!$A$2:$C$6, 2, FALSE)</f>
        <v>40.712800000000001</v>
      </c>
      <c r="Q1264">
        <f>VLOOKUP(O1264, Coordinates!$A$2:$C$6, 3, FALSE)</f>
        <v>-74.006</v>
      </c>
      <c r="R1264">
        <v>10</v>
      </c>
      <c r="S1264">
        <v>219</v>
      </c>
      <c r="T1264">
        <v>2</v>
      </c>
      <c r="U1264">
        <v>89.905688003383702</v>
      </c>
      <c r="V1264" t="s">
        <v>39</v>
      </c>
      <c r="W1264">
        <v>3.7974974843878702</v>
      </c>
      <c r="X1264" t="s">
        <v>40</v>
      </c>
      <c r="Y1264" t="s">
        <v>41</v>
      </c>
      <c r="Z1264">
        <v>867.92272037640601</v>
      </c>
    </row>
    <row r="1265" spans="1:26" x14ac:dyDescent="0.3">
      <c r="A1265" t="s">
        <v>61</v>
      </c>
      <c r="B1265" t="s">
        <v>1321</v>
      </c>
      <c r="C1265">
        <v>77.648318440246499</v>
      </c>
      <c r="D1265">
        <v>80</v>
      </c>
      <c r="E1265">
        <v>886</v>
      </c>
      <c r="F1265">
        <v>6246.9863174648399</v>
      </c>
      <c r="G1265" t="s">
        <v>26</v>
      </c>
      <c r="H1265">
        <v>73</v>
      </c>
      <c r="I1265">
        <v>23</v>
      </c>
      <c r="J1265">
        <v>66</v>
      </c>
      <c r="K1265">
        <v>5</v>
      </c>
      <c r="L1265" t="s">
        <v>27</v>
      </c>
      <c r="M1265">
        <v>10.927085983641</v>
      </c>
      <c r="N1265" t="s">
        <v>57</v>
      </c>
      <c r="O1265" t="s">
        <v>58</v>
      </c>
      <c r="P1265">
        <f>VLOOKUP(O1265, Coordinates!$A$2:$C$6, 2, FALSE)</f>
        <v>34.052199999999999</v>
      </c>
      <c r="Q1265">
        <f>VLOOKUP(O1265, Coordinates!$A$2:$C$6, 3, FALSE)</f>
        <v>-118.2437</v>
      </c>
      <c r="R1265">
        <v>24</v>
      </c>
      <c r="S1265">
        <v>809</v>
      </c>
      <c r="T1265">
        <v>13</v>
      </c>
      <c r="U1265">
        <v>57.8722982081254</v>
      </c>
      <c r="V1265" t="s">
        <v>30</v>
      </c>
      <c r="W1265">
        <v>2.0732937132226001</v>
      </c>
      <c r="X1265" t="s">
        <v>31</v>
      </c>
      <c r="Y1265" t="s">
        <v>32</v>
      </c>
      <c r="Z1265">
        <v>566.29801211035397</v>
      </c>
    </row>
    <row r="1266" spans="1:26" x14ac:dyDescent="0.3">
      <c r="A1266" t="s">
        <v>33</v>
      </c>
      <c r="B1266" t="s">
        <v>1322</v>
      </c>
      <c r="C1266">
        <v>68.750251966691806</v>
      </c>
      <c r="D1266">
        <v>45</v>
      </c>
      <c r="E1266">
        <v>978</v>
      </c>
      <c r="F1266">
        <v>4614.8781318794199</v>
      </c>
      <c r="G1266" t="s">
        <v>26</v>
      </c>
      <c r="H1266">
        <v>23</v>
      </c>
      <c r="I1266">
        <v>13</v>
      </c>
      <c r="J1266">
        <v>85</v>
      </c>
      <c r="K1266">
        <v>1</v>
      </c>
      <c r="L1266" t="s">
        <v>44</v>
      </c>
      <c r="M1266">
        <v>9.2325880636079791</v>
      </c>
      <c r="N1266" t="s">
        <v>37</v>
      </c>
      <c r="O1266" t="s">
        <v>38</v>
      </c>
      <c r="P1266">
        <f>VLOOKUP(O1266, Coordinates!$A$2:$C$6, 2, FALSE)</f>
        <v>25.761700000000001</v>
      </c>
      <c r="Q1266">
        <f>VLOOKUP(O1266, Coordinates!$A$2:$C$6, 3, FALSE)</f>
        <v>-80.191800000000001</v>
      </c>
      <c r="R1266">
        <v>25</v>
      </c>
      <c r="S1266">
        <v>235</v>
      </c>
      <c r="T1266">
        <v>18</v>
      </c>
      <c r="U1266">
        <v>77.364360256059101</v>
      </c>
      <c r="V1266" t="s">
        <v>39</v>
      </c>
      <c r="W1266">
        <v>4.7119916565325504</v>
      </c>
      <c r="X1266" t="s">
        <v>40</v>
      </c>
      <c r="Y1266" t="s">
        <v>41</v>
      </c>
      <c r="Z1266">
        <v>989.19574447402999</v>
      </c>
    </row>
    <row r="1267" spans="1:26" x14ac:dyDescent="0.3">
      <c r="A1267" t="s">
        <v>49</v>
      </c>
      <c r="B1267" t="s">
        <v>1323</v>
      </c>
      <c r="C1267">
        <v>46.3558010382474</v>
      </c>
      <c r="D1267">
        <v>35</v>
      </c>
      <c r="E1267">
        <v>644</v>
      </c>
      <c r="F1267">
        <v>9541.7164286453499</v>
      </c>
      <c r="G1267" t="s">
        <v>35</v>
      </c>
      <c r="H1267">
        <v>64</v>
      </c>
      <c r="I1267">
        <v>1</v>
      </c>
      <c r="J1267">
        <v>14</v>
      </c>
      <c r="K1267">
        <v>8</v>
      </c>
      <c r="L1267" t="s">
        <v>36</v>
      </c>
      <c r="M1267">
        <v>11.9879494625213</v>
      </c>
      <c r="N1267" t="s">
        <v>51</v>
      </c>
      <c r="O1267" t="s">
        <v>38</v>
      </c>
      <c r="P1267">
        <f>VLOOKUP(O1267, Coordinates!$A$2:$C$6, 2, FALSE)</f>
        <v>25.761700000000001</v>
      </c>
      <c r="Q1267">
        <f>VLOOKUP(O1267, Coordinates!$A$2:$C$6, 3, FALSE)</f>
        <v>-80.191800000000001</v>
      </c>
      <c r="R1267">
        <v>16</v>
      </c>
      <c r="S1267">
        <v>176</v>
      </c>
      <c r="T1267">
        <v>29</v>
      </c>
      <c r="U1267">
        <v>25.6730075462301</v>
      </c>
      <c r="V1267" t="s">
        <v>39</v>
      </c>
      <c r="W1267">
        <v>1.7236171140000001</v>
      </c>
      <c r="X1267" t="s">
        <v>46</v>
      </c>
      <c r="Y1267" t="s">
        <v>41</v>
      </c>
      <c r="Z1267">
        <v>220.15626255726499</v>
      </c>
    </row>
    <row r="1268" spans="1:26" x14ac:dyDescent="0.3">
      <c r="A1268" t="s">
        <v>49</v>
      </c>
      <c r="B1268" t="s">
        <v>1324</v>
      </c>
      <c r="C1268">
        <v>57.184428290609802</v>
      </c>
      <c r="D1268">
        <v>3</v>
      </c>
      <c r="E1268">
        <v>435</v>
      </c>
      <c r="F1268">
        <v>7994.6731849564803</v>
      </c>
      <c r="G1268" t="s">
        <v>54</v>
      </c>
      <c r="H1268">
        <v>24</v>
      </c>
      <c r="I1268">
        <v>29</v>
      </c>
      <c r="J1268">
        <v>85</v>
      </c>
      <c r="K1268">
        <v>8</v>
      </c>
      <c r="L1268" t="s">
        <v>44</v>
      </c>
      <c r="M1268">
        <v>1.16453163437178</v>
      </c>
      <c r="N1268" t="s">
        <v>37</v>
      </c>
      <c r="O1268" t="s">
        <v>58</v>
      </c>
      <c r="P1268">
        <f>VLOOKUP(O1268, Coordinates!$A$2:$C$6, 2, FALSE)</f>
        <v>34.052199999999999</v>
      </c>
      <c r="Q1268">
        <f>VLOOKUP(O1268, Coordinates!$A$2:$C$6, 3, FALSE)</f>
        <v>-118.2437</v>
      </c>
      <c r="R1268">
        <v>12</v>
      </c>
      <c r="S1268">
        <v>453</v>
      </c>
      <c r="T1268">
        <v>22</v>
      </c>
      <c r="U1268">
        <v>19.5380378249702</v>
      </c>
      <c r="V1268" t="s">
        <v>30</v>
      </c>
      <c r="W1268">
        <v>2.6552246222782201</v>
      </c>
      <c r="X1268" t="s">
        <v>46</v>
      </c>
      <c r="Y1268" t="s">
        <v>41</v>
      </c>
      <c r="Z1268">
        <v>901.60043739703895</v>
      </c>
    </row>
    <row r="1269" spans="1:26" x14ac:dyDescent="0.3">
      <c r="A1269" t="s">
        <v>82</v>
      </c>
      <c r="B1269" t="s">
        <v>1325</v>
      </c>
      <c r="C1269">
        <v>34.6384819310097</v>
      </c>
      <c r="D1269">
        <v>5</v>
      </c>
      <c r="E1269">
        <v>894</v>
      </c>
      <c r="F1269">
        <v>3568.6476127255701</v>
      </c>
      <c r="G1269" t="s">
        <v>48</v>
      </c>
      <c r="H1269">
        <v>27</v>
      </c>
      <c r="I1269">
        <v>21</v>
      </c>
      <c r="J1269">
        <v>44</v>
      </c>
      <c r="K1269">
        <v>1</v>
      </c>
      <c r="L1269" t="s">
        <v>36</v>
      </c>
      <c r="M1269">
        <v>10.6291056598038</v>
      </c>
      <c r="N1269" t="s">
        <v>28</v>
      </c>
      <c r="O1269" t="s">
        <v>29</v>
      </c>
      <c r="P1269">
        <f>VLOOKUP(O1269, Coordinates!$A$2:$C$6, 2, FALSE)</f>
        <v>29.760400000000001</v>
      </c>
      <c r="Q1269">
        <f>VLOOKUP(O1269, Coordinates!$A$2:$C$6, 3, FALSE)</f>
        <v>-95.369799999999998</v>
      </c>
      <c r="R1269">
        <v>27</v>
      </c>
      <c r="S1269">
        <v>157</v>
      </c>
      <c r="T1269">
        <v>19</v>
      </c>
      <c r="U1269">
        <v>31.565562186901499</v>
      </c>
      <c r="V1269" t="s">
        <v>30</v>
      </c>
      <c r="W1269">
        <v>4.6682505590577899</v>
      </c>
      <c r="X1269" t="s">
        <v>52</v>
      </c>
      <c r="Y1269" t="s">
        <v>41</v>
      </c>
      <c r="Z1269">
        <v>321.08817459139999</v>
      </c>
    </row>
    <row r="1270" spans="1:26" x14ac:dyDescent="0.3">
      <c r="A1270" t="s">
        <v>72</v>
      </c>
      <c r="B1270" t="s">
        <v>1326</v>
      </c>
      <c r="C1270">
        <v>34.727562137315999</v>
      </c>
      <c r="D1270">
        <v>90</v>
      </c>
      <c r="E1270">
        <v>329</v>
      </c>
      <c r="F1270">
        <v>10282.831148859201</v>
      </c>
      <c r="G1270" t="s">
        <v>48</v>
      </c>
      <c r="H1270">
        <v>35</v>
      </c>
      <c r="I1270">
        <v>14</v>
      </c>
      <c r="J1270">
        <v>93</v>
      </c>
      <c r="K1270">
        <v>1</v>
      </c>
      <c r="L1270" t="s">
        <v>44</v>
      </c>
      <c r="M1270">
        <v>5.4669121730751602</v>
      </c>
      <c r="N1270" t="s">
        <v>51</v>
      </c>
      <c r="O1270" t="s">
        <v>29</v>
      </c>
      <c r="P1270">
        <f>VLOOKUP(O1270, Coordinates!$A$2:$C$6, 2, FALSE)</f>
        <v>29.760400000000001</v>
      </c>
      <c r="Q1270">
        <f>VLOOKUP(O1270, Coordinates!$A$2:$C$6, 3, FALSE)</f>
        <v>-95.369799999999998</v>
      </c>
      <c r="R1270">
        <v>30</v>
      </c>
      <c r="S1270">
        <v>185</v>
      </c>
      <c r="T1270">
        <v>11</v>
      </c>
      <c r="U1270">
        <v>90.800891886075604</v>
      </c>
      <c r="V1270" t="s">
        <v>30</v>
      </c>
      <c r="W1270">
        <v>0.41594478942804503</v>
      </c>
      <c r="X1270" t="s">
        <v>46</v>
      </c>
      <c r="Y1270" t="s">
        <v>32</v>
      </c>
      <c r="Z1270">
        <v>272.10494957850699</v>
      </c>
    </row>
    <row r="1271" spans="1:26" x14ac:dyDescent="0.3">
      <c r="A1271" t="s">
        <v>33</v>
      </c>
      <c r="B1271" t="s">
        <v>1327</v>
      </c>
      <c r="C1271">
        <v>53.133901653360802</v>
      </c>
      <c r="D1271">
        <v>11</v>
      </c>
      <c r="E1271">
        <v>446</v>
      </c>
      <c r="F1271">
        <v>4891.5672420000001</v>
      </c>
      <c r="G1271" t="s">
        <v>48</v>
      </c>
      <c r="H1271">
        <v>81</v>
      </c>
      <c r="I1271">
        <v>2</v>
      </c>
      <c r="J1271">
        <v>46</v>
      </c>
      <c r="K1271">
        <v>3</v>
      </c>
      <c r="L1271" t="s">
        <v>36</v>
      </c>
      <c r="M1271">
        <v>4.1391099584518498</v>
      </c>
      <c r="N1271" t="s">
        <v>51</v>
      </c>
      <c r="O1271" t="s">
        <v>38</v>
      </c>
      <c r="P1271">
        <f>VLOOKUP(O1271, Coordinates!$A$2:$C$6, 2, FALSE)</f>
        <v>25.761700000000001</v>
      </c>
      <c r="Q1271">
        <f>VLOOKUP(O1271, Coordinates!$A$2:$C$6, 3, FALSE)</f>
        <v>-80.191800000000001</v>
      </c>
      <c r="R1271">
        <v>18</v>
      </c>
      <c r="S1271">
        <v>100</v>
      </c>
      <c r="T1271">
        <v>14</v>
      </c>
      <c r="U1271">
        <v>59.329181693997903</v>
      </c>
      <c r="V1271" t="s">
        <v>30</v>
      </c>
      <c r="W1271">
        <v>0.54405218583478798</v>
      </c>
      <c r="X1271" t="s">
        <v>40</v>
      </c>
      <c r="Y1271" t="s">
        <v>41</v>
      </c>
      <c r="Z1271">
        <v>467.42567291387599</v>
      </c>
    </row>
    <row r="1272" spans="1:26" x14ac:dyDescent="0.3">
      <c r="A1272" t="s">
        <v>42</v>
      </c>
      <c r="B1272" t="s">
        <v>1328</v>
      </c>
      <c r="C1272">
        <v>41.787540761919097</v>
      </c>
      <c r="D1272">
        <v>71</v>
      </c>
      <c r="E1272">
        <v>808</v>
      </c>
      <c r="F1272">
        <v>8458.0042918023391</v>
      </c>
      <c r="G1272" t="s">
        <v>48</v>
      </c>
      <c r="H1272">
        <v>5</v>
      </c>
      <c r="I1272">
        <v>2</v>
      </c>
      <c r="J1272">
        <v>69</v>
      </c>
      <c r="K1272">
        <v>8</v>
      </c>
      <c r="L1272" t="s">
        <v>36</v>
      </c>
      <c r="M1272">
        <v>12.217379129021401</v>
      </c>
      <c r="N1272" t="s">
        <v>45</v>
      </c>
      <c r="O1272" t="s">
        <v>38</v>
      </c>
      <c r="P1272">
        <f>VLOOKUP(O1272, Coordinates!$A$2:$C$6, 2, FALSE)</f>
        <v>25.761700000000001</v>
      </c>
      <c r="Q1272">
        <f>VLOOKUP(O1272, Coordinates!$A$2:$C$6, 3, FALSE)</f>
        <v>-80.191800000000001</v>
      </c>
      <c r="R1272">
        <v>25</v>
      </c>
      <c r="S1272">
        <v>176</v>
      </c>
      <c r="T1272">
        <v>30</v>
      </c>
      <c r="U1272">
        <v>89.311898832799599</v>
      </c>
      <c r="V1272" t="s">
        <v>55</v>
      </c>
      <c r="W1272">
        <v>3.6480076474899601</v>
      </c>
      <c r="X1272" t="s">
        <v>31</v>
      </c>
      <c r="Y1272" t="s">
        <v>41</v>
      </c>
      <c r="Z1272">
        <v>430.71545807718798</v>
      </c>
    </row>
    <row r="1273" spans="1:26" x14ac:dyDescent="0.3">
      <c r="A1273" t="s">
        <v>49</v>
      </c>
      <c r="B1273" t="s">
        <v>1329</v>
      </c>
      <c r="C1273">
        <v>91.124360013855394</v>
      </c>
      <c r="D1273">
        <v>56</v>
      </c>
      <c r="E1273">
        <v>292</v>
      </c>
      <c r="F1273">
        <v>8405.9926146415091</v>
      </c>
      <c r="G1273" t="s">
        <v>26</v>
      </c>
      <c r="H1273">
        <v>65</v>
      </c>
      <c r="I1273">
        <v>27</v>
      </c>
      <c r="J1273">
        <v>74</v>
      </c>
      <c r="K1273">
        <v>8</v>
      </c>
      <c r="L1273" t="s">
        <v>44</v>
      </c>
      <c r="M1273">
        <v>2.24909695663459</v>
      </c>
      <c r="N1273" t="s">
        <v>28</v>
      </c>
      <c r="O1273" t="s">
        <v>65</v>
      </c>
      <c r="P1273">
        <f>VLOOKUP(O1273, Coordinates!$A$2:$C$6, 2, FALSE)</f>
        <v>41.878100000000003</v>
      </c>
      <c r="Q1273">
        <f>VLOOKUP(O1273, Coordinates!$A$2:$C$6, 3, FALSE)</f>
        <v>-87.629800000000003</v>
      </c>
      <c r="R1273">
        <v>27</v>
      </c>
      <c r="S1273">
        <v>621</v>
      </c>
      <c r="T1273">
        <v>26</v>
      </c>
      <c r="U1273">
        <v>48.348335509962801</v>
      </c>
      <c r="V1273" t="s">
        <v>39</v>
      </c>
      <c r="W1273">
        <v>4.8569557847782896</v>
      </c>
      <c r="X1273" t="s">
        <v>31</v>
      </c>
      <c r="Y1273" t="s">
        <v>41</v>
      </c>
      <c r="Z1273">
        <v>141.70177375827299</v>
      </c>
    </row>
    <row r="1274" spans="1:26" x14ac:dyDescent="0.3">
      <c r="A1274" t="s">
        <v>82</v>
      </c>
      <c r="B1274" t="s">
        <v>1330</v>
      </c>
      <c r="C1274">
        <v>6.52587717319558</v>
      </c>
      <c r="D1274">
        <v>10</v>
      </c>
      <c r="E1274">
        <v>230</v>
      </c>
      <c r="F1274">
        <v>2699.83168086568</v>
      </c>
      <c r="G1274" t="s">
        <v>35</v>
      </c>
      <c r="H1274">
        <v>66</v>
      </c>
      <c r="I1274">
        <v>15</v>
      </c>
      <c r="J1274">
        <v>25</v>
      </c>
      <c r="K1274">
        <v>7</v>
      </c>
      <c r="L1274" t="s">
        <v>27</v>
      </c>
      <c r="M1274">
        <v>4.1984406313879701</v>
      </c>
      <c r="N1274" t="s">
        <v>28</v>
      </c>
      <c r="O1274" t="s">
        <v>29</v>
      </c>
      <c r="P1274">
        <f>VLOOKUP(O1274, Coordinates!$A$2:$C$6, 2, FALSE)</f>
        <v>29.760400000000001</v>
      </c>
      <c r="Q1274">
        <f>VLOOKUP(O1274, Coordinates!$A$2:$C$6, 3, FALSE)</f>
        <v>-95.369799999999998</v>
      </c>
      <c r="R1274">
        <v>17</v>
      </c>
      <c r="S1274">
        <v>543</v>
      </c>
      <c r="T1274">
        <v>3</v>
      </c>
      <c r="U1274">
        <v>56.6918369060473</v>
      </c>
      <c r="V1274" t="s">
        <v>55</v>
      </c>
      <c r="W1274">
        <v>3.8585080291856801</v>
      </c>
      <c r="X1274" t="s">
        <v>52</v>
      </c>
      <c r="Y1274" t="s">
        <v>32</v>
      </c>
      <c r="Z1274">
        <v>484.95126180080302</v>
      </c>
    </row>
    <row r="1275" spans="1:26" x14ac:dyDescent="0.3">
      <c r="A1275" t="s">
        <v>42</v>
      </c>
      <c r="B1275" t="s">
        <v>1331</v>
      </c>
      <c r="C1275">
        <v>79.306269990000004</v>
      </c>
      <c r="D1275">
        <v>34</v>
      </c>
      <c r="E1275">
        <v>68</v>
      </c>
      <c r="F1275">
        <v>7310.2701824521901</v>
      </c>
      <c r="G1275" t="s">
        <v>35</v>
      </c>
      <c r="H1275">
        <v>71</v>
      </c>
      <c r="I1275">
        <v>27</v>
      </c>
      <c r="J1275">
        <v>39</v>
      </c>
      <c r="K1275">
        <v>5</v>
      </c>
      <c r="L1275" t="s">
        <v>27</v>
      </c>
      <c r="M1275">
        <v>3.8522807753968902</v>
      </c>
      <c r="N1275" t="s">
        <v>57</v>
      </c>
      <c r="O1275" t="s">
        <v>65</v>
      </c>
      <c r="P1275">
        <f>VLOOKUP(O1275, Coordinates!$A$2:$C$6, 2, FALSE)</f>
        <v>41.878100000000003</v>
      </c>
      <c r="Q1275">
        <f>VLOOKUP(O1275, Coordinates!$A$2:$C$6, 3, FALSE)</f>
        <v>-87.629800000000003</v>
      </c>
      <c r="R1275">
        <v>8</v>
      </c>
      <c r="S1275">
        <v>680</v>
      </c>
      <c r="T1275">
        <v>9</v>
      </c>
      <c r="U1275">
        <v>10.415218238642799</v>
      </c>
      <c r="V1275" t="s">
        <v>55</v>
      </c>
      <c r="W1275">
        <v>2.4209413803558202</v>
      </c>
      <c r="X1275" t="s">
        <v>31</v>
      </c>
      <c r="Y1275" t="s">
        <v>60</v>
      </c>
      <c r="Z1275">
        <v>956.72644519999994</v>
      </c>
    </row>
    <row r="1276" spans="1:26" x14ac:dyDescent="0.3">
      <c r="A1276" t="s">
        <v>72</v>
      </c>
      <c r="B1276" t="s">
        <v>1332</v>
      </c>
      <c r="C1276">
        <v>25.371507075892101</v>
      </c>
      <c r="D1276">
        <v>67</v>
      </c>
      <c r="E1276">
        <v>971</v>
      </c>
      <c r="F1276">
        <v>22172.160033622102</v>
      </c>
      <c r="G1276" t="s">
        <v>48</v>
      </c>
      <c r="H1276">
        <v>94</v>
      </c>
      <c r="I1276">
        <v>18</v>
      </c>
      <c r="J1276">
        <v>82</v>
      </c>
      <c r="K1276">
        <v>8</v>
      </c>
      <c r="L1276" t="s">
        <v>44</v>
      </c>
      <c r="M1276">
        <v>6.87755623083582</v>
      </c>
      <c r="N1276" t="s">
        <v>37</v>
      </c>
      <c r="O1276" t="s">
        <v>29</v>
      </c>
      <c r="P1276">
        <f>VLOOKUP(O1276, Coordinates!$A$2:$C$6, 2, FALSE)</f>
        <v>29.760400000000001</v>
      </c>
      <c r="Q1276">
        <f>VLOOKUP(O1276, Coordinates!$A$2:$C$6, 3, FALSE)</f>
        <v>-95.369799999999998</v>
      </c>
      <c r="R1276">
        <v>21</v>
      </c>
      <c r="S1276">
        <v>247</v>
      </c>
      <c r="T1276">
        <v>5</v>
      </c>
      <c r="U1276">
        <v>91.312590430037403</v>
      </c>
      <c r="V1276" t="s">
        <v>39</v>
      </c>
      <c r="W1276">
        <v>2.53030424318221</v>
      </c>
      <c r="X1276" t="s">
        <v>52</v>
      </c>
      <c r="Y1276" t="s">
        <v>41</v>
      </c>
      <c r="Z1276">
        <v>520.18834925353099</v>
      </c>
    </row>
    <row r="1277" spans="1:26" x14ac:dyDescent="0.3">
      <c r="A1277" t="s">
        <v>33</v>
      </c>
      <c r="B1277" t="s">
        <v>1333</v>
      </c>
      <c r="C1277">
        <v>80.766999251033894</v>
      </c>
      <c r="D1277">
        <v>72</v>
      </c>
      <c r="E1277">
        <v>990</v>
      </c>
      <c r="F1277">
        <v>3677.4340299340101</v>
      </c>
      <c r="G1277" t="s">
        <v>48</v>
      </c>
      <c r="H1277">
        <v>0</v>
      </c>
      <c r="I1277">
        <v>25</v>
      </c>
      <c r="J1277">
        <v>51</v>
      </c>
      <c r="K1277">
        <v>2</v>
      </c>
      <c r="L1277" t="s">
        <v>44</v>
      </c>
      <c r="M1277">
        <v>5.5127149838016498</v>
      </c>
      <c r="N1277" t="s">
        <v>37</v>
      </c>
      <c r="O1277" t="s">
        <v>67</v>
      </c>
      <c r="P1277">
        <f>VLOOKUP(O1277, Coordinates!$A$2:$C$6, 2, FALSE)</f>
        <v>40.712800000000001</v>
      </c>
      <c r="Q1277">
        <f>VLOOKUP(O1277, Coordinates!$A$2:$C$6, 3, FALSE)</f>
        <v>-74.006</v>
      </c>
      <c r="R1277">
        <v>9</v>
      </c>
      <c r="S1277">
        <v>673</v>
      </c>
      <c r="T1277">
        <v>14</v>
      </c>
      <c r="U1277">
        <v>17.539227993479201</v>
      </c>
      <c r="V1277" t="s">
        <v>39</v>
      </c>
      <c r="W1277">
        <v>1.2860643676871699</v>
      </c>
      <c r="X1277" t="s">
        <v>52</v>
      </c>
      <c r="Y1277" t="s">
        <v>60</v>
      </c>
      <c r="Z1277">
        <v>371.63368536399901</v>
      </c>
    </row>
    <row r="1278" spans="1:26" x14ac:dyDescent="0.3">
      <c r="A1278" t="s">
        <v>72</v>
      </c>
      <c r="B1278" t="s">
        <v>1334</v>
      </c>
      <c r="C1278">
        <v>21.4145956403013</v>
      </c>
      <c r="D1278">
        <v>31</v>
      </c>
      <c r="E1278">
        <v>564</v>
      </c>
      <c r="F1278">
        <v>10870.048747016899</v>
      </c>
      <c r="G1278" t="s">
        <v>54</v>
      </c>
      <c r="H1278">
        <v>82</v>
      </c>
      <c r="I1278">
        <v>26</v>
      </c>
      <c r="J1278">
        <v>70</v>
      </c>
      <c r="K1278">
        <v>8</v>
      </c>
      <c r="L1278" t="s">
        <v>44</v>
      </c>
      <c r="M1278">
        <v>11.0865564395353</v>
      </c>
      <c r="N1278" t="s">
        <v>28</v>
      </c>
      <c r="O1278" t="s">
        <v>29</v>
      </c>
      <c r="P1278">
        <f>VLOOKUP(O1278, Coordinates!$A$2:$C$6, 2, FALSE)</f>
        <v>29.760400000000001</v>
      </c>
      <c r="Q1278">
        <f>VLOOKUP(O1278, Coordinates!$A$2:$C$6, 3, FALSE)</f>
        <v>-95.369799999999998</v>
      </c>
      <c r="R1278">
        <v>19</v>
      </c>
      <c r="S1278">
        <v>624</v>
      </c>
      <c r="T1278">
        <v>7</v>
      </c>
      <c r="U1278">
        <v>82.587555942798303</v>
      </c>
      <c r="V1278" t="s">
        <v>39</v>
      </c>
      <c r="W1278">
        <v>2.1636551806766202</v>
      </c>
      <c r="X1278" t="s">
        <v>52</v>
      </c>
      <c r="Y1278" t="s">
        <v>60</v>
      </c>
      <c r="Z1278">
        <v>954.16839797284501</v>
      </c>
    </row>
    <row r="1279" spans="1:26" x14ac:dyDescent="0.3">
      <c r="A1279" t="s">
        <v>49</v>
      </c>
      <c r="B1279" t="s">
        <v>1335</v>
      </c>
      <c r="C1279">
        <v>85.111418638958199</v>
      </c>
      <c r="D1279">
        <v>75</v>
      </c>
      <c r="E1279">
        <v>718</v>
      </c>
      <c r="F1279">
        <v>7530.1142280395297</v>
      </c>
      <c r="G1279" t="s">
        <v>54</v>
      </c>
      <c r="H1279">
        <v>69</v>
      </c>
      <c r="I1279">
        <v>3</v>
      </c>
      <c r="J1279">
        <v>83</v>
      </c>
      <c r="K1279">
        <v>9</v>
      </c>
      <c r="L1279" t="s">
        <v>44</v>
      </c>
      <c r="M1279">
        <v>10.7911783284206</v>
      </c>
      <c r="N1279" t="s">
        <v>37</v>
      </c>
      <c r="O1279" t="s">
        <v>67</v>
      </c>
      <c r="P1279">
        <f>VLOOKUP(O1279, Coordinates!$A$2:$C$6, 2, FALSE)</f>
        <v>40.712800000000001</v>
      </c>
      <c r="Q1279">
        <f>VLOOKUP(O1279, Coordinates!$A$2:$C$6, 3, FALSE)</f>
        <v>-74.006</v>
      </c>
      <c r="R1279">
        <v>2</v>
      </c>
      <c r="S1279">
        <v>285</v>
      </c>
      <c r="T1279">
        <v>12</v>
      </c>
      <c r="U1279">
        <v>53.757223189472498</v>
      </c>
      <c r="V1279" t="s">
        <v>55</v>
      </c>
      <c r="W1279">
        <v>2.1567468893316599</v>
      </c>
      <c r="X1279" t="s">
        <v>46</v>
      </c>
      <c r="Y1279" t="s">
        <v>41</v>
      </c>
      <c r="Z1279">
        <v>870.30967771116605</v>
      </c>
    </row>
    <row r="1280" spans="1:26" x14ac:dyDescent="0.3">
      <c r="A1280" t="s">
        <v>42</v>
      </c>
      <c r="B1280" t="s">
        <v>1336</v>
      </c>
      <c r="C1280">
        <v>14.2638609358852</v>
      </c>
      <c r="D1280">
        <v>71</v>
      </c>
      <c r="E1280">
        <v>502</v>
      </c>
      <c r="F1280">
        <v>3068.43437613282</v>
      </c>
      <c r="G1280" t="s">
        <v>54</v>
      </c>
      <c r="H1280">
        <v>77</v>
      </c>
      <c r="I1280">
        <v>4</v>
      </c>
      <c r="J1280">
        <v>86</v>
      </c>
      <c r="K1280">
        <v>10</v>
      </c>
      <c r="L1280" t="s">
        <v>44</v>
      </c>
      <c r="M1280">
        <v>5.5565924754845399</v>
      </c>
      <c r="N1280" t="s">
        <v>28</v>
      </c>
      <c r="O1280" t="s">
        <v>38</v>
      </c>
      <c r="P1280">
        <f>VLOOKUP(O1280, Coordinates!$A$2:$C$6, 2, FALSE)</f>
        <v>25.761700000000001</v>
      </c>
      <c r="Q1280">
        <f>VLOOKUP(O1280, Coordinates!$A$2:$C$6, 3, FALSE)</f>
        <v>-80.191800000000001</v>
      </c>
      <c r="R1280">
        <v>7</v>
      </c>
      <c r="S1280">
        <v>776</v>
      </c>
      <c r="T1280">
        <v>21</v>
      </c>
      <c r="U1280">
        <v>27.366507867867199</v>
      </c>
      <c r="V1280" t="s">
        <v>30</v>
      </c>
      <c r="W1280">
        <v>0.18045009463369299</v>
      </c>
      <c r="X1280" t="s">
        <v>40</v>
      </c>
      <c r="Y1280" t="s">
        <v>60</v>
      </c>
      <c r="Z1280">
        <v>358.39222434875802</v>
      </c>
    </row>
    <row r="1281" spans="1:26" x14ac:dyDescent="0.3">
      <c r="A1281" t="s">
        <v>42</v>
      </c>
      <c r="B1281" t="s">
        <v>1337</v>
      </c>
      <c r="C1281">
        <v>58.103160239478498</v>
      </c>
      <c r="D1281">
        <v>66</v>
      </c>
      <c r="E1281">
        <v>853</v>
      </c>
      <c r="F1281">
        <v>1008.15251721481</v>
      </c>
      <c r="G1281" t="s">
        <v>26</v>
      </c>
      <c r="H1281">
        <v>66</v>
      </c>
      <c r="I1281">
        <v>15</v>
      </c>
      <c r="J1281">
        <v>57</v>
      </c>
      <c r="K1281">
        <v>5</v>
      </c>
      <c r="L1281" t="s">
        <v>27</v>
      </c>
      <c r="M1281">
        <v>7.1177308660411303</v>
      </c>
      <c r="N1281" t="s">
        <v>51</v>
      </c>
      <c r="O1281" t="s">
        <v>65</v>
      </c>
      <c r="P1281">
        <f>VLOOKUP(O1281, Coordinates!$A$2:$C$6, 2, FALSE)</f>
        <v>41.878100000000003</v>
      </c>
      <c r="Q1281">
        <f>VLOOKUP(O1281, Coordinates!$A$2:$C$6, 3, FALSE)</f>
        <v>-87.629800000000003</v>
      </c>
      <c r="R1281">
        <v>11</v>
      </c>
      <c r="S1281">
        <v>621</v>
      </c>
      <c r="T1281">
        <v>18</v>
      </c>
      <c r="U1281">
        <v>63.333949482083703</v>
      </c>
      <c r="V1281" t="s">
        <v>30</v>
      </c>
      <c r="W1281">
        <v>2.2657910401683399</v>
      </c>
      <c r="X1281" t="s">
        <v>46</v>
      </c>
      <c r="Y1281" t="s">
        <v>60</v>
      </c>
      <c r="Z1281">
        <v>804.69055403610605</v>
      </c>
    </row>
    <row r="1282" spans="1:26" x14ac:dyDescent="0.3">
      <c r="A1282" t="s">
        <v>42</v>
      </c>
      <c r="B1282" t="s">
        <v>1338</v>
      </c>
      <c r="C1282">
        <v>52.603348624908698</v>
      </c>
      <c r="D1282">
        <v>70</v>
      </c>
      <c r="E1282">
        <v>930</v>
      </c>
      <c r="F1282">
        <v>7437.1316813436897</v>
      </c>
      <c r="G1282" t="s">
        <v>35</v>
      </c>
      <c r="H1282">
        <v>47</v>
      </c>
      <c r="I1282">
        <v>5</v>
      </c>
      <c r="J1282">
        <v>71</v>
      </c>
      <c r="K1282">
        <v>4</v>
      </c>
      <c r="L1282" t="s">
        <v>36</v>
      </c>
      <c r="M1282">
        <v>3.9107145785168198</v>
      </c>
      <c r="N1282" t="s">
        <v>37</v>
      </c>
      <c r="O1282" t="s">
        <v>38</v>
      </c>
      <c r="P1282">
        <f>VLOOKUP(O1282, Coordinates!$A$2:$C$6, 2, FALSE)</f>
        <v>25.761700000000001</v>
      </c>
      <c r="Q1282">
        <f>VLOOKUP(O1282, Coordinates!$A$2:$C$6, 3, FALSE)</f>
        <v>-80.191800000000001</v>
      </c>
      <c r="R1282">
        <v>23</v>
      </c>
      <c r="S1282">
        <v>870</v>
      </c>
      <c r="T1282">
        <v>11</v>
      </c>
      <c r="U1282">
        <v>59.015093663713202</v>
      </c>
      <c r="V1282" t="s">
        <v>30</v>
      </c>
      <c r="W1282">
        <v>2.3989720425873302</v>
      </c>
      <c r="X1282" t="s">
        <v>31</v>
      </c>
      <c r="Y1282" t="s">
        <v>41</v>
      </c>
      <c r="Z1282">
        <v>301.25209485607598</v>
      </c>
    </row>
    <row r="1283" spans="1:26" x14ac:dyDescent="0.3">
      <c r="A1283" t="s">
        <v>49</v>
      </c>
      <c r="B1283" t="s">
        <v>1339</v>
      </c>
      <c r="C1283">
        <v>72.088352381519002</v>
      </c>
      <c r="D1283">
        <v>41</v>
      </c>
      <c r="E1283">
        <v>921</v>
      </c>
      <c r="F1283">
        <v>2540.6626945161202</v>
      </c>
      <c r="G1283" t="s">
        <v>26</v>
      </c>
      <c r="H1283">
        <v>64</v>
      </c>
      <c r="I1283">
        <v>30</v>
      </c>
      <c r="J1283">
        <v>93</v>
      </c>
      <c r="K1283">
        <v>1</v>
      </c>
      <c r="L1283" t="s">
        <v>36</v>
      </c>
      <c r="M1283">
        <v>10.391688606947699</v>
      </c>
      <c r="N1283" t="s">
        <v>37</v>
      </c>
      <c r="O1283" t="s">
        <v>58</v>
      </c>
      <c r="P1283">
        <f>VLOOKUP(O1283, Coordinates!$A$2:$C$6, 2, FALSE)</f>
        <v>34.052199999999999</v>
      </c>
      <c r="Q1283">
        <f>VLOOKUP(O1283, Coordinates!$A$2:$C$6, 3, FALSE)</f>
        <v>-118.2437</v>
      </c>
      <c r="R1283">
        <v>13</v>
      </c>
      <c r="S1283">
        <v>261</v>
      </c>
      <c r="T1283">
        <v>27</v>
      </c>
      <c r="U1283">
        <v>17.9919371628996</v>
      </c>
      <c r="V1283" t="s">
        <v>30</v>
      </c>
      <c r="W1283">
        <v>3.3289158711493099</v>
      </c>
      <c r="X1283" t="s">
        <v>46</v>
      </c>
      <c r="Y1283" t="s">
        <v>32</v>
      </c>
      <c r="Z1283">
        <v>322.974194429806</v>
      </c>
    </row>
    <row r="1284" spans="1:26" x14ac:dyDescent="0.3">
      <c r="A1284" t="s">
        <v>49</v>
      </c>
      <c r="B1284" t="s">
        <v>1340</v>
      </c>
      <c r="C1284">
        <v>55.757602429999999</v>
      </c>
      <c r="D1284">
        <v>63</v>
      </c>
      <c r="E1284">
        <v>64</v>
      </c>
      <c r="F1284">
        <v>1940.34155777051</v>
      </c>
      <c r="G1284" t="s">
        <v>26</v>
      </c>
      <c r="H1284">
        <v>43</v>
      </c>
      <c r="I1284">
        <v>20</v>
      </c>
      <c r="J1284">
        <v>73</v>
      </c>
      <c r="K1284">
        <v>5</v>
      </c>
      <c r="L1284" t="s">
        <v>27</v>
      </c>
      <c r="M1284">
        <v>6.5471183618560502</v>
      </c>
      <c r="N1284" t="s">
        <v>28</v>
      </c>
      <c r="O1284" t="s">
        <v>58</v>
      </c>
      <c r="P1284">
        <f>VLOOKUP(O1284, Coordinates!$A$2:$C$6, 2, FALSE)</f>
        <v>34.052199999999999</v>
      </c>
      <c r="Q1284">
        <f>VLOOKUP(O1284, Coordinates!$A$2:$C$6, 3, FALSE)</f>
        <v>-118.2437</v>
      </c>
      <c r="R1284">
        <v>10</v>
      </c>
      <c r="S1284">
        <v>389</v>
      </c>
      <c r="T1284">
        <v>24</v>
      </c>
      <c r="U1284">
        <v>67.637149544543107</v>
      </c>
      <c r="V1284" t="s">
        <v>30</v>
      </c>
      <c r="W1284">
        <v>2.5822645669383801</v>
      </c>
      <c r="X1284" t="s">
        <v>52</v>
      </c>
      <c r="Y1284" t="s">
        <v>60</v>
      </c>
      <c r="Z1284">
        <v>391.89880032915102</v>
      </c>
    </row>
    <row r="1285" spans="1:26" x14ac:dyDescent="0.3">
      <c r="A1285" t="s">
        <v>72</v>
      </c>
      <c r="B1285" t="s">
        <v>1341</v>
      </c>
      <c r="C1285">
        <v>38.0647321697367</v>
      </c>
      <c r="D1285">
        <v>32</v>
      </c>
      <c r="E1285">
        <v>401</v>
      </c>
      <c r="F1285">
        <v>13737.561840057901</v>
      </c>
      <c r="G1285" t="s">
        <v>35</v>
      </c>
      <c r="H1285">
        <v>93</v>
      </c>
      <c r="I1285">
        <v>20</v>
      </c>
      <c r="J1285">
        <v>66</v>
      </c>
      <c r="K1285">
        <v>7</v>
      </c>
      <c r="L1285" t="s">
        <v>27</v>
      </c>
      <c r="M1285">
        <v>2.8595654621910098</v>
      </c>
      <c r="N1285" t="s">
        <v>28</v>
      </c>
      <c r="O1285" t="s">
        <v>38</v>
      </c>
      <c r="P1285">
        <f>VLOOKUP(O1285, Coordinates!$A$2:$C$6, 2, FALSE)</f>
        <v>25.761700000000001</v>
      </c>
      <c r="Q1285">
        <f>VLOOKUP(O1285, Coordinates!$A$2:$C$6, 3, FALSE)</f>
        <v>-80.191800000000001</v>
      </c>
      <c r="R1285">
        <v>15</v>
      </c>
      <c r="S1285">
        <v>520</v>
      </c>
      <c r="T1285">
        <v>9</v>
      </c>
      <c r="U1285">
        <v>78.466664985688695</v>
      </c>
      <c r="V1285" t="s">
        <v>30</v>
      </c>
      <c r="W1285">
        <v>4.30841466187601</v>
      </c>
      <c r="X1285" t="s">
        <v>46</v>
      </c>
      <c r="Y1285" t="s">
        <v>41</v>
      </c>
      <c r="Z1285">
        <v>455.291583528611</v>
      </c>
    </row>
    <row r="1286" spans="1:26" x14ac:dyDescent="0.3">
      <c r="A1286" t="s">
        <v>61</v>
      </c>
      <c r="B1286" t="s">
        <v>1342</v>
      </c>
      <c r="C1286">
        <v>45.811614639726102</v>
      </c>
      <c r="D1286">
        <v>20</v>
      </c>
      <c r="E1286">
        <v>261</v>
      </c>
      <c r="F1286">
        <v>4419.1047009043295</v>
      </c>
      <c r="G1286" t="s">
        <v>54</v>
      </c>
      <c r="H1286">
        <v>62</v>
      </c>
      <c r="I1286">
        <v>5</v>
      </c>
      <c r="J1286">
        <v>77</v>
      </c>
      <c r="K1286">
        <v>1</v>
      </c>
      <c r="L1286" t="s">
        <v>36</v>
      </c>
      <c r="M1286">
        <v>2.7817168867611501</v>
      </c>
      <c r="N1286" t="s">
        <v>57</v>
      </c>
      <c r="O1286" t="s">
        <v>29</v>
      </c>
      <c r="P1286">
        <f>VLOOKUP(O1286, Coordinates!$A$2:$C$6, 2, FALSE)</f>
        <v>29.760400000000001</v>
      </c>
      <c r="Q1286">
        <f>VLOOKUP(O1286, Coordinates!$A$2:$C$6, 3, FALSE)</f>
        <v>-95.369799999999998</v>
      </c>
      <c r="R1286">
        <v>21</v>
      </c>
      <c r="S1286">
        <v>295</v>
      </c>
      <c r="T1286">
        <v>11</v>
      </c>
      <c r="U1286">
        <v>35.789896693818697</v>
      </c>
      <c r="V1286" t="s">
        <v>30</v>
      </c>
      <c r="W1286">
        <v>1.8378091262091101</v>
      </c>
      <c r="X1286" t="s">
        <v>46</v>
      </c>
      <c r="Y1286" t="s">
        <v>41</v>
      </c>
      <c r="Z1286">
        <v>624.59105480000005</v>
      </c>
    </row>
    <row r="1287" spans="1:26" x14ac:dyDescent="0.3">
      <c r="A1287" t="s">
        <v>72</v>
      </c>
      <c r="B1287" t="s">
        <v>1343</v>
      </c>
      <c r="C1287">
        <v>28.213231304231901</v>
      </c>
      <c r="D1287">
        <v>57</v>
      </c>
      <c r="E1287">
        <v>581</v>
      </c>
      <c r="F1287">
        <v>14752.6986489829</v>
      </c>
      <c r="G1287" t="s">
        <v>35</v>
      </c>
      <c r="H1287">
        <v>45</v>
      </c>
      <c r="I1287">
        <v>10</v>
      </c>
      <c r="J1287">
        <v>55</v>
      </c>
      <c r="K1287">
        <v>2</v>
      </c>
      <c r="L1287" t="s">
        <v>27</v>
      </c>
      <c r="M1287">
        <v>5.5124894978964498</v>
      </c>
      <c r="N1287" t="s">
        <v>37</v>
      </c>
      <c r="O1287" t="s">
        <v>29</v>
      </c>
      <c r="P1287">
        <f>VLOOKUP(O1287, Coordinates!$A$2:$C$6, 2, FALSE)</f>
        <v>29.760400000000001</v>
      </c>
      <c r="Q1287">
        <f>VLOOKUP(O1287, Coordinates!$A$2:$C$6, 3, FALSE)</f>
        <v>-95.369799999999998</v>
      </c>
      <c r="R1287">
        <v>7</v>
      </c>
      <c r="S1287">
        <v>133</v>
      </c>
      <c r="T1287">
        <v>18</v>
      </c>
      <c r="U1287">
        <v>91.221221465972405</v>
      </c>
      <c r="V1287" t="s">
        <v>55</v>
      </c>
      <c r="W1287">
        <v>2.04858795602801</v>
      </c>
      <c r="X1287" t="s">
        <v>31</v>
      </c>
      <c r="Y1287" t="s">
        <v>60</v>
      </c>
      <c r="Z1287">
        <v>563.75620156037701</v>
      </c>
    </row>
    <row r="1288" spans="1:26" x14ac:dyDescent="0.3">
      <c r="A1288" t="s">
        <v>33</v>
      </c>
      <c r="B1288" t="s">
        <v>1344</v>
      </c>
      <c r="C1288">
        <v>50.815114318958202</v>
      </c>
      <c r="D1288">
        <v>98</v>
      </c>
      <c r="E1288">
        <v>243</v>
      </c>
      <c r="F1288">
        <v>1401.1303664136699</v>
      </c>
      <c r="G1288" t="s">
        <v>48</v>
      </c>
      <c r="H1288">
        <v>18</v>
      </c>
      <c r="I1288">
        <v>16</v>
      </c>
      <c r="J1288">
        <v>37</v>
      </c>
      <c r="K1288">
        <v>9</v>
      </c>
      <c r="L1288" t="s">
        <v>44</v>
      </c>
      <c r="M1288">
        <v>11.4625504009067</v>
      </c>
      <c r="N1288" t="s">
        <v>45</v>
      </c>
      <c r="O1288" t="s">
        <v>38</v>
      </c>
      <c r="P1288">
        <f>VLOOKUP(O1288, Coordinates!$A$2:$C$6, 2, FALSE)</f>
        <v>25.761700000000001</v>
      </c>
      <c r="Q1288">
        <f>VLOOKUP(O1288, Coordinates!$A$2:$C$6, 3, FALSE)</f>
        <v>-80.191800000000001</v>
      </c>
      <c r="R1288">
        <v>29</v>
      </c>
      <c r="S1288">
        <v>771</v>
      </c>
      <c r="T1288">
        <v>2</v>
      </c>
      <c r="U1288">
        <v>27.974756530790501</v>
      </c>
      <c r="V1288" t="s">
        <v>39</v>
      </c>
      <c r="W1288">
        <v>3.8501727720418799</v>
      </c>
      <c r="X1288" t="s">
        <v>40</v>
      </c>
      <c r="Y1288" t="s">
        <v>60</v>
      </c>
      <c r="Z1288">
        <v>769.35770979470601</v>
      </c>
    </row>
    <row r="1289" spans="1:26" x14ac:dyDescent="0.3">
      <c r="A1289" t="s">
        <v>82</v>
      </c>
      <c r="B1289" t="s">
        <v>1345</v>
      </c>
      <c r="C1289">
        <v>16.256774082998</v>
      </c>
      <c r="D1289">
        <v>50</v>
      </c>
      <c r="E1289">
        <v>805</v>
      </c>
      <c r="F1289">
        <v>9735.1599936462408</v>
      </c>
      <c r="G1289" t="s">
        <v>54</v>
      </c>
      <c r="H1289">
        <v>63</v>
      </c>
      <c r="I1289">
        <v>25</v>
      </c>
      <c r="J1289">
        <v>86</v>
      </c>
      <c r="K1289">
        <v>5</v>
      </c>
      <c r="L1289" t="s">
        <v>27</v>
      </c>
      <c r="M1289">
        <v>1.357060705841</v>
      </c>
      <c r="N1289" t="s">
        <v>28</v>
      </c>
      <c r="O1289" t="s">
        <v>38</v>
      </c>
      <c r="P1289">
        <f>VLOOKUP(O1289, Coordinates!$A$2:$C$6, 2, FALSE)</f>
        <v>25.761700000000001</v>
      </c>
      <c r="Q1289">
        <f>VLOOKUP(O1289, Coordinates!$A$2:$C$6, 3, FALSE)</f>
        <v>-80.191800000000001</v>
      </c>
      <c r="R1289">
        <v>6</v>
      </c>
      <c r="S1289">
        <v>696</v>
      </c>
      <c r="T1289">
        <v>20</v>
      </c>
      <c r="U1289">
        <v>78.105593234056997</v>
      </c>
      <c r="V1289" t="s">
        <v>55</v>
      </c>
      <c r="W1289">
        <v>1.0136136225563901</v>
      </c>
      <c r="X1289" t="s">
        <v>52</v>
      </c>
      <c r="Y1289" t="s">
        <v>60</v>
      </c>
      <c r="Z1289">
        <v>745.45377356431095</v>
      </c>
    </row>
    <row r="1290" spans="1:26" x14ac:dyDescent="0.3">
      <c r="A1290" t="s">
        <v>42</v>
      </c>
      <c r="B1290" t="s">
        <v>1346</v>
      </c>
      <c r="C1290">
        <v>96.343767203393</v>
      </c>
      <c r="D1290">
        <v>80</v>
      </c>
      <c r="E1290">
        <v>42</v>
      </c>
      <c r="F1290">
        <v>7444.5674807760197</v>
      </c>
      <c r="G1290" t="s">
        <v>35</v>
      </c>
      <c r="H1290">
        <v>82</v>
      </c>
      <c r="I1290">
        <v>12</v>
      </c>
      <c r="J1290">
        <v>12</v>
      </c>
      <c r="K1290">
        <v>7</v>
      </c>
      <c r="L1290" t="s">
        <v>27</v>
      </c>
      <c r="M1290">
        <v>4.6088457050000002</v>
      </c>
      <c r="N1290" t="s">
        <v>45</v>
      </c>
      <c r="O1290" t="s">
        <v>38</v>
      </c>
      <c r="P1290">
        <f>VLOOKUP(O1290, Coordinates!$A$2:$C$6, 2, FALSE)</f>
        <v>25.761700000000001</v>
      </c>
      <c r="Q1290">
        <f>VLOOKUP(O1290, Coordinates!$A$2:$C$6, 3, FALSE)</f>
        <v>-80.191800000000001</v>
      </c>
      <c r="R1290">
        <v>26</v>
      </c>
      <c r="S1290">
        <v>669</v>
      </c>
      <c r="T1290">
        <v>13</v>
      </c>
      <c r="U1290">
        <v>92.059675221044799</v>
      </c>
      <c r="V1290" t="s">
        <v>55</v>
      </c>
      <c r="W1290">
        <v>4.3563966179607103</v>
      </c>
      <c r="X1290" t="s">
        <v>46</v>
      </c>
      <c r="Y1290" t="s">
        <v>41</v>
      </c>
      <c r="Z1290">
        <v>141.00415031448301</v>
      </c>
    </row>
    <row r="1291" spans="1:26" x14ac:dyDescent="0.3">
      <c r="A1291" t="s">
        <v>61</v>
      </c>
      <c r="B1291" t="s">
        <v>1347</v>
      </c>
      <c r="C1291">
        <v>72.8690225445268</v>
      </c>
      <c r="D1291">
        <v>25</v>
      </c>
      <c r="E1291">
        <v>29</v>
      </c>
      <c r="F1291">
        <v>3908.7465879190199</v>
      </c>
      <c r="G1291" t="s">
        <v>26</v>
      </c>
      <c r="H1291">
        <v>72</v>
      </c>
      <c r="I1291">
        <v>25</v>
      </c>
      <c r="J1291">
        <v>46</v>
      </c>
      <c r="K1291">
        <v>2</v>
      </c>
      <c r="L1291" t="s">
        <v>27</v>
      </c>
      <c r="M1291">
        <v>3.2748062244425999</v>
      </c>
      <c r="N1291" t="s">
        <v>51</v>
      </c>
      <c r="O1291" t="s">
        <v>38</v>
      </c>
      <c r="P1291">
        <f>VLOOKUP(O1291, Coordinates!$A$2:$C$6, 2, FALSE)</f>
        <v>25.761700000000001</v>
      </c>
      <c r="Q1291">
        <f>VLOOKUP(O1291, Coordinates!$A$2:$C$6, 3, FALSE)</f>
        <v>-80.191800000000001</v>
      </c>
      <c r="R1291">
        <v>12</v>
      </c>
      <c r="S1291">
        <v>972</v>
      </c>
      <c r="T1291">
        <v>15</v>
      </c>
      <c r="U1291">
        <v>49.768041142148199</v>
      </c>
      <c r="V1291" t="s">
        <v>55</v>
      </c>
      <c r="W1291">
        <v>3.4308373587666301</v>
      </c>
      <c r="X1291" t="s">
        <v>31</v>
      </c>
      <c r="Y1291" t="s">
        <v>41</v>
      </c>
      <c r="Z1291">
        <v>220.51391569754</v>
      </c>
    </row>
    <row r="1292" spans="1:26" x14ac:dyDescent="0.3">
      <c r="A1292" t="s">
        <v>82</v>
      </c>
      <c r="B1292" t="s">
        <v>1348</v>
      </c>
      <c r="C1292">
        <v>95.484376085345403</v>
      </c>
      <c r="D1292">
        <v>12</v>
      </c>
      <c r="E1292">
        <v>414</v>
      </c>
      <c r="F1292">
        <v>3868.27531556857</v>
      </c>
      <c r="G1292" t="s">
        <v>35</v>
      </c>
      <c r="H1292">
        <v>70</v>
      </c>
      <c r="I1292">
        <v>30</v>
      </c>
      <c r="J1292">
        <v>57</v>
      </c>
      <c r="K1292">
        <v>7</v>
      </c>
      <c r="L1292" t="s">
        <v>27</v>
      </c>
      <c r="M1292">
        <v>14.390689498278601</v>
      </c>
      <c r="N1292" t="s">
        <v>51</v>
      </c>
      <c r="O1292" t="s">
        <v>38</v>
      </c>
      <c r="P1292">
        <f>VLOOKUP(O1292, Coordinates!$A$2:$C$6, 2, FALSE)</f>
        <v>25.761700000000001</v>
      </c>
      <c r="Q1292">
        <f>VLOOKUP(O1292, Coordinates!$A$2:$C$6, 3, FALSE)</f>
        <v>-80.191800000000001</v>
      </c>
      <c r="R1292">
        <v>3</v>
      </c>
      <c r="S1292">
        <v>507</v>
      </c>
      <c r="T1292">
        <v>8</v>
      </c>
      <c r="U1292">
        <v>32.015987039045598</v>
      </c>
      <c r="V1292" t="s">
        <v>55</v>
      </c>
      <c r="W1292">
        <v>2.0590436963740202</v>
      </c>
      <c r="X1292" t="s">
        <v>31</v>
      </c>
      <c r="Y1292" t="s">
        <v>32</v>
      </c>
      <c r="Z1292">
        <v>293.67272939665202</v>
      </c>
    </row>
    <row r="1293" spans="1:26" x14ac:dyDescent="0.3">
      <c r="A1293" t="s">
        <v>61</v>
      </c>
      <c r="B1293" t="s">
        <v>1349</v>
      </c>
      <c r="C1293">
        <v>26.5391013213465</v>
      </c>
      <c r="D1293">
        <v>71</v>
      </c>
      <c r="E1293">
        <v>465</v>
      </c>
      <c r="F1293">
        <v>5036.8829443161303</v>
      </c>
      <c r="G1293" t="s">
        <v>54</v>
      </c>
      <c r="H1293">
        <v>100</v>
      </c>
      <c r="I1293">
        <v>14</v>
      </c>
      <c r="J1293">
        <v>28</v>
      </c>
      <c r="K1293">
        <v>7</v>
      </c>
      <c r="L1293" t="s">
        <v>36</v>
      </c>
      <c r="M1293">
        <v>10.8739424555943</v>
      </c>
      <c r="N1293" t="s">
        <v>45</v>
      </c>
      <c r="O1293" t="s">
        <v>38</v>
      </c>
      <c r="P1293">
        <f>VLOOKUP(O1293, Coordinates!$A$2:$C$6, 2, FALSE)</f>
        <v>25.761700000000001</v>
      </c>
      <c r="Q1293">
        <f>VLOOKUP(O1293, Coordinates!$A$2:$C$6, 3, FALSE)</f>
        <v>-80.191800000000001</v>
      </c>
      <c r="R1293">
        <v>28</v>
      </c>
      <c r="S1293">
        <v>876</v>
      </c>
      <c r="T1293">
        <v>5</v>
      </c>
      <c r="U1293">
        <v>45.925903197792898</v>
      </c>
      <c r="V1293" t="s">
        <v>39</v>
      </c>
      <c r="W1293">
        <v>4.7868196163093799</v>
      </c>
      <c r="X1293" t="s">
        <v>52</v>
      </c>
      <c r="Y1293" t="s">
        <v>32</v>
      </c>
      <c r="Z1293">
        <v>637.89741264942097</v>
      </c>
    </row>
    <row r="1294" spans="1:26" x14ac:dyDescent="0.3">
      <c r="A1294" t="s">
        <v>24</v>
      </c>
      <c r="B1294" t="s">
        <v>1350</v>
      </c>
      <c r="C1294">
        <v>33.663714456095597</v>
      </c>
      <c r="D1294">
        <v>39</v>
      </c>
      <c r="E1294">
        <v>575</v>
      </c>
      <c r="F1294">
        <v>17420.972229999999</v>
      </c>
      <c r="G1294" t="s">
        <v>48</v>
      </c>
      <c r="H1294">
        <v>49</v>
      </c>
      <c r="I1294">
        <v>22</v>
      </c>
      <c r="J1294">
        <v>92</v>
      </c>
      <c r="K1294">
        <v>7</v>
      </c>
      <c r="L1294" t="s">
        <v>36</v>
      </c>
      <c r="M1294">
        <v>4.2652575776652402</v>
      </c>
      <c r="N1294" t="s">
        <v>51</v>
      </c>
      <c r="O1294" t="s">
        <v>29</v>
      </c>
      <c r="P1294">
        <f>VLOOKUP(O1294, Coordinates!$A$2:$C$6, 2, FALSE)</f>
        <v>29.760400000000001</v>
      </c>
      <c r="Q1294">
        <f>VLOOKUP(O1294, Coordinates!$A$2:$C$6, 3, FALSE)</f>
        <v>-95.369799999999998</v>
      </c>
      <c r="R1294">
        <v>20</v>
      </c>
      <c r="S1294">
        <v>396</v>
      </c>
      <c r="T1294">
        <v>5</v>
      </c>
      <c r="U1294">
        <v>93.1841807118996</v>
      </c>
      <c r="V1294" t="s">
        <v>39</v>
      </c>
      <c r="W1294">
        <v>3.0765026047022102</v>
      </c>
      <c r="X1294" t="s">
        <v>31</v>
      </c>
      <c r="Y1294" t="s">
        <v>41</v>
      </c>
      <c r="Z1294">
        <v>905.737915807072</v>
      </c>
    </row>
    <row r="1295" spans="1:26" x14ac:dyDescent="0.3">
      <c r="A1295" t="s">
        <v>72</v>
      </c>
      <c r="B1295" t="s">
        <v>1351</v>
      </c>
      <c r="C1295">
        <v>35.157736626145201</v>
      </c>
      <c r="D1295">
        <v>17</v>
      </c>
      <c r="E1295">
        <v>992</v>
      </c>
      <c r="F1295">
        <v>31388.827259822399</v>
      </c>
      <c r="G1295" t="s">
        <v>26</v>
      </c>
      <c r="H1295">
        <v>62</v>
      </c>
      <c r="I1295">
        <v>11</v>
      </c>
      <c r="J1295">
        <v>26</v>
      </c>
      <c r="K1295">
        <v>5</v>
      </c>
      <c r="L1295" t="s">
        <v>36</v>
      </c>
      <c r="M1295">
        <v>3.9044481961067201</v>
      </c>
      <c r="N1295" t="s">
        <v>45</v>
      </c>
      <c r="O1295" t="s">
        <v>38</v>
      </c>
      <c r="P1295">
        <f>VLOOKUP(O1295, Coordinates!$A$2:$C$6, 2, FALSE)</f>
        <v>25.761700000000001</v>
      </c>
      <c r="Q1295">
        <f>VLOOKUP(O1295, Coordinates!$A$2:$C$6, 3, FALSE)</f>
        <v>-80.191800000000001</v>
      </c>
      <c r="R1295">
        <v>26</v>
      </c>
      <c r="S1295">
        <v>636</v>
      </c>
      <c r="T1295">
        <v>7</v>
      </c>
      <c r="U1295">
        <v>76.506134147707797</v>
      </c>
      <c r="V1295" t="s">
        <v>55</v>
      </c>
      <c r="W1295">
        <v>3.6458049990424302</v>
      </c>
      <c r="X1295" t="s">
        <v>40</v>
      </c>
      <c r="Y1295" t="s">
        <v>32</v>
      </c>
      <c r="Z1295">
        <v>392.41595249638601</v>
      </c>
    </row>
    <row r="1296" spans="1:26" x14ac:dyDescent="0.3">
      <c r="A1296" t="s">
        <v>49</v>
      </c>
      <c r="B1296" t="s">
        <v>1352</v>
      </c>
      <c r="C1296">
        <v>69.329479180000007</v>
      </c>
      <c r="D1296">
        <v>45</v>
      </c>
      <c r="E1296">
        <v>421</v>
      </c>
      <c r="F1296">
        <v>2700.3683238845701</v>
      </c>
      <c r="H1296">
        <v>40</v>
      </c>
      <c r="I1296">
        <v>28</v>
      </c>
      <c r="J1296">
        <v>91</v>
      </c>
      <c r="K1296">
        <v>9</v>
      </c>
      <c r="L1296" t="s">
        <v>36</v>
      </c>
      <c r="M1296">
        <v>13.012427635421799</v>
      </c>
      <c r="N1296" t="s">
        <v>57</v>
      </c>
      <c r="O1296" t="s">
        <v>65</v>
      </c>
      <c r="P1296">
        <f>VLOOKUP(O1296, Coordinates!$A$2:$C$6, 2, FALSE)</f>
        <v>41.878100000000003</v>
      </c>
      <c r="Q1296">
        <f>VLOOKUP(O1296, Coordinates!$A$2:$C$6, 3, FALSE)</f>
        <v>-87.629800000000003</v>
      </c>
      <c r="R1296">
        <v>10</v>
      </c>
      <c r="S1296">
        <v>135</v>
      </c>
      <c r="T1296">
        <v>12</v>
      </c>
      <c r="U1296">
        <v>68.541095062400004</v>
      </c>
      <c r="V1296" t="s">
        <v>30</v>
      </c>
      <c r="W1296">
        <v>2.4372217049468001</v>
      </c>
      <c r="X1296" t="s">
        <v>31</v>
      </c>
      <c r="Y1296" t="s">
        <v>60</v>
      </c>
      <c r="Z1296">
        <v>967.36967479797295</v>
      </c>
    </row>
    <row r="1297" spans="1:26" x14ac:dyDescent="0.3">
      <c r="A1297" t="s">
        <v>42</v>
      </c>
      <c r="B1297" t="s">
        <v>1353</v>
      </c>
      <c r="C1297">
        <v>64.377772678094502</v>
      </c>
      <c r="D1297">
        <v>11</v>
      </c>
      <c r="E1297">
        <v>361</v>
      </c>
      <c r="F1297">
        <v>8734.9112455019495</v>
      </c>
      <c r="G1297" t="s">
        <v>48</v>
      </c>
      <c r="H1297">
        <v>6</v>
      </c>
      <c r="I1297">
        <v>30</v>
      </c>
      <c r="J1297">
        <v>91</v>
      </c>
      <c r="K1297">
        <v>2</v>
      </c>
      <c r="L1297" t="s">
        <v>44</v>
      </c>
      <c r="M1297">
        <v>3.6631737498297801</v>
      </c>
      <c r="N1297" t="s">
        <v>57</v>
      </c>
      <c r="O1297" t="s">
        <v>58</v>
      </c>
      <c r="P1297">
        <f>VLOOKUP(O1297, Coordinates!$A$2:$C$6, 2, FALSE)</f>
        <v>34.052199999999999</v>
      </c>
      <c r="Q1297">
        <f>VLOOKUP(O1297, Coordinates!$A$2:$C$6, 3, FALSE)</f>
        <v>-118.2437</v>
      </c>
      <c r="R1297">
        <v>30</v>
      </c>
      <c r="S1297">
        <v>363</v>
      </c>
      <c r="T1297">
        <v>20</v>
      </c>
      <c r="U1297">
        <v>13.827397776597699</v>
      </c>
      <c r="V1297" t="s">
        <v>55</v>
      </c>
      <c r="W1297">
        <v>3.8238937279999998</v>
      </c>
      <c r="X1297" t="s">
        <v>46</v>
      </c>
      <c r="Y1297" t="s">
        <v>32</v>
      </c>
      <c r="Z1297">
        <v>255.574502324663</v>
      </c>
    </row>
    <row r="1298" spans="1:26" x14ac:dyDescent="0.3">
      <c r="A1298" t="s">
        <v>72</v>
      </c>
      <c r="B1298" t="s">
        <v>1354</v>
      </c>
      <c r="C1298">
        <v>35.940203760703199</v>
      </c>
      <c r="D1298">
        <v>70</v>
      </c>
      <c r="E1298">
        <v>387</v>
      </c>
      <c r="G1298" t="s">
        <v>26</v>
      </c>
      <c r="H1298">
        <v>8</v>
      </c>
      <c r="I1298">
        <v>19</v>
      </c>
      <c r="J1298">
        <v>96</v>
      </c>
      <c r="K1298">
        <v>4</v>
      </c>
      <c r="L1298" t="s">
        <v>44</v>
      </c>
      <c r="M1298">
        <v>-10</v>
      </c>
      <c r="N1298" t="s">
        <v>51</v>
      </c>
      <c r="O1298" t="s">
        <v>58</v>
      </c>
      <c r="P1298">
        <f>VLOOKUP(O1298, Coordinates!$A$2:$C$6, 2, FALSE)</f>
        <v>34.052199999999999</v>
      </c>
      <c r="Q1298">
        <f>VLOOKUP(O1298, Coordinates!$A$2:$C$6, 3, FALSE)</f>
        <v>-118.2437</v>
      </c>
      <c r="R1298">
        <v>13</v>
      </c>
      <c r="S1298">
        <v>481</v>
      </c>
      <c r="T1298">
        <v>12</v>
      </c>
      <c r="U1298">
        <v>86.596135475327799</v>
      </c>
      <c r="V1298" t="s">
        <v>30</v>
      </c>
      <c r="W1298">
        <v>3.2167258265326799</v>
      </c>
      <c r="X1298" t="s">
        <v>40</v>
      </c>
      <c r="Y1298" t="s">
        <v>32</v>
      </c>
      <c r="Z1298">
        <v>932.25912674982101</v>
      </c>
    </row>
    <row r="1299" spans="1:26" x14ac:dyDescent="0.3">
      <c r="A1299" t="s">
        <v>82</v>
      </c>
      <c r="B1299" t="s">
        <v>1355</v>
      </c>
      <c r="C1299">
        <v>82.559024571677895</v>
      </c>
      <c r="D1299">
        <v>23</v>
      </c>
      <c r="E1299">
        <v>813</v>
      </c>
      <c r="F1299">
        <v>4421.7549817765903</v>
      </c>
      <c r="H1299">
        <v>3</v>
      </c>
      <c r="I1299">
        <v>6</v>
      </c>
      <c r="J1299">
        <v>49</v>
      </c>
      <c r="K1299">
        <v>2</v>
      </c>
      <c r="L1299" t="s">
        <v>36</v>
      </c>
      <c r="M1299">
        <v>4.9522436801595902</v>
      </c>
      <c r="N1299" t="s">
        <v>45</v>
      </c>
      <c r="O1299" t="s">
        <v>38</v>
      </c>
      <c r="P1299">
        <f>VLOOKUP(O1299, Coordinates!$A$2:$C$6, 2, FALSE)</f>
        <v>25.761700000000001</v>
      </c>
      <c r="Q1299">
        <f>VLOOKUP(O1299, Coordinates!$A$2:$C$6, 3, FALSE)</f>
        <v>-80.191800000000001</v>
      </c>
      <c r="R1299">
        <v>29</v>
      </c>
      <c r="S1299">
        <v>213</v>
      </c>
      <c r="T1299">
        <v>9</v>
      </c>
      <c r="U1299">
        <v>75.020460049999997</v>
      </c>
      <c r="V1299" t="s">
        <v>39</v>
      </c>
      <c r="W1299">
        <v>3.5060456092059402</v>
      </c>
      <c r="X1299" t="s">
        <v>40</v>
      </c>
      <c r="Y1299" t="s">
        <v>41</v>
      </c>
      <c r="Z1299">
        <v>820.901958626853</v>
      </c>
    </row>
    <row r="1300" spans="1:26" x14ac:dyDescent="0.3">
      <c r="A1300" t="s">
        <v>24</v>
      </c>
      <c r="B1300" t="s">
        <v>1356</v>
      </c>
      <c r="C1300">
        <v>24.526456237593699</v>
      </c>
      <c r="D1300">
        <v>91</v>
      </c>
      <c r="E1300">
        <v>162</v>
      </c>
      <c r="F1300">
        <v>3575.9573194411701</v>
      </c>
      <c r="G1300" t="s">
        <v>35</v>
      </c>
      <c r="H1300">
        <v>88</v>
      </c>
      <c r="I1300">
        <v>10</v>
      </c>
      <c r="J1300">
        <v>59</v>
      </c>
      <c r="K1300">
        <v>8</v>
      </c>
      <c r="L1300" t="s">
        <v>36</v>
      </c>
      <c r="M1300">
        <v>2.1806580081734799</v>
      </c>
      <c r="N1300" t="s">
        <v>45</v>
      </c>
      <c r="O1300" t="s">
        <v>38</v>
      </c>
      <c r="P1300">
        <f>VLOOKUP(O1300, Coordinates!$A$2:$C$6, 2, FALSE)</f>
        <v>25.761700000000001</v>
      </c>
      <c r="Q1300">
        <f>VLOOKUP(O1300, Coordinates!$A$2:$C$6, 3, FALSE)</f>
        <v>-80.191800000000001</v>
      </c>
      <c r="R1300">
        <v>29</v>
      </c>
      <c r="S1300">
        <v>716</v>
      </c>
      <c r="T1300">
        <v>4</v>
      </c>
      <c r="U1300">
        <v>93.763086785496995</v>
      </c>
      <c r="V1300" t="s">
        <v>39</v>
      </c>
      <c r="W1300">
        <v>4.5305327734882601</v>
      </c>
      <c r="X1300" t="s">
        <v>31</v>
      </c>
      <c r="Y1300" t="s">
        <v>41</v>
      </c>
      <c r="Z1300">
        <v>450.13006497646302</v>
      </c>
    </row>
    <row r="1301" spans="1:26" x14ac:dyDescent="0.3">
      <c r="A1301" t="s">
        <v>24</v>
      </c>
      <c r="B1301" t="s">
        <v>1357</v>
      </c>
      <c r="C1301">
        <v>33.113467636302602</v>
      </c>
      <c r="D1301">
        <v>70</v>
      </c>
      <c r="E1301">
        <v>573</v>
      </c>
      <c r="F1301">
        <v>17076.615260041199</v>
      </c>
      <c r="G1301" t="s">
        <v>48</v>
      </c>
      <c r="H1301">
        <v>48</v>
      </c>
      <c r="I1301">
        <v>20</v>
      </c>
      <c r="J1301">
        <v>82</v>
      </c>
      <c r="K1301">
        <v>1</v>
      </c>
      <c r="L1301" t="s">
        <v>36</v>
      </c>
      <c r="M1301">
        <v>10.673186516235999</v>
      </c>
      <c r="N1301" t="s">
        <v>45</v>
      </c>
      <c r="O1301" t="s">
        <v>38</v>
      </c>
      <c r="P1301">
        <f>VLOOKUP(O1301, Coordinates!$A$2:$C$6, 2, FALSE)</f>
        <v>25.761700000000001</v>
      </c>
      <c r="Q1301">
        <f>VLOOKUP(O1301, Coordinates!$A$2:$C$6, 3, FALSE)</f>
        <v>-80.191800000000001</v>
      </c>
      <c r="R1301">
        <v>28</v>
      </c>
      <c r="S1301">
        <v>704</v>
      </c>
      <c r="T1301">
        <v>8</v>
      </c>
      <c r="U1301">
        <v>87.874717290000007</v>
      </c>
      <c r="V1301" t="s">
        <v>55</v>
      </c>
      <c r="W1301">
        <v>4.3959530722648097</v>
      </c>
      <c r="X1301" t="s">
        <v>52</v>
      </c>
      <c r="Y1301" t="s">
        <v>60</v>
      </c>
      <c r="Z1301">
        <v>285.68092589540697</v>
      </c>
    </row>
    <row r="1302" spans="1:26" x14ac:dyDescent="0.3">
      <c r="A1302" t="s">
        <v>24</v>
      </c>
      <c r="B1302" t="s">
        <v>1358</v>
      </c>
      <c r="C1302">
        <v>35.204880755504597</v>
      </c>
      <c r="D1302">
        <v>38</v>
      </c>
      <c r="E1302">
        <v>437</v>
      </c>
      <c r="F1302">
        <v>13846.0796011399</v>
      </c>
      <c r="G1302" t="s">
        <v>35</v>
      </c>
      <c r="H1302">
        <v>75</v>
      </c>
      <c r="I1302">
        <v>3</v>
      </c>
      <c r="J1302">
        <v>38</v>
      </c>
      <c r="K1302">
        <v>9</v>
      </c>
      <c r="L1302" t="s">
        <v>27</v>
      </c>
      <c r="M1302">
        <v>9.5349990961784297</v>
      </c>
      <c r="N1302" t="s">
        <v>51</v>
      </c>
      <c r="O1302" t="s">
        <v>67</v>
      </c>
      <c r="P1302">
        <f>VLOOKUP(O1302, Coordinates!$A$2:$C$6, 2, FALSE)</f>
        <v>40.712800000000001</v>
      </c>
      <c r="Q1302">
        <f>VLOOKUP(O1302, Coordinates!$A$2:$C$6, 3, FALSE)</f>
        <v>-74.006</v>
      </c>
      <c r="R1302">
        <v>28</v>
      </c>
      <c r="S1302">
        <v>700</v>
      </c>
      <c r="T1302">
        <v>19</v>
      </c>
      <c r="U1302">
        <v>91.406404038446894</v>
      </c>
      <c r="V1302" t="s">
        <v>55</v>
      </c>
      <c r="W1302">
        <v>0.56256324599999996</v>
      </c>
      <c r="X1302" t="s">
        <v>52</v>
      </c>
      <c r="Y1302" t="s">
        <v>32</v>
      </c>
      <c r="Z1302">
        <v>452.16359121913598</v>
      </c>
    </row>
    <row r="1303" spans="1:26" x14ac:dyDescent="0.3">
      <c r="A1303" t="s">
        <v>82</v>
      </c>
      <c r="B1303" t="s">
        <v>1359</v>
      </c>
      <c r="C1303">
        <v>93.853224361806099</v>
      </c>
      <c r="D1303">
        <v>2</v>
      </c>
      <c r="E1303">
        <v>52</v>
      </c>
      <c r="F1303">
        <v>7153.2959115215799</v>
      </c>
      <c r="G1303" t="s">
        <v>54</v>
      </c>
      <c r="H1303">
        <v>5</v>
      </c>
      <c r="I1303">
        <v>22</v>
      </c>
      <c r="J1303">
        <v>60</v>
      </c>
      <c r="K1303">
        <v>5</v>
      </c>
      <c r="L1303" t="s">
        <v>44</v>
      </c>
      <c r="M1303">
        <v>14.9975103150603</v>
      </c>
      <c r="N1303" t="s">
        <v>45</v>
      </c>
      <c r="O1303" t="s">
        <v>38</v>
      </c>
      <c r="P1303">
        <f>VLOOKUP(O1303, Coordinates!$A$2:$C$6, 2, FALSE)</f>
        <v>25.761700000000001</v>
      </c>
      <c r="Q1303">
        <f>VLOOKUP(O1303, Coordinates!$A$2:$C$6, 3, FALSE)</f>
        <v>-80.191800000000001</v>
      </c>
      <c r="R1303">
        <v>29</v>
      </c>
      <c r="S1303">
        <v>542</v>
      </c>
      <c r="T1303">
        <v>22</v>
      </c>
      <c r="U1303">
        <v>93.751740061820399</v>
      </c>
      <c r="V1303" t="s">
        <v>39</v>
      </c>
      <c r="W1303">
        <v>3.9065907558174402</v>
      </c>
      <c r="X1303" t="s">
        <v>52</v>
      </c>
      <c r="Y1303" t="s">
        <v>41</v>
      </c>
      <c r="Z1303">
        <v>292.36478190000003</v>
      </c>
    </row>
    <row r="1304" spans="1:26" x14ac:dyDescent="0.3">
      <c r="A1304" t="s">
        <v>82</v>
      </c>
      <c r="B1304" t="s">
        <v>1360</v>
      </c>
      <c r="C1304">
        <v>85.814624760000001</v>
      </c>
      <c r="D1304">
        <v>86</v>
      </c>
      <c r="E1304">
        <v>332</v>
      </c>
      <c r="F1304">
        <v>1177.1489384327199</v>
      </c>
      <c r="G1304" t="s">
        <v>48</v>
      </c>
      <c r="H1304">
        <v>81</v>
      </c>
      <c r="I1304">
        <v>15</v>
      </c>
      <c r="J1304">
        <v>51</v>
      </c>
      <c r="K1304">
        <v>8</v>
      </c>
      <c r="L1304" t="s">
        <v>44</v>
      </c>
      <c r="M1304">
        <v>12.229200421207601</v>
      </c>
      <c r="N1304" t="s">
        <v>28</v>
      </c>
      <c r="O1304" t="s">
        <v>65</v>
      </c>
      <c r="P1304">
        <f>VLOOKUP(O1304, Coordinates!$A$2:$C$6, 2, FALSE)</f>
        <v>41.878100000000003</v>
      </c>
      <c r="Q1304">
        <f>VLOOKUP(O1304, Coordinates!$A$2:$C$6, 3, FALSE)</f>
        <v>-87.629800000000003</v>
      </c>
      <c r="R1304">
        <v>12</v>
      </c>
      <c r="S1304">
        <v>262</v>
      </c>
      <c r="T1304">
        <v>1</v>
      </c>
      <c r="U1304">
        <v>16.7052222116364</v>
      </c>
      <c r="V1304" t="s">
        <v>30</v>
      </c>
      <c r="W1304">
        <v>1.1920397925596899</v>
      </c>
      <c r="X1304" t="s">
        <v>46</v>
      </c>
      <c r="Y1304" t="s">
        <v>41</v>
      </c>
      <c r="Z1304">
        <v>922.34208887041098</v>
      </c>
    </row>
    <row r="1305" spans="1:26" x14ac:dyDescent="0.3">
      <c r="A1305" t="s">
        <v>82</v>
      </c>
      <c r="B1305" t="s">
        <v>1361</v>
      </c>
      <c r="C1305">
        <v>98.281041317271203</v>
      </c>
      <c r="D1305">
        <v>84</v>
      </c>
      <c r="E1305">
        <v>437</v>
      </c>
      <c r="F1305">
        <v>7620.7839401022802</v>
      </c>
      <c r="G1305" t="s">
        <v>48</v>
      </c>
      <c r="H1305">
        <v>20</v>
      </c>
      <c r="I1305">
        <v>11</v>
      </c>
      <c r="J1305">
        <v>38</v>
      </c>
      <c r="K1305">
        <v>4</v>
      </c>
      <c r="L1305" t="s">
        <v>27</v>
      </c>
      <c r="M1305">
        <v>7.0037114638653399</v>
      </c>
      <c r="N1305" t="s">
        <v>45</v>
      </c>
      <c r="O1305" t="s">
        <v>38</v>
      </c>
      <c r="P1305">
        <f>VLOOKUP(O1305, Coordinates!$A$2:$C$6, 2, FALSE)</f>
        <v>25.761700000000001</v>
      </c>
      <c r="Q1305">
        <f>VLOOKUP(O1305, Coordinates!$A$2:$C$6, 3, FALSE)</f>
        <v>-80.191800000000001</v>
      </c>
      <c r="R1305">
        <v>25</v>
      </c>
      <c r="S1305">
        <v>137</v>
      </c>
      <c r="T1305">
        <v>23</v>
      </c>
      <c r="U1305">
        <v>47.411940490897202</v>
      </c>
      <c r="V1305" t="s">
        <v>39</v>
      </c>
      <c r="W1305">
        <v>4.9364223764161297</v>
      </c>
      <c r="X1305" t="s">
        <v>31</v>
      </c>
      <c r="Y1305" t="s">
        <v>41</v>
      </c>
      <c r="Z1305">
        <v>617.33688548392297</v>
      </c>
    </row>
    <row r="1306" spans="1:26" x14ac:dyDescent="0.3">
      <c r="A1306" t="s">
        <v>82</v>
      </c>
      <c r="B1306" t="s">
        <v>1362</v>
      </c>
      <c r="C1306">
        <v>64.659371347389296</v>
      </c>
      <c r="D1306">
        <v>89</v>
      </c>
      <c r="E1306">
        <v>435</v>
      </c>
      <c r="F1306">
        <v>5383.1443646461503</v>
      </c>
      <c r="G1306" t="s">
        <v>48</v>
      </c>
      <c r="H1306">
        <v>14</v>
      </c>
      <c r="I1306">
        <v>22</v>
      </c>
      <c r="J1306">
        <v>75</v>
      </c>
      <c r="K1306">
        <v>1</v>
      </c>
      <c r="L1306" t="s">
        <v>27</v>
      </c>
      <c r="M1306">
        <v>10.472560274283101</v>
      </c>
      <c r="N1306" t="s">
        <v>28</v>
      </c>
      <c r="O1306" t="s">
        <v>58</v>
      </c>
      <c r="P1306">
        <f>VLOOKUP(O1306, Coordinates!$A$2:$C$6, 2, FALSE)</f>
        <v>34.052199999999999</v>
      </c>
      <c r="Q1306">
        <f>VLOOKUP(O1306, Coordinates!$A$2:$C$6, 3, FALSE)</f>
        <v>-118.2437</v>
      </c>
      <c r="R1306">
        <v>9</v>
      </c>
      <c r="S1306">
        <v>191</v>
      </c>
      <c r="T1306">
        <v>11</v>
      </c>
      <c r="U1306">
        <v>75.649050110272697</v>
      </c>
      <c r="V1306" t="s">
        <v>30</v>
      </c>
      <c r="W1306">
        <v>3.9610879604698801</v>
      </c>
      <c r="X1306" t="s">
        <v>52</v>
      </c>
      <c r="Y1306" t="s">
        <v>60</v>
      </c>
      <c r="Z1306">
        <v>791.37038089673501</v>
      </c>
    </row>
    <row r="1307" spans="1:26" x14ac:dyDescent="0.3">
      <c r="A1307" t="s">
        <v>24</v>
      </c>
      <c r="B1307" t="s">
        <v>1363</v>
      </c>
      <c r="D1307">
        <v>79</v>
      </c>
      <c r="E1307">
        <v>60</v>
      </c>
      <c r="F1307">
        <v>1209.36949794619</v>
      </c>
      <c r="G1307" t="s">
        <v>54</v>
      </c>
      <c r="H1307">
        <v>66</v>
      </c>
      <c r="I1307">
        <v>2</v>
      </c>
      <c r="J1307">
        <v>26</v>
      </c>
      <c r="K1307">
        <v>3</v>
      </c>
      <c r="L1307" t="s">
        <v>27</v>
      </c>
      <c r="M1307">
        <v>12.4498923504469</v>
      </c>
      <c r="N1307" t="s">
        <v>57</v>
      </c>
      <c r="O1307" t="s">
        <v>38</v>
      </c>
      <c r="P1307">
        <f>VLOOKUP(O1307, Coordinates!$A$2:$C$6, 2, FALSE)</f>
        <v>25.761700000000001</v>
      </c>
      <c r="Q1307">
        <f>VLOOKUP(O1307, Coordinates!$A$2:$C$6, 3, FALSE)</f>
        <v>-80.191800000000001</v>
      </c>
      <c r="R1307">
        <v>11</v>
      </c>
      <c r="S1307">
        <v>730</v>
      </c>
      <c r="T1307">
        <v>23</v>
      </c>
      <c r="U1307">
        <v>79.596438950000007</v>
      </c>
      <c r="V1307" t="s">
        <v>55</v>
      </c>
      <c r="W1307">
        <v>2.8846579389999998</v>
      </c>
      <c r="X1307" t="s">
        <v>46</v>
      </c>
      <c r="Y1307" t="s">
        <v>60</v>
      </c>
      <c r="Z1307">
        <v>575.07855730000006</v>
      </c>
    </row>
    <row r="1308" spans="1:26" x14ac:dyDescent="0.3">
      <c r="A1308" t="s">
        <v>24</v>
      </c>
      <c r="B1308" t="s">
        <v>1364</v>
      </c>
      <c r="C1308">
        <v>22.826089305972701</v>
      </c>
      <c r="D1308">
        <v>93</v>
      </c>
      <c r="E1308">
        <v>581</v>
      </c>
      <c r="F1308">
        <v>11935.762098093101</v>
      </c>
      <c r="H1308">
        <v>65</v>
      </c>
      <c r="I1308">
        <v>25</v>
      </c>
      <c r="J1308">
        <v>40</v>
      </c>
      <c r="K1308">
        <v>8</v>
      </c>
      <c r="L1308" t="s">
        <v>44</v>
      </c>
      <c r="M1308">
        <v>8.1921713562061296</v>
      </c>
      <c r="N1308" t="s">
        <v>28</v>
      </c>
      <c r="O1308" t="s">
        <v>67</v>
      </c>
      <c r="P1308">
        <f>VLOOKUP(O1308, Coordinates!$A$2:$C$6, 2, FALSE)</f>
        <v>40.712800000000001</v>
      </c>
      <c r="Q1308">
        <f>VLOOKUP(O1308, Coordinates!$A$2:$C$6, 3, FALSE)</f>
        <v>-74.006</v>
      </c>
      <c r="R1308">
        <v>6</v>
      </c>
      <c r="S1308">
        <v>822</v>
      </c>
      <c r="T1308">
        <v>13</v>
      </c>
      <c r="U1308">
        <v>77.046707470000001</v>
      </c>
      <c r="V1308" t="s">
        <v>30</v>
      </c>
      <c r="W1308">
        <v>2.0774428500314399</v>
      </c>
      <c r="X1308" t="s">
        <v>40</v>
      </c>
      <c r="Y1308" t="s">
        <v>32</v>
      </c>
      <c r="Z1308">
        <v>410.63160616499903</v>
      </c>
    </row>
    <row r="1309" spans="1:26" x14ac:dyDescent="0.3">
      <c r="A1309" t="s">
        <v>61</v>
      </c>
      <c r="B1309" t="s">
        <v>1365</v>
      </c>
      <c r="C1309">
        <v>22.756871857803802</v>
      </c>
      <c r="D1309">
        <v>72</v>
      </c>
      <c r="E1309">
        <v>272</v>
      </c>
      <c r="F1309">
        <v>9332.0969454511105</v>
      </c>
      <c r="H1309">
        <v>55</v>
      </c>
      <c r="I1309">
        <v>24</v>
      </c>
      <c r="J1309">
        <v>61</v>
      </c>
      <c r="K1309">
        <v>2</v>
      </c>
      <c r="L1309" t="s">
        <v>27</v>
      </c>
      <c r="M1309">
        <v>4.82020031029296</v>
      </c>
      <c r="N1309" t="s">
        <v>57</v>
      </c>
      <c r="O1309" t="s">
        <v>38</v>
      </c>
      <c r="P1309">
        <f>VLOOKUP(O1309, Coordinates!$A$2:$C$6, 2, FALSE)</f>
        <v>25.761700000000001</v>
      </c>
      <c r="Q1309">
        <f>VLOOKUP(O1309, Coordinates!$A$2:$C$6, 3, FALSE)</f>
        <v>-80.191800000000001</v>
      </c>
      <c r="R1309">
        <v>2</v>
      </c>
      <c r="S1309">
        <v>771</v>
      </c>
      <c r="T1309">
        <v>18</v>
      </c>
      <c r="U1309">
        <v>24.676054974703501</v>
      </c>
      <c r="V1309" t="s">
        <v>39</v>
      </c>
      <c r="W1309">
        <v>3.2313515555635899</v>
      </c>
      <c r="X1309" t="s">
        <v>52</v>
      </c>
      <c r="Y1309" t="s">
        <v>60</v>
      </c>
      <c r="Z1309">
        <v>920.43906538607098</v>
      </c>
    </row>
    <row r="1310" spans="1:26" x14ac:dyDescent="0.3">
      <c r="A1310" t="s">
        <v>72</v>
      </c>
      <c r="B1310" t="s">
        <v>1366</v>
      </c>
      <c r="C1310">
        <v>27.278012656923298</v>
      </c>
      <c r="D1310">
        <v>37</v>
      </c>
      <c r="E1310">
        <v>73</v>
      </c>
      <c r="F1310">
        <v>1792.1654315598601</v>
      </c>
      <c r="G1310" t="s">
        <v>35</v>
      </c>
      <c r="H1310">
        <v>67</v>
      </c>
      <c r="I1310">
        <v>6</v>
      </c>
      <c r="J1310">
        <v>48</v>
      </c>
      <c r="K1310">
        <v>2</v>
      </c>
      <c r="L1310" t="s">
        <v>27</v>
      </c>
      <c r="M1310">
        <v>3.94147899200917</v>
      </c>
      <c r="N1310" t="s">
        <v>51</v>
      </c>
      <c r="O1310" t="s">
        <v>58</v>
      </c>
      <c r="P1310">
        <f>VLOOKUP(O1310, Coordinates!$A$2:$C$6, 2, FALSE)</f>
        <v>34.052199999999999</v>
      </c>
      <c r="Q1310">
        <f>VLOOKUP(O1310, Coordinates!$A$2:$C$6, 3, FALSE)</f>
        <v>-118.2437</v>
      </c>
      <c r="R1310">
        <v>7</v>
      </c>
      <c r="S1310">
        <v>200</v>
      </c>
      <c r="T1310">
        <v>21</v>
      </c>
      <c r="U1310">
        <v>82.523758774413295</v>
      </c>
      <c r="V1310" t="s">
        <v>30</v>
      </c>
      <c r="W1310">
        <v>0.71809722137315801</v>
      </c>
      <c r="X1310" t="s">
        <v>40</v>
      </c>
      <c r="Y1310" t="s">
        <v>32</v>
      </c>
      <c r="Z1310">
        <v>170.19870775219201</v>
      </c>
    </row>
    <row r="1311" spans="1:26" x14ac:dyDescent="0.3">
      <c r="A1311" t="s">
        <v>42</v>
      </c>
      <c r="B1311" t="s">
        <v>1367</v>
      </c>
      <c r="C1311">
        <v>42.114800543664202</v>
      </c>
      <c r="D1311">
        <v>49</v>
      </c>
      <c r="E1311">
        <v>920</v>
      </c>
      <c r="F1311">
        <v>5609.5296034049798</v>
      </c>
      <c r="G1311" t="s">
        <v>35</v>
      </c>
      <c r="H1311">
        <v>1</v>
      </c>
      <c r="I1311">
        <v>23</v>
      </c>
      <c r="J1311">
        <v>69</v>
      </c>
      <c r="K1311">
        <v>9</v>
      </c>
      <c r="L1311" t="s">
        <v>27</v>
      </c>
      <c r="M1311">
        <v>5.1339401125905999</v>
      </c>
      <c r="N1311" t="s">
        <v>57</v>
      </c>
      <c r="O1311" t="s">
        <v>67</v>
      </c>
      <c r="P1311">
        <f>VLOOKUP(O1311, Coordinates!$A$2:$C$6, 2, FALSE)</f>
        <v>40.712800000000001</v>
      </c>
      <c r="Q1311">
        <f>VLOOKUP(O1311, Coordinates!$A$2:$C$6, 3, FALSE)</f>
        <v>-74.006</v>
      </c>
      <c r="R1311">
        <v>9</v>
      </c>
      <c r="S1311">
        <v>980</v>
      </c>
      <c r="T1311">
        <v>20</v>
      </c>
      <c r="U1311">
        <v>96.062018969999997</v>
      </c>
      <c r="V1311" t="s">
        <v>39</v>
      </c>
      <c r="W1311">
        <v>3.6160399775164001</v>
      </c>
      <c r="X1311" t="s">
        <v>52</v>
      </c>
      <c r="Y1311" t="s">
        <v>32</v>
      </c>
      <c r="Z1311">
        <v>827.90352130451299</v>
      </c>
    </row>
    <row r="1312" spans="1:26" x14ac:dyDescent="0.3">
      <c r="A1312" t="s">
        <v>49</v>
      </c>
      <c r="B1312" t="s">
        <v>1368</v>
      </c>
      <c r="C1312">
        <v>23.185629647456501</v>
      </c>
      <c r="D1312">
        <v>52</v>
      </c>
      <c r="E1312">
        <v>906</v>
      </c>
      <c r="F1312">
        <v>4241.2790272504399</v>
      </c>
      <c r="H1312">
        <v>65</v>
      </c>
      <c r="I1312">
        <v>28</v>
      </c>
      <c r="J1312">
        <v>60</v>
      </c>
      <c r="K1312">
        <v>5</v>
      </c>
      <c r="L1312" t="s">
        <v>36</v>
      </c>
      <c r="M1312">
        <v>12.8729629433772</v>
      </c>
      <c r="N1312" t="s">
        <v>57</v>
      </c>
      <c r="O1312" t="s">
        <v>29</v>
      </c>
      <c r="P1312">
        <f>VLOOKUP(O1312, Coordinates!$A$2:$C$6, 2, FALSE)</f>
        <v>29.760400000000001</v>
      </c>
      <c r="Q1312">
        <f>VLOOKUP(O1312, Coordinates!$A$2:$C$6, 3, FALSE)</f>
        <v>-95.369799999999998</v>
      </c>
      <c r="R1312">
        <v>25</v>
      </c>
      <c r="S1312">
        <v>606</v>
      </c>
      <c r="T1312">
        <v>10</v>
      </c>
      <c r="U1312">
        <v>79.082512078854606</v>
      </c>
      <c r="V1312" t="s">
        <v>30</v>
      </c>
      <c r="W1312">
        <v>3.4851255685601101</v>
      </c>
      <c r="X1312" t="s">
        <v>31</v>
      </c>
      <c r="Y1312" t="s">
        <v>32</v>
      </c>
      <c r="Z1312">
        <v>468.61715633771399</v>
      </c>
    </row>
    <row r="1313" spans="1:26" x14ac:dyDescent="0.3">
      <c r="A1313" t="s">
        <v>24</v>
      </c>
      <c r="B1313" t="s">
        <v>1369</v>
      </c>
      <c r="C1313">
        <v>26.033398450454399</v>
      </c>
      <c r="D1313">
        <v>33</v>
      </c>
      <c r="E1313">
        <v>605</v>
      </c>
      <c r="F1313">
        <v>14175.1854562724</v>
      </c>
      <c r="G1313" t="s">
        <v>48</v>
      </c>
      <c r="H1313">
        <v>28</v>
      </c>
      <c r="I1313">
        <v>18</v>
      </c>
      <c r="J1313">
        <v>93</v>
      </c>
      <c r="K1313">
        <v>5</v>
      </c>
      <c r="L1313" t="s">
        <v>27</v>
      </c>
      <c r="M1313">
        <v>6.3260532148422897</v>
      </c>
      <c r="N1313" t="s">
        <v>45</v>
      </c>
      <c r="O1313" t="s">
        <v>38</v>
      </c>
      <c r="P1313">
        <f>VLOOKUP(O1313, Coordinates!$A$2:$C$6, 2, FALSE)</f>
        <v>25.761700000000001</v>
      </c>
      <c r="Q1313">
        <f>VLOOKUP(O1313, Coordinates!$A$2:$C$6, 3, FALSE)</f>
        <v>-80.191800000000001</v>
      </c>
      <c r="R1313">
        <v>27</v>
      </c>
      <c r="S1313">
        <v>278</v>
      </c>
      <c r="T1313">
        <v>13</v>
      </c>
      <c r="U1313">
        <v>82.902203154156993</v>
      </c>
      <c r="V1313" t="s">
        <v>39</v>
      </c>
      <c r="W1313">
        <v>4.3387248505436196</v>
      </c>
      <c r="X1313" t="s">
        <v>40</v>
      </c>
      <c r="Y1313" t="s">
        <v>41</v>
      </c>
      <c r="Z1313">
        <v>262.98949762490798</v>
      </c>
    </row>
    <row r="1314" spans="1:26" x14ac:dyDescent="0.3">
      <c r="A1314" t="s">
        <v>49</v>
      </c>
      <c r="B1314" t="s">
        <v>1370</v>
      </c>
      <c r="C1314">
        <v>93.824471024682694</v>
      </c>
      <c r="D1314">
        <v>22</v>
      </c>
      <c r="E1314">
        <v>453</v>
      </c>
      <c r="F1314">
        <v>7209.0640298202397</v>
      </c>
      <c r="G1314" t="s">
        <v>54</v>
      </c>
      <c r="H1314">
        <v>65</v>
      </c>
      <c r="I1314">
        <v>4</v>
      </c>
      <c r="J1314">
        <v>25</v>
      </c>
      <c r="K1314">
        <v>1</v>
      </c>
      <c r="L1314" t="s">
        <v>36</v>
      </c>
      <c r="M1314">
        <v>5.0132982199284397</v>
      </c>
      <c r="N1314" t="s">
        <v>37</v>
      </c>
      <c r="O1314" t="s">
        <v>67</v>
      </c>
      <c r="P1314">
        <f>VLOOKUP(O1314, Coordinates!$A$2:$C$6, 2, FALSE)</f>
        <v>40.712800000000001</v>
      </c>
      <c r="Q1314">
        <f>VLOOKUP(O1314, Coordinates!$A$2:$C$6, 3, FALSE)</f>
        <v>-74.006</v>
      </c>
      <c r="R1314">
        <v>18</v>
      </c>
      <c r="S1314">
        <v>383</v>
      </c>
      <c r="T1314">
        <v>25</v>
      </c>
      <c r="U1314">
        <v>64.449588172333804</v>
      </c>
      <c r="V1314" t="s">
        <v>30</v>
      </c>
      <c r="W1314">
        <v>1.3940674750658599</v>
      </c>
      <c r="X1314" t="s">
        <v>31</v>
      </c>
      <c r="Y1314" t="s">
        <v>41</v>
      </c>
      <c r="Z1314">
        <v>208.320157075407</v>
      </c>
    </row>
    <row r="1315" spans="1:26" x14ac:dyDescent="0.3">
      <c r="A1315" t="s">
        <v>72</v>
      </c>
      <c r="B1315" t="s">
        <v>1371</v>
      </c>
      <c r="C1315">
        <v>35.944689072221301</v>
      </c>
      <c r="D1315">
        <v>5</v>
      </c>
      <c r="E1315">
        <v>797</v>
      </c>
      <c r="F1315">
        <v>25783.1254715043</v>
      </c>
      <c r="G1315" t="s">
        <v>26</v>
      </c>
      <c r="H1315">
        <v>33</v>
      </c>
      <c r="I1315">
        <v>23</v>
      </c>
      <c r="J1315">
        <v>23</v>
      </c>
      <c r="K1315">
        <v>9</v>
      </c>
      <c r="L1315" t="s">
        <v>44</v>
      </c>
      <c r="M1315">
        <v>12.282421189131099</v>
      </c>
      <c r="N1315" t="s">
        <v>57</v>
      </c>
      <c r="O1315" t="s">
        <v>67</v>
      </c>
      <c r="P1315">
        <f>VLOOKUP(O1315, Coordinates!$A$2:$C$6, 2, FALSE)</f>
        <v>40.712800000000001</v>
      </c>
      <c r="Q1315">
        <f>VLOOKUP(O1315, Coordinates!$A$2:$C$6, 3, FALSE)</f>
        <v>-74.006</v>
      </c>
      <c r="R1315">
        <v>12</v>
      </c>
      <c r="S1315">
        <v>454</v>
      </c>
      <c r="T1315">
        <v>12</v>
      </c>
      <c r="U1315">
        <v>90.724073812558601</v>
      </c>
      <c r="V1315" t="s">
        <v>30</v>
      </c>
      <c r="W1315">
        <v>3.9878189331487399</v>
      </c>
      <c r="X1315" t="s">
        <v>46</v>
      </c>
      <c r="Y1315" t="s">
        <v>41</v>
      </c>
      <c r="Z1315">
        <v>951.90314212176702</v>
      </c>
    </row>
    <row r="1316" spans="1:26" x14ac:dyDescent="0.3">
      <c r="A1316" t="s">
        <v>72</v>
      </c>
      <c r="B1316" t="s">
        <v>1372</v>
      </c>
      <c r="C1316">
        <v>32.853975752771902</v>
      </c>
      <c r="D1316">
        <v>18</v>
      </c>
      <c r="E1316">
        <v>261</v>
      </c>
      <c r="F1316">
        <v>7717.3989043261199</v>
      </c>
      <c r="G1316" t="s">
        <v>35</v>
      </c>
      <c r="H1316">
        <v>26</v>
      </c>
      <c r="I1316">
        <v>9</v>
      </c>
      <c r="J1316">
        <v>99</v>
      </c>
      <c r="K1316">
        <v>8</v>
      </c>
      <c r="L1316" t="s">
        <v>44</v>
      </c>
      <c r="M1316">
        <v>1.4468847848435999</v>
      </c>
      <c r="N1316" t="s">
        <v>28</v>
      </c>
      <c r="O1316" t="s">
        <v>58</v>
      </c>
      <c r="P1316">
        <f>VLOOKUP(O1316, Coordinates!$A$2:$C$6, 2, FALSE)</f>
        <v>34.052199999999999</v>
      </c>
      <c r="Q1316">
        <f>VLOOKUP(O1316, Coordinates!$A$2:$C$6, 3, FALSE)</f>
        <v>-118.2437</v>
      </c>
      <c r="R1316">
        <v>21</v>
      </c>
      <c r="S1316">
        <v>396</v>
      </c>
      <c r="T1316">
        <v>13</v>
      </c>
      <c r="U1316">
        <v>83.125889627492796</v>
      </c>
      <c r="V1316" t="s">
        <v>55</v>
      </c>
      <c r="W1316">
        <v>2.5527515161400798</v>
      </c>
      <c r="X1316" t="s">
        <v>40</v>
      </c>
      <c r="Y1316" t="s">
        <v>60</v>
      </c>
      <c r="Z1316">
        <v>209.76024408609001</v>
      </c>
    </row>
    <row r="1317" spans="1:26" x14ac:dyDescent="0.3">
      <c r="A1317" t="s">
        <v>49</v>
      </c>
      <c r="B1317" t="s">
        <v>1373</v>
      </c>
      <c r="C1317">
        <v>62.522952828508203</v>
      </c>
      <c r="D1317">
        <v>38</v>
      </c>
      <c r="E1317">
        <v>676</v>
      </c>
      <c r="F1317">
        <v>9263.7384261553198</v>
      </c>
      <c r="G1317" t="s">
        <v>26</v>
      </c>
      <c r="H1317">
        <v>59</v>
      </c>
      <c r="I1317">
        <v>10</v>
      </c>
      <c r="J1317">
        <v>93</v>
      </c>
      <c r="K1317">
        <v>10</v>
      </c>
      <c r="L1317" t="s">
        <v>44</v>
      </c>
      <c r="M1317">
        <v>9.3154157929999997</v>
      </c>
      <c r="N1317" t="s">
        <v>51</v>
      </c>
      <c r="O1317" t="s">
        <v>29</v>
      </c>
      <c r="P1317">
        <f>VLOOKUP(O1317, Coordinates!$A$2:$C$6, 2, FALSE)</f>
        <v>29.760400000000001</v>
      </c>
      <c r="Q1317">
        <f>VLOOKUP(O1317, Coordinates!$A$2:$C$6, 3, FALSE)</f>
        <v>-95.369799999999998</v>
      </c>
      <c r="R1317">
        <v>11</v>
      </c>
      <c r="S1317">
        <v>985</v>
      </c>
      <c r="T1317">
        <v>2</v>
      </c>
      <c r="U1317">
        <v>91.799627520000001</v>
      </c>
      <c r="V1317" t="s">
        <v>30</v>
      </c>
      <c r="W1317">
        <v>0.29588452929734299</v>
      </c>
      <c r="X1317" t="s">
        <v>46</v>
      </c>
      <c r="Y1317" t="s">
        <v>41</v>
      </c>
      <c r="Z1317">
        <v>876.59132768603797</v>
      </c>
    </row>
    <row r="1318" spans="1:26" x14ac:dyDescent="0.3">
      <c r="A1318" t="s">
        <v>24</v>
      </c>
      <c r="B1318" t="s">
        <v>1374</v>
      </c>
      <c r="C1318">
        <v>29.9594712625914</v>
      </c>
      <c r="D1318">
        <v>37</v>
      </c>
      <c r="E1318">
        <v>494</v>
      </c>
      <c r="F1318">
        <v>13319.980923348099</v>
      </c>
      <c r="G1318" t="s">
        <v>26</v>
      </c>
      <c r="H1318">
        <v>38</v>
      </c>
      <c r="I1318">
        <v>21</v>
      </c>
      <c r="J1318">
        <v>51</v>
      </c>
      <c r="K1318">
        <v>7</v>
      </c>
      <c r="L1318" t="s">
        <v>36</v>
      </c>
      <c r="M1318">
        <v>13.230845244607799</v>
      </c>
      <c r="N1318" t="s">
        <v>28</v>
      </c>
      <c r="O1318" t="s">
        <v>67</v>
      </c>
      <c r="P1318">
        <f>VLOOKUP(O1318, Coordinates!$A$2:$C$6, 2, FALSE)</f>
        <v>40.712800000000001</v>
      </c>
      <c r="Q1318">
        <f>VLOOKUP(O1318, Coordinates!$A$2:$C$6, 3, FALSE)</f>
        <v>-74.006</v>
      </c>
      <c r="R1318">
        <v>10</v>
      </c>
      <c r="S1318">
        <v>634</v>
      </c>
      <c r="T1318">
        <v>3</v>
      </c>
      <c r="U1318">
        <v>79.732045089202302</v>
      </c>
      <c r="V1318" t="s">
        <v>39</v>
      </c>
      <c r="W1318">
        <v>4.5930627590000004</v>
      </c>
      <c r="X1318" t="s">
        <v>52</v>
      </c>
      <c r="Y1318" t="s">
        <v>32</v>
      </c>
      <c r="Z1318">
        <v>414.72069446166699</v>
      </c>
    </row>
    <row r="1319" spans="1:26" x14ac:dyDescent="0.3">
      <c r="A1319" t="s">
        <v>49</v>
      </c>
      <c r="B1319" t="s">
        <v>1375</v>
      </c>
      <c r="C1319">
        <v>38.806202129624999</v>
      </c>
      <c r="D1319">
        <v>94</v>
      </c>
      <c r="E1319">
        <v>750</v>
      </c>
      <c r="F1319">
        <v>9809.7041366041103</v>
      </c>
      <c r="G1319" t="s">
        <v>48</v>
      </c>
      <c r="H1319">
        <v>43</v>
      </c>
      <c r="I1319">
        <v>26</v>
      </c>
      <c r="J1319">
        <v>60</v>
      </c>
      <c r="K1319">
        <v>4</v>
      </c>
      <c r="L1319" t="s">
        <v>27</v>
      </c>
      <c r="M1319">
        <v>6.7411724867784999</v>
      </c>
      <c r="N1319" t="s">
        <v>51</v>
      </c>
      <c r="O1319" t="s">
        <v>29</v>
      </c>
      <c r="P1319">
        <f>VLOOKUP(O1319, Coordinates!$A$2:$C$6, 2, FALSE)</f>
        <v>29.760400000000001</v>
      </c>
      <c r="Q1319">
        <f>VLOOKUP(O1319, Coordinates!$A$2:$C$6, 3, FALSE)</f>
        <v>-95.369799999999998</v>
      </c>
      <c r="R1319">
        <v>29</v>
      </c>
      <c r="S1319">
        <v>587</v>
      </c>
      <c r="T1319">
        <v>29</v>
      </c>
      <c r="U1319">
        <v>83.400869420000006</v>
      </c>
      <c r="V1319" t="s">
        <v>39</v>
      </c>
      <c r="W1319">
        <v>3.8385821824344499</v>
      </c>
      <c r="X1319" t="s">
        <v>52</v>
      </c>
      <c r="Y1319" t="s">
        <v>60</v>
      </c>
      <c r="Z1319">
        <v>420.93014030745798</v>
      </c>
    </row>
    <row r="1320" spans="1:26" x14ac:dyDescent="0.3">
      <c r="A1320" t="s">
        <v>61</v>
      </c>
      <c r="B1320" t="s">
        <v>1376</v>
      </c>
      <c r="C1320">
        <v>12.9723559030357</v>
      </c>
      <c r="D1320">
        <v>95</v>
      </c>
      <c r="E1320">
        <v>647</v>
      </c>
      <c r="F1320">
        <v>8922.2659595351797</v>
      </c>
      <c r="G1320" t="s">
        <v>35</v>
      </c>
      <c r="H1320">
        <v>81</v>
      </c>
      <c r="I1320">
        <v>2</v>
      </c>
      <c r="J1320">
        <v>33</v>
      </c>
      <c r="K1320">
        <v>2</v>
      </c>
      <c r="L1320" t="s">
        <v>44</v>
      </c>
      <c r="M1320">
        <v>4.7704542590299797</v>
      </c>
      <c r="N1320" t="s">
        <v>28</v>
      </c>
      <c r="O1320" t="s">
        <v>38</v>
      </c>
      <c r="P1320">
        <f>VLOOKUP(O1320, Coordinates!$A$2:$C$6, 2, FALSE)</f>
        <v>25.761700000000001</v>
      </c>
      <c r="Q1320">
        <f>VLOOKUP(O1320, Coordinates!$A$2:$C$6, 3, FALSE)</f>
        <v>-80.191800000000001</v>
      </c>
      <c r="R1320">
        <v>23</v>
      </c>
      <c r="S1320">
        <v>378</v>
      </c>
      <c r="T1320">
        <v>17</v>
      </c>
      <c r="U1320">
        <v>27.707122085810699</v>
      </c>
      <c r="V1320" t="s">
        <v>30</v>
      </c>
      <c r="W1320">
        <v>2.9240257384134001</v>
      </c>
      <c r="X1320" t="s">
        <v>52</v>
      </c>
      <c r="Y1320" t="s">
        <v>60</v>
      </c>
      <c r="Z1320">
        <v>241.18146369596101</v>
      </c>
    </row>
    <row r="1321" spans="1:26" x14ac:dyDescent="0.3">
      <c r="A1321" t="s">
        <v>33</v>
      </c>
      <c r="B1321" t="s">
        <v>1377</v>
      </c>
      <c r="C1321">
        <v>36.67894639</v>
      </c>
      <c r="D1321">
        <v>64</v>
      </c>
      <c r="E1321">
        <v>880</v>
      </c>
      <c r="F1321">
        <v>3519.4359669999999</v>
      </c>
      <c r="G1321" t="s">
        <v>35</v>
      </c>
      <c r="H1321">
        <v>6</v>
      </c>
      <c r="I1321">
        <v>25</v>
      </c>
      <c r="J1321">
        <v>91</v>
      </c>
      <c r="K1321">
        <v>1</v>
      </c>
      <c r="L1321" t="s">
        <v>27</v>
      </c>
      <c r="M1321">
        <v>7.8839269721033798</v>
      </c>
      <c r="N1321" t="s">
        <v>57</v>
      </c>
      <c r="O1321" t="s">
        <v>67</v>
      </c>
      <c r="P1321">
        <f>VLOOKUP(O1321, Coordinates!$A$2:$C$6, 2, FALSE)</f>
        <v>40.712800000000001</v>
      </c>
      <c r="Q1321">
        <f>VLOOKUP(O1321, Coordinates!$A$2:$C$6, 3, FALSE)</f>
        <v>-74.006</v>
      </c>
      <c r="R1321">
        <v>3</v>
      </c>
      <c r="S1321">
        <v>643</v>
      </c>
      <c r="T1321">
        <v>26</v>
      </c>
      <c r="U1321">
        <v>12.4686191751361</v>
      </c>
      <c r="V1321" t="s">
        <v>30</v>
      </c>
      <c r="W1321">
        <v>2.1841275864145002</v>
      </c>
      <c r="X1321" t="s">
        <v>46</v>
      </c>
      <c r="Y1321" t="s">
        <v>41</v>
      </c>
      <c r="Z1321">
        <v>693.76829896520906</v>
      </c>
    </row>
    <row r="1322" spans="1:26" x14ac:dyDescent="0.3">
      <c r="A1322" t="s">
        <v>24</v>
      </c>
      <c r="B1322" t="s">
        <v>1378</v>
      </c>
      <c r="C1322">
        <v>22.128110407937601</v>
      </c>
      <c r="D1322">
        <v>10</v>
      </c>
      <c r="E1322">
        <v>663</v>
      </c>
      <c r="F1322">
        <v>13203.843480416301</v>
      </c>
      <c r="G1322" t="s">
        <v>35</v>
      </c>
      <c r="H1322">
        <v>18</v>
      </c>
      <c r="I1322">
        <v>11</v>
      </c>
      <c r="J1322">
        <v>52</v>
      </c>
      <c r="K1322">
        <v>6</v>
      </c>
      <c r="L1322" t="s">
        <v>36</v>
      </c>
      <c r="M1322">
        <v>11.0446803476891</v>
      </c>
      <c r="N1322" t="s">
        <v>37</v>
      </c>
      <c r="O1322" t="s">
        <v>29</v>
      </c>
      <c r="P1322">
        <f>VLOOKUP(O1322, Coordinates!$A$2:$C$6, 2, FALSE)</f>
        <v>29.760400000000001</v>
      </c>
      <c r="Q1322">
        <f>VLOOKUP(O1322, Coordinates!$A$2:$C$6, 3, FALSE)</f>
        <v>-95.369799999999998</v>
      </c>
      <c r="R1322">
        <v>12</v>
      </c>
      <c r="S1322">
        <v>749</v>
      </c>
      <c r="T1322">
        <v>21</v>
      </c>
      <c r="U1322">
        <v>92.726810261935199</v>
      </c>
      <c r="V1322" t="s">
        <v>55</v>
      </c>
      <c r="W1322">
        <v>4.7994984902084497</v>
      </c>
      <c r="X1322" t="s">
        <v>52</v>
      </c>
      <c r="Y1322" t="s">
        <v>41</v>
      </c>
      <c r="Z1322">
        <v>647.01742161830498</v>
      </c>
    </row>
    <row r="1323" spans="1:26" x14ac:dyDescent="0.3">
      <c r="A1323" t="s">
        <v>24</v>
      </c>
      <c r="B1323" t="s">
        <v>1379</v>
      </c>
      <c r="C1323">
        <v>22.251344527916999</v>
      </c>
      <c r="D1323">
        <v>79</v>
      </c>
      <c r="E1323">
        <v>320</v>
      </c>
      <c r="F1323">
        <v>6408.3872240401097</v>
      </c>
      <c r="G1323" t="s">
        <v>26</v>
      </c>
      <c r="H1323">
        <v>90</v>
      </c>
      <c r="I1323">
        <v>11</v>
      </c>
      <c r="J1323">
        <v>82</v>
      </c>
      <c r="K1323">
        <v>9</v>
      </c>
      <c r="L1323" t="s">
        <v>44</v>
      </c>
      <c r="M1323">
        <v>8.2324778824927893</v>
      </c>
      <c r="N1323" t="s">
        <v>57</v>
      </c>
      <c r="O1323" t="s">
        <v>65</v>
      </c>
      <c r="P1323">
        <f>VLOOKUP(O1323, Coordinates!$A$2:$C$6, 2, FALSE)</f>
        <v>41.878100000000003</v>
      </c>
      <c r="Q1323">
        <f>VLOOKUP(O1323, Coordinates!$A$2:$C$6, 3, FALSE)</f>
        <v>-87.629800000000003</v>
      </c>
      <c r="R1323">
        <v>4</v>
      </c>
      <c r="S1323">
        <v>692</v>
      </c>
      <c r="T1323">
        <v>19</v>
      </c>
      <c r="U1323">
        <v>90.653086688204993</v>
      </c>
      <c r="V1323" t="s">
        <v>30</v>
      </c>
      <c r="W1323">
        <v>3.8751028713269999</v>
      </c>
      <c r="X1323" t="s">
        <v>31</v>
      </c>
      <c r="Y1323" t="s">
        <v>41</v>
      </c>
      <c r="Z1323">
        <v>984.05778738799802</v>
      </c>
    </row>
    <row r="1324" spans="1:26" x14ac:dyDescent="0.3">
      <c r="A1324" t="s">
        <v>42</v>
      </c>
      <c r="B1324" t="s">
        <v>1380</v>
      </c>
      <c r="C1324">
        <v>24.5131338054127</v>
      </c>
      <c r="D1324">
        <v>42</v>
      </c>
      <c r="E1324">
        <v>417</v>
      </c>
      <c r="F1324">
        <v>3621.0098672044801</v>
      </c>
      <c r="G1324" t="s">
        <v>35</v>
      </c>
      <c r="H1324">
        <v>44</v>
      </c>
      <c r="I1324">
        <v>11</v>
      </c>
      <c r="J1324">
        <v>28</v>
      </c>
      <c r="K1324">
        <v>10</v>
      </c>
      <c r="L1324" t="s">
        <v>27</v>
      </c>
      <c r="M1324">
        <v>1.10694592476082</v>
      </c>
      <c r="N1324" t="s">
        <v>45</v>
      </c>
      <c r="O1324" t="s">
        <v>38</v>
      </c>
      <c r="P1324">
        <f>VLOOKUP(O1324, Coordinates!$A$2:$C$6, 2, FALSE)</f>
        <v>25.761700000000001</v>
      </c>
      <c r="Q1324">
        <f>VLOOKUP(O1324, Coordinates!$A$2:$C$6, 3, FALSE)</f>
        <v>-80.191800000000001</v>
      </c>
      <c r="R1324">
        <v>27</v>
      </c>
      <c r="S1324">
        <v>454</v>
      </c>
      <c r="T1324">
        <v>12</v>
      </c>
      <c r="U1324">
        <v>13.9178225609216</v>
      </c>
      <c r="V1324" t="s">
        <v>55</v>
      </c>
      <c r="W1324">
        <v>4.4951199843862302</v>
      </c>
      <c r="X1324" t="s">
        <v>46</v>
      </c>
      <c r="Y1324" t="s">
        <v>41</v>
      </c>
      <c r="Z1324">
        <v>250.87981537877701</v>
      </c>
    </row>
    <row r="1325" spans="1:26" x14ac:dyDescent="0.3">
      <c r="A1325" t="s">
        <v>82</v>
      </c>
      <c r="B1325" t="s">
        <v>1381</v>
      </c>
      <c r="C1325">
        <v>41.236898934264502</v>
      </c>
      <c r="D1325">
        <v>48</v>
      </c>
      <c r="E1325">
        <v>438</v>
      </c>
      <c r="F1325">
        <v>6527.6535158608503</v>
      </c>
      <c r="G1325" t="s">
        <v>35</v>
      </c>
      <c r="H1325">
        <v>83</v>
      </c>
      <c r="I1325">
        <v>1</v>
      </c>
      <c r="J1325">
        <v>93</v>
      </c>
      <c r="K1325">
        <v>5</v>
      </c>
      <c r="L1325" t="s">
        <v>27</v>
      </c>
      <c r="M1325">
        <v>2.0965437855122202</v>
      </c>
      <c r="N1325" t="s">
        <v>28</v>
      </c>
      <c r="O1325" t="s">
        <v>29</v>
      </c>
      <c r="P1325">
        <f>VLOOKUP(O1325, Coordinates!$A$2:$C$6, 2, FALSE)</f>
        <v>29.760400000000001</v>
      </c>
      <c r="Q1325">
        <f>VLOOKUP(O1325, Coordinates!$A$2:$C$6, 3, FALSE)</f>
        <v>-95.369799999999998</v>
      </c>
      <c r="R1325">
        <v>2</v>
      </c>
      <c r="S1325">
        <v>418</v>
      </c>
      <c r="T1325">
        <v>16</v>
      </c>
      <c r="U1325">
        <v>98.2273940855343</v>
      </c>
      <c r="V1325" t="s">
        <v>39</v>
      </c>
      <c r="W1325">
        <v>3.2657694759194298</v>
      </c>
      <c r="X1325" t="s">
        <v>46</v>
      </c>
      <c r="Y1325" t="s">
        <v>60</v>
      </c>
      <c r="Z1325">
        <v>850.61389317438397</v>
      </c>
    </row>
    <row r="1326" spans="1:26" x14ac:dyDescent="0.3">
      <c r="A1326" t="s">
        <v>33</v>
      </c>
      <c r="B1326" t="s">
        <v>1382</v>
      </c>
      <c r="C1326">
        <v>98.2947060165164</v>
      </c>
      <c r="D1326">
        <v>44</v>
      </c>
      <c r="E1326">
        <v>6</v>
      </c>
      <c r="F1326">
        <v>8238.8829348745494</v>
      </c>
      <c r="G1326" t="s">
        <v>54</v>
      </c>
      <c r="H1326">
        <v>20</v>
      </c>
      <c r="I1326">
        <v>26</v>
      </c>
      <c r="J1326">
        <v>70</v>
      </c>
      <c r="K1326">
        <v>2</v>
      </c>
      <c r="L1326" t="s">
        <v>44</v>
      </c>
      <c r="M1326">
        <v>11.098597923255801</v>
      </c>
      <c r="N1326" t="s">
        <v>37</v>
      </c>
      <c r="O1326" t="s">
        <v>58</v>
      </c>
      <c r="P1326">
        <f>VLOOKUP(O1326, Coordinates!$A$2:$C$6, 2, FALSE)</f>
        <v>34.052199999999999</v>
      </c>
      <c r="Q1326">
        <f>VLOOKUP(O1326, Coordinates!$A$2:$C$6, 3, FALSE)</f>
        <v>-118.2437</v>
      </c>
      <c r="R1326">
        <v>12</v>
      </c>
      <c r="S1326">
        <v>294</v>
      </c>
      <c r="T1326">
        <v>20</v>
      </c>
      <c r="U1326">
        <v>69.981948594099293</v>
      </c>
      <c r="V1326" t="s">
        <v>30</v>
      </c>
      <c r="W1326">
        <v>1.4037520086489901</v>
      </c>
      <c r="X1326" t="s">
        <v>40</v>
      </c>
      <c r="Y1326" t="s">
        <v>60</v>
      </c>
      <c r="Z1326">
        <v>130.484453390011</v>
      </c>
    </row>
    <row r="1327" spans="1:26" x14ac:dyDescent="0.3">
      <c r="A1327" t="s">
        <v>72</v>
      </c>
      <c r="B1327" t="s">
        <v>1383</v>
      </c>
      <c r="C1327">
        <v>30.3403086</v>
      </c>
      <c r="D1327">
        <v>82</v>
      </c>
      <c r="E1327">
        <v>845</v>
      </c>
      <c r="F1327">
        <v>23073.804692084301</v>
      </c>
      <c r="G1327" t="s">
        <v>48</v>
      </c>
      <c r="H1327">
        <v>22</v>
      </c>
      <c r="I1327">
        <v>14</v>
      </c>
      <c r="J1327">
        <v>72</v>
      </c>
      <c r="K1327">
        <v>1</v>
      </c>
      <c r="L1327" t="s">
        <v>27</v>
      </c>
      <c r="M1327">
        <v>6.5993186882569796</v>
      </c>
      <c r="N1327" t="s">
        <v>28</v>
      </c>
      <c r="O1327" t="s">
        <v>67</v>
      </c>
      <c r="P1327">
        <f>VLOOKUP(O1327, Coordinates!$A$2:$C$6, 2, FALSE)</f>
        <v>40.712800000000001</v>
      </c>
      <c r="Q1327">
        <f>VLOOKUP(O1327, Coordinates!$A$2:$C$6, 3, FALSE)</f>
        <v>-74.006</v>
      </c>
      <c r="R1327">
        <v>28</v>
      </c>
      <c r="S1327">
        <v>903</v>
      </c>
      <c r="T1327">
        <v>20</v>
      </c>
      <c r="U1327">
        <v>88.346032730000005</v>
      </c>
      <c r="V1327" t="s">
        <v>55</v>
      </c>
      <c r="W1327">
        <v>0.97857971374442398</v>
      </c>
      <c r="X1327" t="s">
        <v>52</v>
      </c>
      <c r="Y1327" t="s">
        <v>32</v>
      </c>
      <c r="Z1327">
        <v>165.98720109791901</v>
      </c>
    </row>
    <row r="1328" spans="1:26" x14ac:dyDescent="0.3">
      <c r="A1328" t="s">
        <v>24</v>
      </c>
      <c r="B1328" t="s">
        <v>1384</v>
      </c>
      <c r="C1328">
        <v>37.6575356896006</v>
      </c>
      <c r="D1328">
        <v>87</v>
      </c>
      <c r="E1328">
        <v>956</v>
      </c>
      <c r="F1328">
        <v>32400.543707332301</v>
      </c>
      <c r="G1328" t="s">
        <v>35</v>
      </c>
      <c r="H1328">
        <v>93</v>
      </c>
      <c r="I1328">
        <v>29</v>
      </c>
      <c r="J1328">
        <v>35</v>
      </c>
      <c r="K1328">
        <v>3</v>
      </c>
      <c r="L1328" t="s">
        <v>36</v>
      </c>
      <c r="M1328">
        <v>11.9868616377832</v>
      </c>
      <c r="N1328" t="s">
        <v>45</v>
      </c>
      <c r="O1328" t="s">
        <v>38</v>
      </c>
      <c r="P1328">
        <f>VLOOKUP(O1328, Coordinates!$A$2:$C$6, 2, FALSE)</f>
        <v>25.761700000000001</v>
      </c>
      <c r="Q1328">
        <f>VLOOKUP(O1328, Coordinates!$A$2:$C$6, 3, FALSE)</f>
        <v>-80.191800000000001</v>
      </c>
      <c r="R1328">
        <v>25</v>
      </c>
      <c r="S1328">
        <v>192</v>
      </c>
      <c r="T1328">
        <v>22</v>
      </c>
      <c r="U1328">
        <v>79.142252908086803</v>
      </c>
      <c r="V1328" t="s">
        <v>39</v>
      </c>
      <c r="W1328">
        <v>4.0681732933854704</v>
      </c>
      <c r="X1328" t="s">
        <v>40</v>
      </c>
      <c r="Y1328" t="s">
        <v>60</v>
      </c>
      <c r="Z1328">
        <v>683.24648387473405</v>
      </c>
    </row>
    <row r="1329" spans="1:26" x14ac:dyDescent="0.3">
      <c r="A1329" t="s">
        <v>49</v>
      </c>
      <c r="B1329" t="s">
        <v>1385</v>
      </c>
      <c r="C1329">
        <v>16.038140869917299</v>
      </c>
      <c r="D1329">
        <v>97</v>
      </c>
      <c r="E1329">
        <v>149</v>
      </c>
      <c r="F1329">
        <v>1050.68181473248</v>
      </c>
      <c r="G1329" t="s">
        <v>35</v>
      </c>
      <c r="H1329">
        <v>88</v>
      </c>
      <c r="I1329">
        <v>30</v>
      </c>
      <c r="J1329">
        <v>44</v>
      </c>
      <c r="K1329">
        <v>4</v>
      </c>
      <c r="L1329" t="s">
        <v>44</v>
      </c>
      <c r="M1329">
        <v>10.0928587974827</v>
      </c>
      <c r="N1329" t="s">
        <v>45</v>
      </c>
      <c r="O1329" t="s">
        <v>38</v>
      </c>
      <c r="P1329">
        <f>VLOOKUP(O1329, Coordinates!$A$2:$C$6, 2, FALSE)</f>
        <v>25.761700000000001</v>
      </c>
      <c r="Q1329">
        <f>VLOOKUP(O1329, Coordinates!$A$2:$C$6, 3, FALSE)</f>
        <v>-80.191800000000001</v>
      </c>
      <c r="R1329">
        <v>26</v>
      </c>
      <c r="S1329">
        <v>532</v>
      </c>
      <c r="T1329">
        <v>10</v>
      </c>
      <c r="U1329">
        <v>45.277006300398199</v>
      </c>
      <c r="V1329" t="s">
        <v>55</v>
      </c>
      <c r="W1329">
        <v>4.8823823067427501</v>
      </c>
      <c r="X1329" t="s">
        <v>46</v>
      </c>
      <c r="Y1329" t="s">
        <v>60</v>
      </c>
      <c r="Z1329">
        <v>465.82268839550699</v>
      </c>
    </row>
    <row r="1330" spans="1:26" x14ac:dyDescent="0.3">
      <c r="A1330" t="s">
        <v>33</v>
      </c>
      <c r="B1330" t="s">
        <v>1386</v>
      </c>
      <c r="C1330">
        <v>79.194609893424101</v>
      </c>
      <c r="D1330">
        <v>16</v>
      </c>
      <c r="E1330">
        <v>960</v>
      </c>
      <c r="F1330">
        <v>2676.8509886667998</v>
      </c>
      <c r="G1330" t="s">
        <v>48</v>
      </c>
      <c r="H1330">
        <v>94</v>
      </c>
      <c r="I1330">
        <v>1</v>
      </c>
      <c r="J1330">
        <v>76</v>
      </c>
      <c r="K1330">
        <v>7</v>
      </c>
      <c r="L1330" t="s">
        <v>44</v>
      </c>
      <c r="M1330">
        <v>9.1412216805063</v>
      </c>
      <c r="N1330" t="s">
        <v>45</v>
      </c>
      <c r="O1330" t="s">
        <v>38</v>
      </c>
      <c r="P1330">
        <f>VLOOKUP(O1330, Coordinates!$A$2:$C$6, 2, FALSE)</f>
        <v>25.761700000000001</v>
      </c>
      <c r="Q1330">
        <f>VLOOKUP(O1330, Coordinates!$A$2:$C$6, 3, FALSE)</f>
        <v>-80.191800000000001</v>
      </c>
      <c r="R1330">
        <v>27</v>
      </c>
      <c r="S1330">
        <v>657</v>
      </c>
      <c r="T1330">
        <v>23</v>
      </c>
      <c r="U1330">
        <v>32.926332586070302</v>
      </c>
      <c r="V1330" t="s">
        <v>55</v>
      </c>
      <c r="W1330">
        <v>3.9141149519126701</v>
      </c>
      <c r="X1330" t="s">
        <v>40</v>
      </c>
      <c r="Y1330" t="s">
        <v>41</v>
      </c>
      <c r="Z1330">
        <v>307.45097722466801</v>
      </c>
    </row>
    <row r="1331" spans="1:26" x14ac:dyDescent="0.3">
      <c r="A1331" t="s">
        <v>42</v>
      </c>
      <c r="B1331" t="s">
        <v>1387</v>
      </c>
      <c r="C1331">
        <v>79.600537094021405</v>
      </c>
      <c r="D1331">
        <v>54</v>
      </c>
      <c r="E1331">
        <v>370</v>
      </c>
      <c r="F1331">
        <v>1897.53583468031</v>
      </c>
      <c r="G1331" t="s">
        <v>48</v>
      </c>
      <c r="H1331">
        <v>26</v>
      </c>
      <c r="I1331">
        <v>21</v>
      </c>
      <c r="J1331">
        <v>65</v>
      </c>
      <c r="K1331">
        <v>9</v>
      </c>
      <c r="L1331" t="s">
        <v>44</v>
      </c>
      <c r="M1331">
        <v>13.6192523572977</v>
      </c>
      <c r="N1331" t="s">
        <v>57</v>
      </c>
      <c r="O1331" t="s">
        <v>65</v>
      </c>
      <c r="P1331">
        <f>VLOOKUP(O1331, Coordinates!$A$2:$C$6, 2, FALSE)</f>
        <v>41.878100000000003</v>
      </c>
      <c r="Q1331">
        <f>VLOOKUP(O1331, Coordinates!$A$2:$C$6, 3, FALSE)</f>
        <v>-87.629800000000003</v>
      </c>
      <c r="R1331">
        <v>14</v>
      </c>
      <c r="S1331">
        <v>126</v>
      </c>
      <c r="T1331">
        <v>23</v>
      </c>
      <c r="U1331">
        <v>26.549595341814499</v>
      </c>
      <c r="V1331" t="s">
        <v>30</v>
      </c>
      <c r="W1331">
        <v>0.700305203596162</v>
      </c>
      <c r="X1331" t="s">
        <v>31</v>
      </c>
      <c r="Y1331" t="s">
        <v>32</v>
      </c>
      <c r="Z1331">
        <v>102.48085989778799</v>
      </c>
    </row>
    <row r="1332" spans="1:26" x14ac:dyDescent="0.3">
      <c r="A1332" t="s">
        <v>72</v>
      </c>
      <c r="B1332" t="s">
        <v>1388</v>
      </c>
      <c r="C1332">
        <v>35.501463747993498</v>
      </c>
      <c r="D1332">
        <v>35</v>
      </c>
      <c r="E1332">
        <v>424</v>
      </c>
      <c r="F1332">
        <v>13547.358566234299</v>
      </c>
      <c r="G1332" t="s">
        <v>26</v>
      </c>
      <c r="H1332">
        <v>97</v>
      </c>
      <c r="I1332">
        <v>30</v>
      </c>
      <c r="J1332">
        <v>49</v>
      </c>
      <c r="K1332">
        <v>8</v>
      </c>
      <c r="L1332" t="s">
        <v>44</v>
      </c>
      <c r="M1332">
        <v>1.2985090287299701</v>
      </c>
      <c r="N1332" t="s">
        <v>57</v>
      </c>
      <c r="O1332" t="s">
        <v>65</v>
      </c>
      <c r="P1332">
        <f>VLOOKUP(O1332, Coordinates!$A$2:$C$6, 2, FALSE)</f>
        <v>41.878100000000003</v>
      </c>
      <c r="Q1332">
        <f>VLOOKUP(O1332, Coordinates!$A$2:$C$6, 3, FALSE)</f>
        <v>-87.629800000000003</v>
      </c>
      <c r="R1332">
        <v>26</v>
      </c>
      <c r="S1332">
        <v>514</v>
      </c>
      <c r="T1332">
        <v>15</v>
      </c>
      <c r="U1332">
        <v>79.096240548543605</v>
      </c>
      <c r="V1332" t="s">
        <v>55</v>
      </c>
      <c r="W1332">
        <v>3.8879360085883898</v>
      </c>
      <c r="X1332" t="s">
        <v>52</v>
      </c>
      <c r="Y1332" t="s">
        <v>60</v>
      </c>
      <c r="Z1332">
        <v>696.831337922947</v>
      </c>
    </row>
    <row r="1333" spans="1:26" x14ac:dyDescent="0.3">
      <c r="A1333" t="s">
        <v>82</v>
      </c>
      <c r="B1333" t="s">
        <v>1389</v>
      </c>
      <c r="C1333">
        <v>99.084369289845299</v>
      </c>
      <c r="D1333">
        <v>98</v>
      </c>
      <c r="E1333">
        <v>577</v>
      </c>
      <c r="F1333">
        <v>5512.1589427037097</v>
      </c>
      <c r="G1333" t="s">
        <v>26</v>
      </c>
      <c r="H1333">
        <v>71</v>
      </c>
      <c r="I1333">
        <v>23</v>
      </c>
      <c r="J1333">
        <v>38</v>
      </c>
      <c r="K1333">
        <v>9</v>
      </c>
      <c r="L1333" t="s">
        <v>36</v>
      </c>
      <c r="M1333">
        <v>3.1704810595692199</v>
      </c>
      <c r="N1333" t="s">
        <v>37</v>
      </c>
      <c r="O1333" t="s">
        <v>29</v>
      </c>
      <c r="P1333">
        <f>VLOOKUP(O1333, Coordinates!$A$2:$C$6, 2, FALSE)</f>
        <v>29.760400000000001</v>
      </c>
      <c r="Q1333">
        <f>VLOOKUP(O1333, Coordinates!$A$2:$C$6, 3, FALSE)</f>
        <v>-95.369799999999998</v>
      </c>
      <c r="R1333">
        <v>29</v>
      </c>
      <c r="S1333">
        <v>261</v>
      </c>
      <c r="T1333">
        <v>30</v>
      </c>
      <c r="U1333">
        <v>64.547269975194098</v>
      </c>
      <c r="V1333" t="s">
        <v>30</v>
      </c>
      <c r="W1333">
        <v>2.6169765668060601</v>
      </c>
      <c r="X1333" t="s">
        <v>46</v>
      </c>
      <c r="Y1333" t="s">
        <v>41</v>
      </c>
      <c r="Z1333">
        <v>496.76371363617102</v>
      </c>
    </row>
    <row r="1334" spans="1:26" x14ac:dyDescent="0.3">
      <c r="A1334" t="s">
        <v>82</v>
      </c>
      <c r="B1334" t="s">
        <v>1390</v>
      </c>
      <c r="C1334">
        <v>35.8991210628324</v>
      </c>
      <c r="D1334">
        <v>28</v>
      </c>
      <c r="E1334">
        <v>789</v>
      </c>
      <c r="F1334">
        <v>1390.5746072070399</v>
      </c>
      <c r="G1334" t="s">
        <v>26</v>
      </c>
      <c r="H1334">
        <v>18</v>
      </c>
      <c r="I1334">
        <v>25</v>
      </c>
      <c r="J1334">
        <v>15</v>
      </c>
      <c r="K1334">
        <v>7</v>
      </c>
      <c r="L1334" t="s">
        <v>36</v>
      </c>
      <c r="M1334">
        <v>9.7412633769999992</v>
      </c>
      <c r="N1334" t="s">
        <v>45</v>
      </c>
      <c r="O1334" t="s">
        <v>38</v>
      </c>
      <c r="P1334">
        <f>VLOOKUP(O1334, Coordinates!$A$2:$C$6, 2, FALSE)</f>
        <v>25.761700000000001</v>
      </c>
      <c r="Q1334">
        <f>VLOOKUP(O1334, Coordinates!$A$2:$C$6, 3, FALSE)</f>
        <v>-80.191800000000001</v>
      </c>
      <c r="R1334">
        <v>25</v>
      </c>
      <c r="S1334">
        <v>943</v>
      </c>
      <c r="T1334">
        <v>27</v>
      </c>
      <c r="U1334">
        <v>52.518046242927198</v>
      </c>
      <c r="V1334" t="s">
        <v>39</v>
      </c>
      <c r="W1334">
        <v>4.6231812921368798</v>
      </c>
      <c r="X1334" t="s">
        <v>40</v>
      </c>
      <c r="Y1334" t="s">
        <v>41</v>
      </c>
      <c r="Z1334">
        <v>253.708502994588</v>
      </c>
    </row>
    <row r="1335" spans="1:26" x14ac:dyDescent="0.3">
      <c r="A1335" t="s">
        <v>42</v>
      </c>
      <c r="B1335" t="s">
        <v>1391</v>
      </c>
      <c r="C1335">
        <v>94.420882579999997</v>
      </c>
      <c r="D1335">
        <v>2</v>
      </c>
      <c r="E1335">
        <v>565</v>
      </c>
      <c r="F1335">
        <v>4136.3017821608901</v>
      </c>
      <c r="H1335">
        <v>40</v>
      </c>
      <c r="I1335">
        <v>9</v>
      </c>
      <c r="J1335">
        <v>61</v>
      </c>
      <c r="K1335">
        <v>10</v>
      </c>
      <c r="L1335" t="s">
        <v>27</v>
      </c>
      <c r="M1335">
        <v>1.92159265170133</v>
      </c>
      <c r="N1335" t="s">
        <v>57</v>
      </c>
      <c r="O1335" t="s">
        <v>58</v>
      </c>
      <c r="P1335">
        <f>VLOOKUP(O1335, Coordinates!$A$2:$C$6, 2, FALSE)</f>
        <v>34.052199999999999</v>
      </c>
      <c r="Q1335">
        <f>VLOOKUP(O1335, Coordinates!$A$2:$C$6, 3, FALSE)</f>
        <v>-118.2437</v>
      </c>
      <c r="R1335">
        <v>29</v>
      </c>
      <c r="S1335">
        <v>200</v>
      </c>
      <c r="T1335">
        <v>8</v>
      </c>
      <c r="U1335">
        <v>44.852681336111402</v>
      </c>
      <c r="V1335" t="s">
        <v>55</v>
      </c>
      <c r="W1335">
        <v>1.50198054796844</v>
      </c>
      <c r="X1335" t="s">
        <v>52</v>
      </c>
      <c r="Y1335" t="s">
        <v>32</v>
      </c>
      <c r="Z1335">
        <v>975.00155419999999</v>
      </c>
    </row>
    <row r="1336" spans="1:26" x14ac:dyDescent="0.3">
      <c r="A1336" t="s">
        <v>42</v>
      </c>
      <c r="B1336" t="s">
        <v>1392</v>
      </c>
      <c r="C1336">
        <v>91.899455920867794</v>
      </c>
      <c r="D1336">
        <v>94</v>
      </c>
      <c r="E1336">
        <v>825</v>
      </c>
      <c r="F1336">
        <v>2612.6170716278998</v>
      </c>
      <c r="G1336" t="s">
        <v>54</v>
      </c>
      <c r="H1336">
        <v>3</v>
      </c>
      <c r="I1336">
        <v>29</v>
      </c>
      <c r="J1336">
        <v>10</v>
      </c>
      <c r="K1336">
        <v>8</v>
      </c>
      <c r="L1336" t="s">
        <v>36</v>
      </c>
      <c r="M1336">
        <v>10.029586790849599</v>
      </c>
      <c r="N1336" t="s">
        <v>51</v>
      </c>
      <c r="O1336" t="s">
        <v>67</v>
      </c>
      <c r="P1336">
        <f>VLOOKUP(O1336, Coordinates!$A$2:$C$6, 2, FALSE)</f>
        <v>40.712800000000001</v>
      </c>
      <c r="Q1336">
        <f>VLOOKUP(O1336, Coordinates!$A$2:$C$6, 3, FALSE)</f>
        <v>-74.006</v>
      </c>
      <c r="R1336">
        <v>2</v>
      </c>
      <c r="S1336">
        <v>798</v>
      </c>
      <c r="T1336">
        <v>19</v>
      </c>
      <c r="U1336">
        <v>25.144530711321501</v>
      </c>
      <c r="V1336" t="s">
        <v>39</v>
      </c>
      <c r="W1336">
        <v>2.5660030227337698</v>
      </c>
      <c r="X1336" t="s">
        <v>31</v>
      </c>
      <c r="Y1336" t="s">
        <v>60</v>
      </c>
      <c r="Z1336">
        <v>415.75760423535598</v>
      </c>
    </row>
    <row r="1337" spans="1:26" x14ac:dyDescent="0.3">
      <c r="A1337" t="s">
        <v>49</v>
      </c>
      <c r="B1337" t="s">
        <v>1393</v>
      </c>
      <c r="C1337">
        <v>6.09066267619089</v>
      </c>
      <c r="D1337">
        <v>13</v>
      </c>
      <c r="E1337">
        <v>448</v>
      </c>
      <c r="F1337">
        <v>6823.6314963298601</v>
      </c>
      <c r="G1337" t="s">
        <v>35</v>
      </c>
      <c r="H1337">
        <v>27</v>
      </c>
      <c r="I1337">
        <v>1</v>
      </c>
      <c r="J1337">
        <v>61</v>
      </c>
      <c r="K1337">
        <v>8</v>
      </c>
      <c r="L1337" t="s">
        <v>27</v>
      </c>
      <c r="M1337">
        <v>14.7776950783537</v>
      </c>
      <c r="N1337" t="s">
        <v>51</v>
      </c>
      <c r="O1337" t="s">
        <v>58</v>
      </c>
      <c r="P1337">
        <f>VLOOKUP(O1337, Coordinates!$A$2:$C$6, 2, FALSE)</f>
        <v>34.052199999999999</v>
      </c>
      <c r="Q1337">
        <f>VLOOKUP(O1337, Coordinates!$A$2:$C$6, 3, FALSE)</f>
        <v>-118.2437</v>
      </c>
      <c r="R1337">
        <v>23</v>
      </c>
      <c r="S1337">
        <v>572</v>
      </c>
      <c r="T1337">
        <v>5</v>
      </c>
      <c r="U1337">
        <v>49.767366142956099</v>
      </c>
      <c r="V1337" t="s">
        <v>30</v>
      </c>
      <c r="W1337">
        <v>1.5875923131502401</v>
      </c>
      <c r="X1337" t="s">
        <v>52</v>
      </c>
      <c r="Y1337" t="s">
        <v>60</v>
      </c>
      <c r="Z1337">
        <v>372.753730693612</v>
      </c>
    </row>
    <row r="1338" spans="1:26" x14ac:dyDescent="0.3">
      <c r="A1338" t="s">
        <v>24</v>
      </c>
      <c r="B1338" t="s">
        <v>1394</v>
      </c>
      <c r="C1338">
        <v>37.631372214044497</v>
      </c>
      <c r="D1338">
        <v>41</v>
      </c>
      <c r="E1338">
        <v>920</v>
      </c>
      <c r="F1338">
        <v>31158.776193228801</v>
      </c>
      <c r="G1338" t="s">
        <v>48</v>
      </c>
      <c r="H1338">
        <v>63</v>
      </c>
      <c r="I1338">
        <v>21</v>
      </c>
      <c r="J1338">
        <v>33</v>
      </c>
      <c r="K1338">
        <v>1</v>
      </c>
      <c r="L1338" t="s">
        <v>27</v>
      </c>
      <c r="M1338">
        <v>13.303313385923399</v>
      </c>
      <c r="N1338" t="s">
        <v>57</v>
      </c>
      <c r="O1338" t="s">
        <v>58</v>
      </c>
      <c r="P1338">
        <f>VLOOKUP(O1338, Coordinates!$A$2:$C$6, 2, FALSE)</f>
        <v>34.052199999999999</v>
      </c>
      <c r="Q1338">
        <f>VLOOKUP(O1338, Coordinates!$A$2:$C$6, 3, FALSE)</f>
        <v>-118.2437</v>
      </c>
      <c r="R1338">
        <v>2</v>
      </c>
      <c r="S1338">
        <v>805</v>
      </c>
      <c r="T1338">
        <v>12</v>
      </c>
      <c r="U1338">
        <v>84.827104385530504</v>
      </c>
      <c r="V1338" t="s">
        <v>30</v>
      </c>
      <c r="W1338">
        <v>2.14725996214493</v>
      </c>
      <c r="X1338" t="s">
        <v>40</v>
      </c>
      <c r="Y1338" t="s">
        <v>60</v>
      </c>
      <c r="Z1338">
        <v>559.28279706147202</v>
      </c>
    </row>
    <row r="1339" spans="1:26" x14ac:dyDescent="0.3">
      <c r="A1339" t="s">
        <v>82</v>
      </c>
      <c r="B1339" t="s">
        <v>1395</v>
      </c>
      <c r="C1339">
        <v>97.824902139899393</v>
      </c>
      <c r="D1339">
        <v>80</v>
      </c>
      <c r="E1339">
        <v>438</v>
      </c>
      <c r="F1339">
        <v>5457.85882240517</v>
      </c>
      <c r="G1339" t="s">
        <v>54</v>
      </c>
      <c r="H1339">
        <v>67</v>
      </c>
      <c r="I1339">
        <v>22</v>
      </c>
      <c r="J1339">
        <v>43</v>
      </c>
      <c r="K1339">
        <v>9</v>
      </c>
      <c r="L1339" t="s">
        <v>44</v>
      </c>
      <c r="M1339">
        <v>9.2728369363559899</v>
      </c>
      <c r="N1339" t="s">
        <v>37</v>
      </c>
      <c r="O1339" t="s">
        <v>67</v>
      </c>
      <c r="P1339">
        <f>VLOOKUP(O1339, Coordinates!$A$2:$C$6, 2, FALSE)</f>
        <v>40.712800000000001</v>
      </c>
      <c r="Q1339">
        <f>VLOOKUP(O1339, Coordinates!$A$2:$C$6, 3, FALSE)</f>
        <v>-74.006</v>
      </c>
      <c r="R1339">
        <v>1</v>
      </c>
      <c r="S1339">
        <v>257</v>
      </c>
      <c r="T1339">
        <v>10</v>
      </c>
      <c r="U1339">
        <v>87.854298299883197</v>
      </c>
      <c r="V1339" t="s">
        <v>55</v>
      </c>
      <c r="W1339">
        <v>3.69507644841174</v>
      </c>
      <c r="X1339" t="s">
        <v>31</v>
      </c>
      <c r="Y1339" t="s">
        <v>60</v>
      </c>
      <c r="Z1339">
        <v>349.48609115798899</v>
      </c>
    </row>
    <row r="1340" spans="1:26" x14ac:dyDescent="0.3">
      <c r="A1340" t="s">
        <v>72</v>
      </c>
      <c r="B1340" t="s">
        <v>1396</v>
      </c>
      <c r="C1340">
        <v>31.302939556682599</v>
      </c>
      <c r="D1340">
        <v>59</v>
      </c>
      <c r="E1340">
        <v>647</v>
      </c>
      <c r="F1340">
        <v>18227.701703856299</v>
      </c>
      <c r="G1340" t="s">
        <v>48</v>
      </c>
      <c r="H1340">
        <v>94</v>
      </c>
      <c r="I1340">
        <v>22</v>
      </c>
      <c r="J1340">
        <v>16</v>
      </c>
      <c r="K1340">
        <v>2</v>
      </c>
      <c r="L1340" t="s">
        <v>27</v>
      </c>
      <c r="M1340">
        <v>13.5156734402834</v>
      </c>
      <c r="N1340" t="s">
        <v>28</v>
      </c>
      <c r="O1340" t="s">
        <v>58</v>
      </c>
      <c r="P1340">
        <f>VLOOKUP(O1340, Coordinates!$A$2:$C$6, 2, FALSE)</f>
        <v>34.052199999999999</v>
      </c>
      <c r="Q1340">
        <f>VLOOKUP(O1340, Coordinates!$A$2:$C$6, 3, FALSE)</f>
        <v>-118.2437</v>
      </c>
      <c r="R1340">
        <v>20</v>
      </c>
      <c r="S1340">
        <v>591</v>
      </c>
      <c r="T1340">
        <v>22</v>
      </c>
      <c r="U1340">
        <v>85.618416537807207</v>
      </c>
      <c r="V1340" t="s">
        <v>30</v>
      </c>
      <c r="W1340">
        <v>3.1299925317657502</v>
      </c>
      <c r="X1340" t="s">
        <v>46</v>
      </c>
      <c r="Y1340" t="s">
        <v>32</v>
      </c>
      <c r="Z1340">
        <v>345.48590999999999</v>
      </c>
    </row>
    <row r="1341" spans="1:26" x14ac:dyDescent="0.3">
      <c r="A1341" t="s">
        <v>33</v>
      </c>
      <c r="B1341" t="s">
        <v>1397</v>
      </c>
      <c r="C1341">
        <v>57.039545966415297</v>
      </c>
      <c r="D1341">
        <v>69</v>
      </c>
      <c r="E1341">
        <v>559</v>
      </c>
      <c r="F1341">
        <v>9604.1773943790995</v>
      </c>
      <c r="G1341" t="s">
        <v>54</v>
      </c>
      <c r="H1341">
        <v>79</v>
      </c>
      <c r="I1341">
        <v>4</v>
      </c>
      <c r="J1341">
        <v>84</v>
      </c>
      <c r="K1341">
        <v>7</v>
      </c>
      <c r="L1341" t="s">
        <v>44</v>
      </c>
      <c r="M1341">
        <v>2.6277541177277102</v>
      </c>
      <c r="N1341" t="s">
        <v>45</v>
      </c>
      <c r="O1341" t="s">
        <v>38</v>
      </c>
      <c r="P1341">
        <f>VLOOKUP(O1341, Coordinates!$A$2:$C$6, 2, FALSE)</f>
        <v>25.761700000000001</v>
      </c>
      <c r="Q1341">
        <f>VLOOKUP(O1341, Coordinates!$A$2:$C$6, 3, FALSE)</f>
        <v>-80.191800000000001</v>
      </c>
      <c r="R1341">
        <v>26</v>
      </c>
      <c r="S1341">
        <v>108</v>
      </c>
      <c r="T1341">
        <v>14</v>
      </c>
      <c r="U1341">
        <v>44.258145555839903</v>
      </c>
      <c r="V1341" t="s">
        <v>39</v>
      </c>
      <c r="W1341">
        <v>3.6749990939999999</v>
      </c>
      <c r="X1341" t="s">
        <v>31</v>
      </c>
      <c r="Y1341" t="s">
        <v>41</v>
      </c>
      <c r="Z1341">
        <v>969.65796500683803</v>
      </c>
    </row>
    <row r="1342" spans="1:26" x14ac:dyDescent="0.3">
      <c r="A1342" t="s">
        <v>72</v>
      </c>
      <c r="B1342" t="s">
        <v>1398</v>
      </c>
      <c r="C1342">
        <v>24.4275335664205</v>
      </c>
      <c r="D1342">
        <v>92</v>
      </c>
      <c r="E1342">
        <v>61</v>
      </c>
      <c r="G1342" t="s">
        <v>48</v>
      </c>
      <c r="H1342">
        <v>50</v>
      </c>
      <c r="I1342">
        <v>1</v>
      </c>
      <c r="J1342">
        <v>20</v>
      </c>
      <c r="K1342">
        <v>10</v>
      </c>
      <c r="L1342" t="s">
        <v>27</v>
      </c>
      <c r="M1342">
        <v>7.3657183089578897</v>
      </c>
      <c r="N1342" t="s">
        <v>57</v>
      </c>
      <c r="O1342" t="s">
        <v>29</v>
      </c>
      <c r="P1342">
        <f>VLOOKUP(O1342, Coordinates!$A$2:$C$6, 2, FALSE)</f>
        <v>29.760400000000001</v>
      </c>
      <c r="Q1342">
        <f>VLOOKUP(O1342, Coordinates!$A$2:$C$6, 3, FALSE)</f>
        <v>-95.369799999999998</v>
      </c>
      <c r="R1342">
        <v>30</v>
      </c>
      <c r="S1342">
        <v>311</v>
      </c>
      <c r="T1342">
        <v>28</v>
      </c>
      <c r="U1342">
        <v>80.1219062946425</v>
      </c>
      <c r="V1342" t="s">
        <v>30</v>
      </c>
      <c r="W1342">
        <v>3.5648684482156101</v>
      </c>
      <c r="X1342" t="s">
        <v>52</v>
      </c>
      <c r="Y1342" t="s">
        <v>41</v>
      </c>
      <c r="Z1342">
        <v>335.03285961550102</v>
      </c>
    </row>
    <row r="1343" spans="1:26" x14ac:dyDescent="0.3">
      <c r="A1343" t="s">
        <v>61</v>
      </c>
      <c r="B1343" t="s">
        <v>1399</v>
      </c>
      <c r="C1343">
        <v>57.772065290056702</v>
      </c>
      <c r="D1343">
        <v>53</v>
      </c>
      <c r="E1343">
        <v>566</v>
      </c>
      <c r="F1343">
        <v>5649.9783385948604</v>
      </c>
      <c r="G1343" t="s">
        <v>48</v>
      </c>
      <c r="H1343">
        <v>73</v>
      </c>
      <c r="I1343">
        <v>19</v>
      </c>
      <c r="J1343">
        <v>45</v>
      </c>
      <c r="K1343">
        <v>10</v>
      </c>
      <c r="L1343" t="s">
        <v>36</v>
      </c>
      <c r="M1343">
        <v>7.0014656213690598</v>
      </c>
      <c r="N1343" t="s">
        <v>37</v>
      </c>
      <c r="O1343" t="s">
        <v>29</v>
      </c>
      <c r="P1343">
        <f>VLOOKUP(O1343, Coordinates!$A$2:$C$6, 2, FALSE)</f>
        <v>29.760400000000001</v>
      </c>
      <c r="Q1343">
        <f>VLOOKUP(O1343, Coordinates!$A$2:$C$6, 3, FALSE)</f>
        <v>-95.369799999999998</v>
      </c>
      <c r="R1343">
        <v>22</v>
      </c>
      <c r="S1343">
        <v>538</v>
      </c>
      <c r="T1343">
        <v>22</v>
      </c>
      <c r="U1343">
        <v>79.748244952036998</v>
      </c>
      <c r="V1343" t="s">
        <v>55</v>
      </c>
      <c r="W1343">
        <v>4.0753624666146004</v>
      </c>
      <c r="X1343" t="s">
        <v>46</v>
      </c>
      <c r="Y1343" t="s">
        <v>32</v>
      </c>
      <c r="Z1343">
        <v>644.92014994646297</v>
      </c>
    </row>
    <row r="1344" spans="1:26" x14ac:dyDescent="0.3">
      <c r="A1344" t="s">
        <v>61</v>
      </c>
      <c r="B1344" t="s">
        <v>1400</v>
      </c>
      <c r="C1344">
        <v>23.0324537823548</v>
      </c>
      <c r="D1344">
        <v>45</v>
      </c>
      <c r="E1344">
        <v>968</v>
      </c>
      <c r="F1344">
        <v>7624.1563152880199</v>
      </c>
      <c r="G1344" t="s">
        <v>54</v>
      </c>
      <c r="H1344">
        <v>47</v>
      </c>
      <c r="I1344">
        <v>10</v>
      </c>
      <c r="J1344">
        <v>29</v>
      </c>
      <c r="K1344">
        <v>5</v>
      </c>
      <c r="L1344" t="s">
        <v>44</v>
      </c>
      <c r="M1344">
        <v>5.7102662179018697</v>
      </c>
      <c r="N1344" t="s">
        <v>28</v>
      </c>
      <c r="O1344" t="s">
        <v>58</v>
      </c>
      <c r="P1344">
        <f>VLOOKUP(O1344, Coordinates!$A$2:$C$6, 2, FALSE)</f>
        <v>34.052199999999999</v>
      </c>
      <c r="Q1344">
        <f>VLOOKUP(O1344, Coordinates!$A$2:$C$6, 3, FALSE)</f>
        <v>-118.2437</v>
      </c>
      <c r="R1344">
        <v>10</v>
      </c>
      <c r="S1344">
        <v>996</v>
      </c>
      <c r="T1344">
        <v>12</v>
      </c>
      <c r="U1344">
        <v>38.1463280945134</v>
      </c>
      <c r="V1344" t="s">
        <v>30</v>
      </c>
      <c r="W1344">
        <v>1.0084497985335601</v>
      </c>
      <c r="X1344" t="s">
        <v>52</v>
      </c>
      <c r="Y1344" t="s">
        <v>60</v>
      </c>
      <c r="Z1344">
        <v>133.70200930490199</v>
      </c>
    </row>
    <row r="1345" spans="1:26" x14ac:dyDescent="0.3">
      <c r="A1345" t="s">
        <v>42</v>
      </c>
      <c r="B1345" t="s">
        <v>1401</v>
      </c>
      <c r="C1345">
        <v>60.307406858796</v>
      </c>
      <c r="D1345">
        <v>20</v>
      </c>
      <c r="E1345">
        <v>953</v>
      </c>
      <c r="F1345">
        <v>6011.5997182110596</v>
      </c>
      <c r="G1345" t="s">
        <v>54</v>
      </c>
      <c r="H1345">
        <v>4</v>
      </c>
      <c r="I1345">
        <v>25</v>
      </c>
      <c r="J1345">
        <v>72</v>
      </c>
      <c r="K1345">
        <v>4</v>
      </c>
      <c r="L1345" t="s">
        <v>27</v>
      </c>
      <c r="M1345">
        <v>1.00281957388034</v>
      </c>
      <c r="N1345" t="s">
        <v>37</v>
      </c>
      <c r="O1345" t="s">
        <v>67</v>
      </c>
      <c r="P1345">
        <f>VLOOKUP(O1345, Coordinates!$A$2:$C$6, 2, FALSE)</f>
        <v>40.712800000000001</v>
      </c>
      <c r="Q1345">
        <f>VLOOKUP(O1345, Coordinates!$A$2:$C$6, 3, FALSE)</f>
        <v>-74.006</v>
      </c>
      <c r="R1345">
        <v>26</v>
      </c>
      <c r="S1345">
        <v>923</v>
      </c>
      <c r="T1345">
        <v>24</v>
      </c>
      <c r="U1345">
        <v>20.179505138729901</v>
      </c>
      <c r="V1345" t="s">
        <v>30</v>
      </c>
      <c r="W1345">
        <v>4.9756149973664998</v>
      </c>
      <c r="X1345" t="s">
        <v>46</v>
      </c>
      <c r="Y1345" t="s">
        <v>41</v>
      </c>
      <c r="Z1345">
        <v>238.91432304714999</v>
      </c>
    </row>
    <row r="1346" spans="1:26" x14ac:dyDescent="0.3">
      <c r="A1346" t="s">
        <v>49</v>
      </c>
      <c r="B1346" t="s">
        <v>1402</v>
      </c>
      <c r="C1346">
        <v>24.4218545252069</v>
      </c>
      <c r="D1346">
        <v>24</v>
      </c>
      <c r="E1346">
        <v>182</v>
      </c>
      <c r="F1346">
        <v>9361.1879709999994</v>
      </c>
      <c r="G1346" t="s">
        <v>54</v>
      </c>
      <c r="H1346">
        <v>72</v>
      </c>
      <c r="I1346">
        <v>20</v>
      </c>
      <c r="J1346">
        <v>89</v>
      </c>
      <c r="K1346">
        <v>1</v>
      </c>
      <c r="L1346" t="s">
        <v>36</v>
      </c>
      <c r="M1346">
        <v>13.474406260557499</v>
      </c>
      <c r="N1346" t="s">
        <v>28</v>
      </c>
      <c r="O1346" t="s">
        <v>38</v>
      </c>
      <c r="P1346">
        <f>VLOOKUP(O1346, Coordinates!$A$2:$C$6, 2, FALSE)</f>
        <v>25.761700000000001</v>
      </c>
      <c r="Q1346">
        <f>VLOOKUP(O1346, Coordinates!$A$2:$C$6, 3, FALSE)</f>
        <v>-80.191800000000001</v>
      </c>
      <c r="R1346">
        <v>20</v>
      </c>
      <c r="S1346">
        <v>778</v>
      </c>
      <c r="T1346">
        <v>13</v>
      </c>
      <c r="U1346">
        <v>57.834216897806201</v>
      </c>
      <c r="V1346" t="s">
        <v>30</v>
      </c>
      <c r="W1346">
        <v>2.3788522493578199</v>
      </c>
      <c r="X1346" t="s">
        <v>31</v>
      </c>
      <c r="Y1346" t="s">
        <v>60</v>
      </c>
      <c r="Z1346">
        <v>119.872184771598</v>
      </c>
    </row>
    <row r="1347" spans="1:26" x14ac:dyDescent="0.3">
      <c r="A1347" t="s">
        <v>61</v>
      </c>
      <c r="B1347" t="s">
        <v>1403</v>
      </c>
      <c r="C1347">
        <v>54.371904974975998</v>
      </c>
      <c r="D1347">
        <v>61</v>
      </c>
      <c r="E1347">
        <v>297</v>
      </c>
      <c r="F1347">
        <v>4401.7152007715504</v>
      </c>
      <c r="G1347" t="s">
        <v>54</v>
      </c>
      <c r="H1347">
        <v>38</v>
      </c>
      <c r="I1347">
        <v>4</v>
      </c>
      <c r="J1347">
        <v>72</v>
      </c>
      <c r="K1347">
        <v>1</v>
      </c>
      <c r="L1347" t="s">
        <v>36</v>
      </c>
      <c r="M1347">
        <v>11.887892542139101</v>
      </c>
      <c r="N1347" t="s">
        <v>51</v>
      </c>
      <c r="O1347" t="s">
        <v>58</v>
      </c>
      <c r="P1347">
        <f>VLOOKUP(O1347, Coordinates!$A$2:$C$6, 2, FALSE)</f>
        <v>34.052199999999999</v>
      </c>
      <c r="Q1347">
        <f>VLOOKUP(O1347, Coordinates!$A$2:$C$6, 3, FALSE)</f>
        <v>-118.2437</v>
      </c>
      <c r="R1347">
        <v>1</v>
      </c>
      <c r="S1347">
        <v>954</v>
      </c>
      <c r="T1347">
        <v>21</v>
      </c>
      <c r="U1347">
        <v>92.464930649999999</v>
      </c>
      <c r="V1347" t="s">
        <v>30</v>
      </c>
      <c r="W1347">
        <v>3.5911646904043502</v>
      </c>
      <c r="X1347" t="s">
        <v>46</v>
      </c>
      <c r="Y1347" t="s">
        <v>41</v>
      </c>
      <c r="Z1347">
        <v>581.02903541052001</v>
      </c>
    </row>
    <row r="1348" spans="1:26" x14ac:dyDescent="0.3">
      <c r="A1348" t="s">
        <v>82</v>
      </c>
      <c r="B1348" t="s">
        <v>1404</v>
      </c>
      <c r="C1348">
        <v>12.034010701672999</v>
      </c>
      <c r="D1348">
        <v>91</v>
      </c>
      <c r="E1348">
        <v>50</v>
      </c>
      <c r="F1348">
        <v>5173.0822519586</v>
      </c>
      <c r="G1348" t="s">
        <v>54</v>
      </c>
      <c r="H1348">
        <v>99</v>
      </c>
      <c r="I1348">
        <v>29</v>
      </c>
      <c r="J1348">
        <v>78</v>
      </c>
      <c r="K1348">
        <v>3</v>
      </c>
      <c r="L1348" t="s">
        <v>44</v>
      </c>
      <c r="M1348">
        <v>10.140005218397</v>
      </c>
      <c r="N1348" t="s">
        <v>28</v>
      </c>
      <c r="O1348" t="s">
        <v>58</v>
      </c>
      <c r="P1348">
        <f>VLOOKUP(O1348, Coordinates!$A$2:$C$6, 2, FALSE)</f>
        <v>34.052199999999999</v>
      </c>
      <c r="Q1348">
        <f>VLOOKUP(O1348, Coordinates!$A$2:$C$6, 3, FALSE)</f>
        <v>-118.2437</v>
      </c>
      <c r="R1348">
        <v>1</v>
      </c>
      <c r="S1348">
        <v>885</v>
      </c>
      <c r="T1348">
        <v>21</v>
      </c>
      <c r="U1348">
        <v>91.7780384</v>
      </c>
      <c r="V1348" t="s">
        <v>30</v>
      </c>
      <c r="W1348">
        <v>3.3887508150065999</v>
      </c>
      <c r="X1348" t="s">
        <v>52</v>
      </c>
      <c r="Y1348" t="s">
        <v>60</v>
      </c>
      <c r="Z1348">
        <v>542.44590460910194</v>
      </c>
    </row>
    <row r="1349" spans="1:26" x14ac:dyDescent="0.3">
      <c r="A1349" t="s">
        <v>72</v>
      </c>
      <c r="B1349" t="s">
        <v>1405</v>
      </c>
      <c r="C1349">
        <v>20.636147000000001</v>
      </c>
      <c r="D1349">
        <v>94</v>
      </c>
      <c r="E1349">
        <v>174</v>
      </c>
      <c r="F1349">
        <v>3231.62062056074</v>
      </c>
      <c r="G1349" t="s">
        <v>54</v>
      </c>
      <c r="H1349">
        <v>99</v>
      </c>
      <c r="I1349">
        <v>20</v>
      </c>
      <c r="J1349">
        <v>97</v>
      </c>
      <c r="K1349">
        <v>1</v>
      </c>
      <c r="L1349" t="s">
        <v>44</v>
      </c>
      <c r="M1349">
        <v>2.8055358139228699</v>
      </c>
      <c r="N1349" t="s">
        <v>51</v>
      </c>
      <c r="O1349" t="s">
        <v>38</v>
      </c>
      <c r="P1349">
        <f>VLOOKUP(O1349, Coordinates!$A$2:$C$6, 2, FALSE)</f>
        <v>25.761700000000001</v>
      </c>
      <c r="Q1349">
        <f>VLOOKUP(O1349, Coordinates!$A$2:$C$6, 3, FALSE)</f>
        <v>-80.191800000000001</v>
      </c>
      <c r="R1349">
        <v>25</v>
      </c>
      <c r="S1349">
        <v>909</v>
      </c>
      <c r="T1349">
        <v>17</v>
      </c>
      <c r="U1349">
        <v>77.467408016911705</v>
      </c>
      <c r="V1349" t="s">
        <v>30</v>
      </c>
      <c r="W1349">
        <v>2.8307504230851399</v>
      </c>
      <c r="X1349" t="s">
        <v>40</v>
      </c>
      <c r="Y1349" t="s">
        <v>32</v>
      </c>
      <c r="Z1349">
        <v>397.83026301332399</v>
      </c>
    </row>
    <row r="1350" spans="1:26" x14ac:dyDescent="0.3">
      <c r="A1350" t="s">
        <v>72</v>
      </c>
      <c r="B1350" t="s">
        <v>1406</v>
      </c>
      <c r="C1350">
        <v>38.805483526490299</v>
      </c>
      <c r="D1350">
        <v>58</v>
      </c>
      <c r="E1350">
        <v>275</v>
      </c>
      <c r="F1350">
        <v>9604.3571728063598</v>
      </c>
      <c r="G1350" t="s">
        <v>54</v>
      </c>
      <c r="H1350">
        <v>18</v>
      </c>
      <c r="I1350">
        <v>14</v>
      </c>
      <c r="J1350">
        <v>39</v>
      </c>
      <c r="K1350">
        <v>8</v>
      </c>
      <c r="L1350" t="s">
        <v>44</v>
      </c>
      <c r="M1350">
        <v>6.2948718716810497</v>
      </c>
      <c r="N1350" t="s">
        <v>45</v>
      </c>
      <c r="O1350" t="s">
        <v>38</v>
      </c>
      <c r="P1350">
        <f>VLOOKUP(O1350, Coordinates!$A$2:$C$6, 2, FALSE)</f>
        <v>25.761700000000001</v>
      </c>
      <c r="Q1350">
        <f>VLOOKUP(O1350, Coordinates!$A$2:$C$6, 3, FALSE)</f>
        <v>-80.191800000000001</v>
      </c>
      <c r="R1350">
        <v>30</v>
      </c>
      <c r="S1350">
        <v>210</v>
      </c>
      <c r="T1350">
        <v>1</v>
      </c>
      <c r="U1350">
        <v>82.264074297466905</v>
      </c>
      <c r="V1350" t="s">
        <v>39</v>
      </c>
      <c r="W1350">
        <v>4.3066798009999996</v>
      </c>
      <c r="X1350" t="s">
        <v>40</v>
      </c>
      <c r="Y1350" t="s">
        <v>60</v>
      </c>
      <c r="Z1350">
        <v>730.25323146396101</v>
      </c>
    </row>
    <row r="1351" spans="1:26" x14ac:dyDescent="0.3">
      <c r="A1351" t="s">
        <v>42</v>
      </c>
      <c r="B1351" t="s">
        <v>1407</v>
      </c>
      <c r="C1351">
        <v>75.315330032338906</v>
      </c>
      <c r="D1351">
        <v>27</v>
      </c>
      <c r="E1351">
        <v>421</v>
      </c>
      <c r="F1351">
        <v>3593.9077160329498</v>
      </c>
      <c r="G1351" t="s">
        <v>54</v>
      </c>
      <c r="H1351">
        <v>63</v>
      </c>
      <c r="I1351">
        <v>5</v>
      </c>
      <c r="J1351">
        <v>39</v>
      </c>
      <c r="K1351">
        <v>3</v>
      </c>
      <c r="L1351" t="s">
        <v>27</v>
      </c>
      <c r="M1351">
        <v>13.9405779631496</v>
      </c>
      <c r="N1351" t="s">
        <v>57</v>
      </c>
      <c r="O1351" t="s">
        <v>29</v>
      </c>
      <c r="P1351">
        <f>VLOOKUP(O1351, Coordinates!$A$2:$C$6, 2, FALSE)</f>
        <v>29.760400000000001</v>
      </c>
      <c r="Q1351">
        <f>VLOOKUP(O1351, Coordinates!$A$2:$C$6, 3, FALSE)</f>
        <v>-95.369799999999998</v>
      </c>
      <c r="R1351">
        <v>23</v>
      </c>
      <c r="S1351">
        <v>940</v>
      </c>
      <c r="T1351">
        <v>22</v>
      </c>
      <c r="U1351">
        <v>12.7255773556892</v>
      </c>
      <c r="V1351" t="s">
        <v>30</v>
      </c>
      <c r="W1351">
        <v>1.0865792481844301</v>
      </c>
      <c r="X1351" t="s">
        <v>40</v>
      </c>
      <c r="Y1351" t="s">
        <v>60</v>
      </c>
      <c r="Z1351">
        <v>663.21518846154697</v>
      </c>
    </row>
    <row r="1352" spans="1:26" x14ac:dyDescent="0.3">
      <c r="A1352" t="s">
        <v>24</v>
      </c>
      <c r="B1352" t="s">
        <v>1408</v>
      </c>
      <c r="C1352">
        <v>29.504554882385602</v>
      </c>
      <c r="D1352">
        <v>26</v>
      </c>
      <c r="E1352">
        <v>852</v>
      </c>
      <c r="F1352">
        <v>22624.0926838132</v>
      </c>
      <c r="G1352" t="s">
        <v>48</v>
      </c>
      <c r="H1352">
        <v>18</v>
      </c>
      <c r="I1352">
        <v>29</v>
      </c>
      <c r="J1352">
        <v>93</v>
      </c>
      <c r="K1352">
        <v>10</v>
      </c>
      <c r="L1352" t="s">
        <v>44</v>
      </c>
      <c r="M1352">
        <v>9.63701447097365</v>
      </c>
      <c r="N1352" t="s">
        <v>51</v>
      </c>
      <c r="O1352" t="s">
        <v>38</v>
      </c>
      <c r="P1352">
        <f>VLOOKUP(O1352, Coordinates!$A$2:$C$6, 2, FALSE)</f>
        <v>25.761700000000001</v>
      </c>
      <c r="Q1352">
        <f>VLOOKUP(O1352, Coordinates!$A$2:$C$6, 3, FALSE)</f>
        <v>-80.191800000000001</v>
      </c>
      <c r="R1352">
        <v>11</v>
      </c>
      <c r="S1352">
        <v>302</v>
      </c>
      <c r="T1352">
        <v>10</v>
      </c>
      <c r="U1352">
        <v>83.581664382442298</v>
      </c>
      <c r="V1352" t="s">
        <v>55</v>
      </c>
      <c r="W1352">
        <v>2.1086443363951402</v>
      </c>
      <c r="X1352" t="s">
        <v>46</v>
      </c>
      <c r="Y1352" t="s">
        <v>32</v>
      </c>
      <c r="Z1352">
        <v>640.30755044201396</v>
      </c>
    </row>
    <row r="1353" spans="1:26" x14ac:dyDescent="0.3">
      <c r="A1353" t="s">
        <v>24</v>
      </c>
      <c r="B1353" t="s">
        <v>1409</v>
      </c>
      <c r="C1353">
        <v>37.180346997422603</v>
      </c>
      <c r="D1353">
        <v>7</v>
      </c>
      <c r="E1353">
        <v>143</v>
      </c>
      <c r="F1353">
        <v>4785.1106585682901</v>
      </c>
      <c r="G1353" t="s">
        <v>54</v>
      </c>
      <c r="H1353">
        <v>75</v>
      </c>
      <c r="I1353">
        <v>15</v>
      </c>
      <c r="J1353">
        <v>31</v>
      </c>
      <c r="K1353">
        <v>2</v>
      </c>
      <c r="L1353" t="s">
        <v>36</v>
      </c>
      <c r="M1353">
        <v>9.4477475113643496</v>
      </c>
      <c r="N1353" t="s">
        <v>37</v>
      </c>
      <c r="O1353" t="s">
        <v>67</v>
      </c>
      <c r="P1353">
        <f>VLOOKUP(O1353, Coordinates!$A$2:$C$6, 2, FALSE)</f>
        <v>40.712800000000001</v>
      </c>
      <c r="Q1353">
        <f>VLOOKUP(O1353, Coordinates!$A$2:$C$6, 3, FALSE)</f>
        <v>-74.006</v>
      </c>
      <c r="R1353">
        <v>28</v>
      </c>
      <c r="S1353">
        <v>859</v>
      </c>
      <c r="T1353">
        <v>26</v>
      </c>
      <c r="U1353">
        <v>76.05083558007</v>
      </c>
      <c r="V1353" t="s">
        <v>30</v>
      </c>
      <c r="W1353">
        <v>0.63865279612715897</v>
      </c>
      <c r="X1353" t="s">
        <v>40</v>
      </c>
      <c r="Y1353" t="s">
        <v>32</v>
      </c>
      <c r="Z1353">
        <v>402.63230272835699</v>
      </c>
    </row>
    <row r="1354" spans="1:26" x14ac:dyDescent="0.3">
      <c r="A1354" t="s">
        <v>33</v>
      </c>
      <c r="B1354" t="s">
        <v>1410</v>
      </c>
      <c r="C1354">
        <v>70.528990678571503</v>
      </c>
      <c r="D1354">
        <v>42</v>
      </c>
      <c r="E1354">
        <v>251</v>
      </c>
      <c r="F1354">
        <v>5790.7923704191899</v>
      </c>
      <c r="G1354" t="s">
        <v>54</v>
      </c>
      <c r="H1354">
        <v>61</v>
      </c>
      <c r="I1354">
        <v>15</v>
      </c>
      <c r="J1354">
        <v>70</v>
      </c>
      <c r="K1354">
        <v>6</v>
      </c>
      <c r="L1354" t="s">
        <v>36</v>
      </c>
      <c r="M1354">
        <v>13.783772046598401</v>
      </c>
      <c r="N1354" t="s">
        <v>28</v>
      </c>
      <c r="O1354" t="s">
        <v>58</v>
      </c>
      <c r="P1354">
        <f>VLOOKUP(O1354, Coordinates!$A$2:$C$6, 2, FALSE)</f>
        <v>34.052199999999999</v>
      </c>
      <c r="Q1354">
        <f>VLOOKUP(O1354, Coordinates!$A$2:$C$6, 3, FALSE)</f>
        <v>-118.2437</v>
      </c>
      <c r="R1354">
        <v>28</v>
      </c>
      <c r="S1354">
        <v>164</v>
      </c>
      <c r="T1354">
        <v>5</v>
      </c>
      <c r="U1354">
        <v>30.5880791039516</v>
      </c>
      <c r="V1354" t="s">
        <v>39</v>
      </c>
      <c r="W1354">
        <v>0.90917735991274695</v>
      </c>
      <c r="X1354" t="s">
        <v>40</v>
      </c>
      <c r="Y1354" t="s">
        <v>60</v>
      </c>
      <c r="Z1354">
        <v>394.431154891174</v>
      </c>
    </row>
    <row r="1355" spans="1:26" x14ac:dyDescent="0.3">
      <c r="A1355" t="s">
        <v>42</v>
      </c>
      <c r="B1355" t="s">
        <v>1411</v>
      </c>
      <c r="C1355">
        <v>18.674481789361899</v>
      </c>
      <c r="D1355">
        <v>47</v>
      </c>
      <c r="E1355">
        <v>152</v>
      </c>
      <c r="F1355">
        <v>1682.8447710164201</v>
      </c>
      <c r="G1355" t="s">
        <v>48</v>
      </c>
      <c r="H1355">
        <v>12</v>
      </c>
      <c r="I1355">
        <v>27</v>
      </c>
      <c r="J1355">
        <v>30</v>
      </c>
      <c r="K1355">
        <v>4</v>
      </c>
      <c r="L1355" t="s">
        <v>44</v>
      </c>
      <c r="M1355">
        <v>8.8376721485949208</v>
      </c>
      <c r="N1355" t="s">
        <v>37</v>
      </c>
      <c r="O1355" t="s">
        <v>65</v>
      </c>
      <c r="P1355">
        <f>VLOOKUP(O1355, Coordinates!$A$2:$C$6, 2, FALSE)</f>
        <v>41.878100000000003</v>
      </c>
      <c r="Q1355">
        <f>VLOOKUP(O1355, Coordinates!$A$2:$C$6, 3, FALSE)</f>
        <v>-87.629800000000003</v>
      </c>
      <c r="R1355">
        <v>12</v>
      </c>
      <c r="S1355">
        <v>814</v>
      </c>
      <c r="T1355">
        <v>11</v>
      </c>
      <c r="U1355">
        <v>81.843566856412394</v>
      </c>
      <c r="V1355" t="s">
        <v>55</v>
      </c>
      <c r="W1355">
        <v>3.56482031788383</v>
      </c>
      <c r="X1355" t="s">
        <v>52</v>
      </c>
      <c r="Y1355" t="s">
        <v>60</v>
      </c>
      <c r="Z1355">
        <v>886.10354526395599</v>
      </c>
    </row>
    <row r="1356" spans="1:26" x14ac:dyDescent="0.3">
      <c r="A1356" t="s">
        <v>33</v>
      </c>
      <c r="B1356" t="s">
        <v>1412</v>
      </c>
      <c r="C1356">
        <v>61.5591678195673</v>
      </c>
      <c r="D1356">
        <v>53</v>
      </c>
      <c r="E1356">
        <v>234</v>
      </c>
      <c r="F1356">
        <v>7283.9390814502503</v>
      </c>
      <c r="G1356" t="s">
        <v>48</v>
      </c>
      <c r="H1356">
        <v>24</v>
      </c>
      <c r="I1356">
        <v>25</v>
      </c>
      <c r="J1356">
        <v>46</v>
      </c>
      <c r="K1356">
        <v>4</v>
      </c>
      <c r="L1356" t="s">
        <v>44</v>
      </c>
      <c r="M1356">
        <v>9.3667254799999995</v>
      </c>
      <c r="N1356" t="s">
        <v>51</v>
      </c>
      <c r="O1356" t="s">
        <v>29</v>
      </c>
      <c r="P1356">
        <f>VLOOKUP(O1356, Coordinates!$A$2:$C$6, 2, FALSE)</f>
        <v>29.760400000000001</v>
      </c>
      <c r="Q1356">
        <f>VLOOKUP(O1356, Coordinates!$A$2:$C$6, 3, FALSE)</f>
        <v>-95.369799999999998</v>
      </c>
      <c r="R1356">
        <v>15</v>
      </c>
      <c r="S1356">
        <v>260</v>
      </c>
      <c r="T1356">
        <v>10</v>
      </c>
      <c r="U1356">
        <v>93.796495484739495</v>
      </c>
      <c r="V1356" t="s">
        <v>55</v>
      </c>
      <c r="W1356">
        <v>2.42133938164001E-2</v>
      </c>
      <c r="X1356" t="s">
        <v>31</v>
      </c>
      <c r="Y1356" t="s">
        <v>60</v>
      </c>
      <c r="Z1356">
        <v>589.56828947651604</v>
      </c>
    </row>
    <row r="1357" spans="1:26" x14ac:dyDescent="0.3">
      <c r="A1357" t="s">
        <v>24</v>
      </c>
      <c r="B1357" t="s">
        <v>1413</v>
      </c>
      <c r="C1357">
        <v>34.6596216408009</v>
      </c>
      <c r="D1357">
        <v>59</v>
      </c>
      <c r="E1357">
        <v>796</v>
      </c>
      <c r="F1357">
        <v>24830.1529434697</v>
      </c>
      <c r="H1357">
        <v>99</v>
      </c>
      <c r="I1357">
        <v>16</v>
      </c>
      <c r="J1357">
        <v>36</v>
      </c>
      <c r="K1357">
        <v>2</v>
      </c>
      <c r="L1357" t="s">
        <v>36</v>
      </c>
      <c r="M1357">
        <v>5.8400197226670398</v>
      </c>
      <c r="N1357" t="s">
        <v>37</v>
      </c>
      <c r="O1357" t="s">
        <v>29</v>
      </c>
      <c r="P1357">
        <f>VLOOKUP(O1357, Coordinates!$A$2:$C$6, 2, FALSE)</f>
        <v>29.760400000000001</v>
      </c>
      <c r="Q1357">
        <f>VLOOKUP(O1357, Coordinates!$A$2:$C$6, 3, FALSE)</f>
        <v>-95.369799999999998</v>
      </c>
      <c r="R1357">
        <v>14</v>
      </c>
      <c r="S1357">
        <v>513</v>
      </c>
      <c r="T1357">
        <v>6</v>
      </c>
      <c r="U1357">
        <v>86.292796804548104</v>
      </c>
      <c r="V1357" t="s">
        <v>30</v>
      </c>
      <c r="W1357">
        <v>4.4491032568482503</v>
      </c>
      <c r="X1357" t="s">
        <v>46</v>
      </c>
      <c r="Y1357" t="s">
        <v>41</v>
      </c>
      <c r="Z1357">
        <v>345.01077111153899</v>
      </c>
    </row>
    <row r="1358" spans="1:26" x14ac:dyDescent="0.3">
      <c r="A1358" t="s">
        <v>42</v>
      </c>
      <c r="B1358" t="s">
        <v>1414</v>
      </c>
      <c r="C1358">
        <v>92.924609745928606</v>
      </c>
      <c r="D1358">
        <v>38</v>
      </c>
      <c r="E1358">
        <v>641</v>
      </c>
      <c r="G1358" t="s">
        <v>26</v>
      </c>
      <c r="H1358">
        <v>88</v>
      </c>
      <c r="I1358">
        <v>16</v>
      </c>
      <c r="J1358">
        <v>44</v>
      </c>
      <c r="K1358">
        <v>2</v>
      </c>
      <c r="L1358" t="s">
        <v>27</v>
      </c>
      <c r="M1358">
        <v>6.2001730092532004</v>
      </c>
      <c r="N1358" t="s">
        <v>28</v>
      </c>
      <c r="O1358" t="s">
        <v>29</v>
      </c>
      <c r="P1358">
        <f>VLOOKUP(O1358, Coordinates!$A$2:$C$6, 2, FALSE)</f>
        <v>29.760400000000001</v>
      </c>
      <c r="Q1358">
        <f>VLOOKUP(O1358, Coordinates!$A$2:$C$6, 3, FALSE)</f>
        <v>-95.369799999999998</v>
      </c>
      <c r="R1358">
        <v>23</v>
      </c>
      <c r="S1358">
        <v>744</v>
      </c>
      <c r="T1358">
        <v>15</v>
      </c>
      <c r="U1358">
        <v>30.9624246640881</v>
      </c>
      <c r="V1358" t="s">
        <v>39</v>
      </c>
      <c r="W1358">
        <v>3.1659224163432498</v>
      </c>
      <c r="X1358" t="s">
        <v>40</v>
      </c>
      <c r="Y1358" t="s">
        <v>60</v>
      </c>
      <c r="Z1358">
        <v>588.89866667367005</v>
      </c>
    </row>
    <row r="1359" spans="1:26" x14ac:dyDescent="0.3">
      <c r="A1359" t="s">
        <v>42</v>
      </c>
      <c r="B1359" t="s">
        <v>1415</v>
      </c>
      <c r="C1359">
        <v>11.49173996</v>
      </c>
      <c r="D1359">
        <v>69</v>
      </c>
      <c r="E1359">
        <v>906</v>
      </c>
      <c r="F1359">
        <v>5224.9137593863898</v>
      </c>
      <c r="G1359" t="s">
        <v>54</v>
      </c>
      <c r="H1359">
        <v>4</v>
      </c>
      <c r="I1359">
        <v>29</v>
      </c>
      <c r="J1359">
        <v>47</v>
      </c>
      <c r="K1359">
        <v>6</v>
      </c>
      <c r="L1359" t="s">
        <v>36</v>
      </c>
      <c r="M1359">
        <v>10.598496073798101</v>
      </c>
      <c r="N1359" t="s">
        <v>57</v>
      </c>
      <c r="O1359" t="s">
        <v>67</v>
      </c>
      <c r="P1359">
        <f>VLOOKUP(O1359, Coordinates!$A$2:$C$6, 2, FALSE)</f>
        <v>40.712800000000001</v>
      </c>
      <c r="Q1359">
        <f>VLOOKUP(O1359, Coordinates!$A$2:$C$6, 3, FALSE)</f>
        <v>-74.006</v>
      </c>
      <c r="R1359">
        <v>1</v>
      </c>
      <c r="S1359">
        <v>789</v>
      </c>
      <c r="T1359">
        <v>9</v>
      </c>
      <c r="U1359">
        <v>49.559801146860401</v>
      </c>
      <c r="V1359" t="s">
        <v>30</v>
      </c>
      <c r="W1359">
        <v>2.2045252689999999</v>
      </c>
      <c r="X1359" t="s">
        <v>52</v>
      </c>
      <c r="Y1359" t="s">
        <v>41</v>
      </c>
      <c r="Z1359">
        <v>340.09373830460299</v>
      </c>
    </row>
    <row r="1360" spans="1:26" x14ac:dyDescent="0.3">
      <c r="A1360" t="s">
        <v>42</v>
      </c>
      <c r="B1360" t="s">
        <v>1416</v>
      </c>
      <c r="C1360">
        <v>45.885601220625297</v>
      </c>
      <c r="D1360">
        <v>87</v>
      </c>
      <c r="E1360">
        <v>378</v>
      </c>
      <c r="F1360">
        <v>7482.9062483070302</v>
      </c>
      <c r="G1360" t="s">
        <v>54</v>
      </c>
      <c r="H1360">
        <v>41</v>
      </c>
      <c r="I1360">
        <v>25</v>
      </c>
      <c r="J1360">
        <v>69</v>
      </c>
      <c r="K1360">
        <v>5</v>
      </c>
      <c r="L1360" t="s">
        <v>36</v>
      </c>
      <c r="M1360">
        <v>5.4860930328383599</v>
      </c>
      <c r="N1360" t="s">
        <v>37</v>
      </c>
      <c r="O1360" t="s">
        <v>38</v>
      </c>
      <c r="P1360">
        <f>VLOOKUP(O1360, Coordinates!$A$2:$C$6, 2, FALSE)</f>
        <v>25.761700000000001</v>
      </c>
      <c r="Q1360">
        <f>VLOOKUP(O1360, Coordinates!$A$2:$C$6, 3, FALSE)</f>
        <v>-80.191800000000001</v>
      </c>
      <c r="R1360">
        <v>1</v>
      </c>
      <c r="S1360">
        <v>804</v>
      </c>
      <c r="T1360">
        <v>8</v>
      </c>
      <c r="U1360">
        <v>60.677135951714902</v>
      </c>
      <c r="V1360" t="s">
        <v>30</v>
      </c>
      <c r="W1360">
        <v>1.6568055362346199</v>
      </c>
      <c r="X1360" t="s">
        <v>46</v>
      </c>
      <c r="Y1360" t="s">
        <v>41</v>
      </c>
      <c r="Z1360">
        <v>266.76913545188103</v>
      </c>
    </row>
    <row r="1361" spans="1:26" x14ac:dyDescent="0.3">
      <c r="A1361" t="s">
        <v>24</v>
      </c>
      <c r="B1361" t="s">
        <v>1417</v>
      </c>
      <c r="C1361">
        <v>36.64334006</v>
      </c>
      <c r="D1361">
        <v>92</v>
      </c>
      <c r="E1361">
        <v>84</v>
      </c>
      <c r="F1361">
        <v>2770.2365085614001</v>
      </c>
      <c r="G1361" t="s">
        <v>26</v>
      </c>
      <c r="H1361">
        <v>38</v>
      </c>
      <c r="I1361">
        <v>9</v>
      </c>
      <c r="J1361">
        <v>79</v>
      </c>
      <c r="K1361">
        <v>9</v>
      </c>
      <c r="L1361" t="s">
        <v>36</v>
      </c>
      <c r="M1361">
        <v>8.8275108882299005</v>
      </c>
      <c r="N1361" t="s">
        <v>45</v>
      </c>
      <c r="O1361" t="s">
        <v>38</v>
      </c>
      <c r="P1361">
        <f>VLOOKUP(O1361, Coordinates!$A$2:$C$6, 2, FALSE)</f>
        <v>25.761700000000001</v>
      </c>
      <c r="Q1361">
        <f>VLOOKUP(O1361, Coordinates!$A$2:$C$6, 3, FALSE)</f>
        <v>-80.191800000000001</v>
      </c>
      <c r="R1361">
        <v>27</v>
      </c>
      <c r="S1361">
        <v>365</v>
      </c>
      <c r="T1361">
        <v>23</v>
      </c>
      <c r="U1361">
        <v>75.040213335673499</v>
      </c>
      <c r="V1361" t="s">
        <v>39</v>
      </c>
      <c r="W1361">
        <v>4.3666843462285998</v>
      </c>
      <c r="X1361" t="s">
        <v>52</v>
      </c>
      <c r="Y1361" t="s">
        <v>41</v>
      </c>
      <c r="Z1361">
        <v>353.95876206298999</v>
      </c>
    </row>
    <row r="1362" spans="1:26" x14ac:dyDescent="0.3">
      <c r="A1362" t="s">
        <v>33</v>
      </c>
      <c r="B1362" t="s">
        <v>1418</v>
      </c>
      <c r="C1362">
        <v>48.512110108484499</v>
      </c>
      <c r="D1362">
        <v>98</v>
      </c>
      <c r="E1362">
        <v>610</v>
      </c>
      <c r="F1362">
        <v>4559.4016856521303</v>
      </c>
      <c r="G1362" t="s">
        <v>26</v>
      </c>
      <c r="H1362">
        <v>29</v>
      </c>
      <c r="I1362">
        <v>1</v>
      </c>
      <c r="J1362">
        <v>41</v>
      </c>
      <c r="K1362">
        <v>4</v>
      </c>
      <c r="L1362" t="s">
        <v>44</v>
      </c>
      <c r="M1362">
        <v>4.9087536761921102</v>
      </c>
      <c r="N1362" t="s">
        <v>28</v>
      </c>
      <c r="O1362" t="s">
        <v>29</v>
      </c>
      <c r="P1362">
        <f>VLOOKUP(O1362, Coordinates!$A$2:$C$6, 2, FALSE)</f>
        <v>29.760400000000001</v>
      </c>
      <c r="Q1362">
        <f>VLOOKUP(O1362, Coordinates!$A$2:$C$6, 3, FALSE)</f>
        <v>-95.369799999999998</v>
      </c>
      <c r="R1362">
        <v>24</v>
      </c>
      <c r="S1362">
        <v>671</v>
      </c>
      <c r="T1362">
        <v>23</v>
      </c>
      <c r="U1362">
        <v>90.269514146376395</v>
      </c>
      <c r="V1362" t="s">
        <v>30</v>
      </c>
      <c r="W1362">
        <v>4.6078129322693702</v>
      </c>
      <c r="X1362" t="s">
        <v>31</v>
      </c>
      <c r="Y1362" t="s">
        <v>32</v>
      </c>
      <c r="Z1362">
        <v>666.00323730000002</v>
      </c>
    </row>
    <row r="1363" spans="1:26" x14ac:dyDescent="0.3">
      <c r="A1363" t="s">
        <v>33</v>
      </c>
      <c r="B1363" t="s">
        <v>1419</v>
      </c>
      <c r="C1363">
        <v>13.749049057125699</v>
      </c>
      <c r="D1363">
        <v>53</v>
      </c>
      <c r="E1363">
        <v>742</v>
      </c>
      <c r="F1363">
        <v>3901.04612272849</v>
      </c>
      <c r="G1363" t="s">
        <v>35</v>
      </c>
      <c r="H1363">
        <v>4</v>
      </c>
      <c r="I1363">
        <v>5</v>
      </c>
      <c r="J1363">
        <v>89</v>
      </c>
      <c r="K1363">
        <v>5</v>
      </c>
      <c r="L1363" t="s">
        <v>27</v>
      </c>
      <c r="M1363">
        <v>3.3257533313622298</v>
      </c>
      <c r="N1363" t="s">
        <v>28</v>
      </c>
      <c r="O1363" t="s">
        <v>58</v>
      </c>
      <c r="P1363">
        <f>VLOOKUP(O1363, Coordinates!$A$2:$C$6, 2, FALSE)</f>
        <v>34.052199999999999</v>
      </c>
      <c r="Q1363">
        <f>VLOOKUP(O1363, Coordinates!$A$2:$C$6, 3, FALSE)</f>
        <v>-118.2437</v>
      </c>
      <c r="R1363">
        <v>23</v>
      </c>
      <c r="S1363">
        <v>304</v>
      </c>
      <c r="T1363">
        <v>6</v>
      </c>
      <c r="U1363">
        <v>67.345308952116895</v>
      </c>
      <c r="V1363" t="s">
        <v>30</v>
      </c>
      <c r="W1363">
        <v>3.5616116251763001</v>
      </c>
      <c r="X1363" t="s">
        <v>40</v>
      </c>
      <c r="Y1363" t="s">
        <v>32</v>
      </c>
      <c r="Z1363">
        <v>564.25422769366196</v>
      </c>
    </row>
    <row r="1364" spans="1:26" x14ac:dyDescent="0.3">
      <c r="A1364" t="s">
        <v>42</v>
      </c>
      <c r="B1364" t="s">
        <v>1420</v>
      </c>
      <c r="C1364">
        <v>57.571006529999998</v>
      </c>
      <c r="D1364">
        <v>15</v>
      </c>
      <c r="E1364">
        <v>69</v>
      </c>
      <c r="F1364">
        <v>6493.5447997964802</v>
      </c>
      <c r="G1364" t="s">
        <v>35</v>
      </c>
      <c r="H1364">
        <v>80</v>
      </c>
      <c r="I1364">
        <v>9</v>
      </c>
      <c r="J1364">
        <v>89</v>
      </c>
      <c r="K1364">
        <v>1</v>
      </c>
      <c r="L1364" t="s">
        <v>27</v>
      </c>
      <c r="M1364">
        <v>7.36163442514182</v>
      </c>
      <c r="N1364" t="s">
        <v>45</v>
      </c>
      <c r="O1364" t="s">
        <v>38</v>
      </c>
      <c r="P1364">
        <f>VLOOKUP(O1364, Coordinates!$A$2:$C$6, 2, FALSE)</f>
        <v>25.761700000000001</v>
      </c>
      <c r="Q1364">
        <f>VLOOKUP(O1364, Coordinates!$A$2:$C$6, 3, FALSE)</f>
        <v>-80.191800000000001</v>
      </c>
      <c r="R1364">
        <v>25</v>
      </c>
      <c r="S1364">
        <v>766</v>
      </c>
      <c r="T1364">
        <v>6</v>
      </c>
      <c r="U1364">
        <v>33.164921267549602</v>
      </c>
      <c r="V1364" t="s">
        <v>39</v>
      </c>
      <c r="W1364">
        <v>3.7825303465715101</v>
      </c>
      <c r="X1364" t="s">
        <v>46</v>
      </c>
      <c r="Y1364" t="s">
        <v>41</v>
      </c>
      <c r="Z1364">
        <v>248.05032479637001</v>
      </c>
    </row>
    <row r="1365" spans="1:26" x14ac:dyDescent="0.3">
      <c r="A1365" t="s">
        <v>61</v>
      </c>
      <c r="B1365" t="s">
        <v>1421</v>
      </c>
      <c r="C1365">
        <v>65.955031338598602</v>
      </c>
      <c r="D1365">
        <v>96</v>
      </c>
      <c r="E1365">
        <v>92</v>
      </c>
      <c r="F1365">
        <v>9451.9782847921597</v>
      </c>
      <c r="G1365" t="s">
        <v>54</v>
      </c>
      <c r="H1365">
        <v>17</v>
      </c>
      <c r="I1365">
        <v>20</v>
      </c>
      <c r="J1365">
        <v>36</v>
      </c>
      <c r="K1365">
        <v>10</v>
      </c>
      <c r="L1365" t="s">
        <v>44</v>
      </c>
      <c r="M1365">
        <v>4.0442441737974999</v>
      </c>
      <c r="N1365" t="s">
        <v>51</v>
      </c>
      <c r="O1365" t="s">
        <v>58</v>
      </c>
      <c r="P1365">
        <f>VLOOKUP(O1365, Coordinates!$A$2:$C$6, 2, FALSE)</f>
        <v>34.052199999999999</v>
      </c>
      <c r="Q1365">
        <f>VLOOKUP(O1365, Coordinates!$A$2:$C$6, 3, FALSE)</f>
        <v>-118.2437</v>
      </c>
      <c r="R1365">
        <v>26</v>
      </c>
      <c r="S1365">
        <v>683</v>
      </c>
      <c r="T1365">
        <v>17</v>
      </c>
      <c r="U1365">
        <v>80.495902889052502</v>
      </c>
      <c r="V1365" t="s">
        <v>30</v>
      </c>
      <c r="W1365">
        <v>0.35468089720310197</v>
      </c>
      <c r="X1365" t="s">
        <v>46</v>
      </c>
      <c r="Y1365" t="s">
        <v>41</v>
      </c>
      <c r="Z1365">
        <v>947.41664114327705</v>
      </c>
    </row>
    <row r="1366" spans="1:26" x14ac:dyDescent="0.3">
      <c r="A1366" t="s">
        <v>49</v>
      </c>
      <c r="B1366" t="s">
        <v>1422</v>
      </c>
      <c r="C1366">
        <v>71.860269544098202</v>
      </c>
      <c r="D1366">
        <v>26</v>
      </c>
      <c r="E1366">
        <v>92</v>
      </c>
      <c r="F1366">
        <v>7045.7035642973497</v>
      </c>
      <c r="G1366" t="s">
        <v>35</v>
      </c>
      <c r="H1366">
        <v>20</v>
      </c>
      <c r="I1366">
        <v>5</v>
      </c>
      <c r="J1366">
        <v>12</v>
      </c>
      <c r="K1366">
        <v>3</v>
      </c>
      <c r="L1366" t="s">
        <v>36</v>
      </c>
      <c r="M1366">
        <v>13.5789202711415</v>
      </c>
      <c r="N1366" t="s">
        <v>45</v>
      </c>
      <c r="O1366" t="s">
        <v>38</v>
      </c>
      <c r="P1366">
        <f>VLOOKUP(O1366, Coordinates!$A$2:$C$6, 2, FALSE)</f>
        <v>25.761700000000001</v>
      </c>
      <c r="Q1366">
        <f>VLOOKUP(O1366, Coordinates!$A$2:$C$6, 3, FALSE)</f>
        <v>-80.191800000000001</v>
      </c>
      <c r="R1366">
        <v>27</v>
      </c>
      <c r="S1366">
        <v>255</v>
      </c>
      <c r="T1366">
        <v>12</v>
      </c>
      <c r="U1366">
        <v>28.238659415850801</v>
      </c>
      <c r="V1366" t="s">
        <v>39</v>
      </c>
      <c r="W1366">
        <v>3.9856651144852102</v>
      </c>
      <c r="X1366" t="s">
        <v>40</v>
      </c>
      <c r="Y1366" t="s">
        <v>41</v>
      </c>
      <c r="Z1366">
        <v>548.46649177884001</v>
      </c>
    </row>
    <row r="1367" spans="1:26" x14ac:dyDescent="0.3">
      <c r="A1367" t="s">
        <v>24</v>
      </c>
      <c r="B1367" t="s">
        <v>1423</v>
      </c>
      <c r="C1367">
        <v>24.2130680667637</v>
      </c>
      <c r="D1367">
        <v>48</v>
      </c>
      <c r="E1367">
        <v>717</v>
      </c>
      <c r="F1367">
        <v>15624.692823482599</v>
      </c>
      <c r="G1367" t="s">
        <v>26</v>
      </c>
      <c r="H1367">
        <v>85</v>
      </c>
      <c r="I1367">
        <v>4</v>
      </c>
      <c r="J1367">
        <v>58</v>
      </c>
      <c r="K1367">
        <v>5</v>
      </c>
      <c r="L1367" t="s">
        <v>44</v>
      </c>
      <c r="M1367">
        <v>5.2505815215784599</v>
      </c>
      <c r="N1367" t="s">
        <v>51</v>
      </c>
      <c r="O1367" t="s">
        <v>29</v>
      </c>
      <c r="P1367">
        <f>VLOOKUP(O1367, Coordinates!$A$2:$C$6, 2, FALSE)</f>
        <v>29.760400000000001</v>
      </c>
      <c r="Q1367">
        <f>VLOOKUP(O1367, Coordinates!$A$2:$C$6, 3, FALSE)</f>
        <v>-95.369799999999998</v>
      </c>
      <c r="R1367">
        <v>14</v>
      </c>
      <c r="S1367">
        <v>272</v>
      </c>
      <c r="T1367">
        <v>7</v>
      </c>
      <c r="U1367">
        <v>78.023459078803398</v>
      </c>
      <c r="V1367" t="s">
        <v>55</v>
      </c>
      <c r="W1367">
        <v>0.923171474045417</v>
      </c>
      <c r="X1367" t="s">
        <v>52</v>
      </c>
      <c r="Y1367" t="s">
        <v>32</v>
      </c>
      <c r="Z1367">
        <v>814.35272131345596</v>
      </c>
    </row>
    <row r="1368" spans="1:26" x14ac:dyDescent="0.3">
      <c r="A1368" t="s">
        <v>49</v>
      </c>
      <c r="B1368" t="s">
        <v>1424</v>
      </c>
      <c r="C1368">
        <v>58.547697247732401</v>
      </c>
      <c r="D1368">
        <v>95</v>
      </c>
      <c r="E1368">
        <v>730</v>
      </c>
      <c r="F1368">
        <v>5146.1647613391997</v>
      </c>
      <c r="G1368" t="s">
        <v>54</v>
      </c>
      <c r="H1368">
        <v>49</v>
      </c>
      <c r="I1368">
        <v>29</v>
      </c>
      <c r="J1368">
        <v>94</v>
      </c>
      <c r="K1368">
        <v>5</v>
      </c>
      <c r="L1368" t="s">
        <v>44</v>
      </c>
      <c r="M1368">
        <v>9.3636293375504902</v>
      </c>
      <c r="N1368" t="s">
        <v>57</v>
      </c>
      <c r="O1368" t="s">
        <v>29</v>
      </c>
      <c r="P1368">
        <f>VLOOKUP(O1368, Coordinates!$A$2:$C$6, 2, FALSE)</f>
        <v>29.760400000000001</v>
      </c>
      <c r="Q1368">
        <f>VLOOKUP(O1368, Coordinates!$A$2:$C$6, 3, FALSE)</f>
        <v>-95.369799999999998</v>
      </c>
      <c r="R1368">
        <v>28</v>
      </c>
      <c r="S1368">
        <v>407</v>
      </c>
      <c r="T1368">
        <v>5</v>
      </c>
      <c r="U1368">
        <v>10.5255924160598</v>
      </c>
      <c r="V1368" t="s">
        <v>30</v>
      </c>
      <c r="W1368">
        <v>3.93136656615604</v>
      </c>
      <c r="X1368" t="s">
        <v>31</v>
      </c>
      <c r="Y1368" t="s">
        <v>32</v>
      </c>
      <c r="Z1368">
        <v>397.61958460080803</v>
      </c>
    </row>
    <row r="1369" spans="1:26" x14ac:dyDescent="0.3">
      <c r="A1369" t="s">
        <v>49</v>
      </c>
      <c r="B1369" t="s">
        <v>1425</v>
      </c>
      <c r="C1369">
        <v>47.815215119196701</v>
      </c>
      <c r="D1369">
        <v>19</v>
      </c>
      <c r="E1369">
        <v>208</v>
      </c>
      <c r="F1369">
        <v>9017.4171835956404</v>
      </c>
      <c r="G1369" t="s">
        <v>48</v>
      </c>
      <c r="H1369">
        <v>5</v>
      </c>
      <c r="I1369">
        <v>16</v>
      </c>
      <c r="J1369">
        <v>39</v>
      </c>
      <c r="K1369">
        <v>4</v>
      </c>
      <c r="L1369" t="s">
        <v>27</v>
      </c>
      <c r="M1369">
        <v>4.6881857676328504</v>
      </c>
      <c r="N1369" t="s">
        <v>51</v>
      </c>
      <c r="O1369" t="s">
        <v>58</v>
      </c>
      <c r="P1369">
        <f>VLOOKUP(O1369, Coordinates!$A$2:$C$6, 2, FALSE)</f>
        <v>34.052199999999999</v>
      </c>
      <c r="Q1369">
        <f>VLOOKUP(O1369, Coordinates!$A$2:$C$6, 3, FALSE)</f>
        <v>-118.2437</v>
      </c>
      <c r="R1369">
        <v>27</v>
      </c>
      <c r="S1369">
        <v>549</v>
      </c>
      <c r="T1369">
        <v>16</v>
      </c>
      <c r="U1369">
        <v>61.2793453517111</v>
      </c>
      <c r="V1369" t="s">
        <v>39</v>
      </c>
      <c r="W1369">
        <v>3.5979934237817899</v>
      </c>
      <c r="X1369" t="s">
        <v>46</v>
      </c>
      <c r="Y1369" t="s">
        <v>32</v>
      </c>
      <c r="Z1369">
        <v>961.80345982916594</v>
      </c>
    </row>
    <row r="1370" spans="1:26" x14ac:dyDescent="0.3">
      <c r="A1370" t="s">
        <v>33</v>
      </c>
      <c r="B1370" t="s">
        <v>1426</v>
      </c>
      <c r="C1370">
        <v>68.845323681463995</v>
      </c>
      <c r="D1370">
        <v>9</v>
      </c>
      <c r="E1370">
        <v>950</v>
      </c>
      <c r="F1370">
        <v>1850.16183220978</v>
      </c>
      <c r="G1370" t="s">
        <v>48</v>
      </c>
      <c r="H1370">
        <v>6</v>
      </c>
      <c r="I1370">
        <v>28</v>
      </c>
      <c r="J1370">
        <v>31</v>
      </c>
      <c r="K1370">
        <v>10</v>
      </c>
      <c r="L1370" t="s">
        <v>27</v>
      </c>
      <c r="M1370">
        <v>4.6122696781467303</v>
      </c>
      <c r="N1370" t="s">
        <v>57</v>
      </c>
      <c r="O1370" t="s">
        <v>67</v>
      </c>
      <c r="P1370">
        <f>VLOOKUP(O1370, Coordinates!$A$2:$C$6, 2, FALSE)</f>
        <v>40.712800000000001</v>
      </c>
      <c r="Q1370">
        <f>VLOOKUP(O1370, Coordinates!$A$2:$C$6, 3, FALSE)</f>
        <v>-74.006</v>
      </c>
      <c r="R1370">
        <v>23</v>
      </c>
      <c r="S1370">
        <v>161</v>
      </c>
      <c r="T1370">
        <v>23</v>
      </c>
      <c r="U1370">
        <v>17.955752222946401</v>
      </c>
      <c r="V1370" t="s">
        <v>55</v>
      </c>
      <c r="W1370">
        <v>2.4908031366146202</v>
      </c>
      <c r="X1370" t="s">
        <v>46</v>
      </c>
      <c r="Y1370" t="s">
        <v>41</v>
      </c>
      <c r="Z1370">
        <v>776.88378793906099</v>
      </c>
    </row>
    <row r="1371" spans="1:26" x14ac:dyDescent="0.3">
      <c r="A1371" t="s">
        <v>33</v>
      </c>
      <c r="B1371" t="s">
        <v>1427</v>
      </c>
      <c r="C1371">
        <v>60.437911895857702</v>
      </c>
      <c r="D1371">
        <v>64</v>
      </c>
      <c r="E1371">
        <v>979</v>
      </c>
      <c r="F1371">
        <v>9899.8814089999996</v>
      </c>
      <c r="G1371" t="s">
        <v>26</v>
      </c>
      <c r="H1371">
        <v>6</v>
      </c>
      <c r="I1371">
        <v>26</v>
      </c>
      <c r="J1371">
        <v>28</v>
      </c>
      <c r="K1371">
        <v>3</v>
      </c>
      <c r="L1371" t="s">
        <v>44</v>
      </c>
      <c r="M1371">
        <v>5.908905141</v>
      </c>
      <c r="N1371" t="s">
        <v>57</v>
      </c>
      <c r="O1371" t="s">
        <v>67</v>
      </c>
      <c r="P1371">
        <f>VLOOKUP(O1371, Coordinates!$A$2:$C$6, 2, FALSE)</f>
        <v>40.712800000000001</v>
      </c>
      <c r="Q1371">
        <f>VLOOKUP(O1371, Coordinates!$A$2:$C$6, 3, FALSE)</f>
        <v>-74.006</v>
      </c>
      <c r="R1371">
        <v>6</v>
      </c>
      <c r="S1371">
        <v>472</v>
      </c>
      <c r="T1371">
        <v>6</v>
      </c>
      <c r="U1371">
        <v>46.683957716381897</v>
      </c>
      <c r="V1371" t="s">
        <v>39</v>
      </c>
      <c r="W1371">
        <v>4.42920551545504</v>
      </c>
      <c r="X1371" t="s">
        <v>31</v>
      </c>
      <c r="Y1371" t="s">
        <v>41</v>
      </c>
      <c r="Z1371">
        <v>509.05618357963903</v>
      </c>
    </row>
    <row r="1372" spans="1:26" x14ac:dyDescent="0.3">
      <c r="A1372" t="s">
        <v>61</v>
      </c>
      <c r="B1372" t="s">
        <v>1428</v>
      </c>
      <c r="C1372">
        <v>54.946840858117802</v>
      </c>
      <c r="D1372">
        <v>93</v>
      </c>
      <c r="E1372">
        <v>605</v>
      </c>
      <c r="F1372">
        <v>9541.6245428087896</v>
      </c>
      <c r="G1372" t="s">
        <v>35</v>
      </c>
      <c r="H1372">
        <v>65</v>
      </c>
      <c r="I1372">
        <v>16</v>
      </c>
      <c r="J1372">
        <v>40</v>
      </c>
      <c r="K1372">
        <v>9</v>
      </c>
      <c r="L1372" t="s">
        <v>44</v>
      </c>
      <c r="M1372">
        <v>13.8222439424932</v>
      </c>
      <c r="N1372" t="s">
        <v>45</v>
      </c>
      <c r="O1372" t="s">
        <v>38</v>
      </c>
      <c r="P1372">
        <f>VLOOKUP(O1372, Coordinates!$A$2:$C$6, 2, FALSE)</f>
        <v>25.761700000000001</v>
      </c>
      <c r="Q1372">
        <f>VLOOKUP(O1372, Coordinates!$A$2:$C$6, 3, FALSE)</f>
        <v>-80.191800000000001</v>
      </c>
      <c r="R1372">
        <v>27</v>
      </c>
      <c r="S1372">
        <v>559</v>
      </c>
      <c r="T1372">
        <v>8</v>
      </c>
      <c r="U1372">
        <v>67.144018627937498</v>
      </c>
      <c r="V1372" t="s">
        <v>55</v>
      </c>
      <c r="W1372">
        <v>3.76804579539581</v>
      </c>
      <c r="X1372" t="s">
        <v>46</v>
      </c>
      <c r="Y1372" t="s">
        <v>60</v>
      </c>
      <c r="Z1372">
        <v>912.06354926485005</v>
      </c>
    </row>
    <row r="1373" spans="1:26" x14ac:dyDescent="0.3">
      <c r="A1373" t="s">
        <v>49</v>
      </c>
      <c r="B1373" t="s">
        <v>1429</v>
      </c>
      <c r="C1373">
        <v>28.7048148496336</v>
      </c>
      <c r="D1373">
        <v>54</v>
      </c>
      <c r="E1373">
        <v>480</v>
      </c>
      <c r="F1373">
        <v>1704.47032656888</v>
      </c>
      <c r="G1373" t="s">
        <v>48</v>
      </c>
      <c r="H1373">
        <v>0</v>
      </c>
      <c r="I1373">
        <v>18</v>
      </c>
      <c r="J1373">
        <v>29</v>
      </c>
      <c r="K1373">
        <v>1</v>
      </c>
      <c r="L1373" t="s">
        <v>27</v>
      </c>
      <c r="M1373">
        <v>6.4809683359937296</v>
      </c>
      <c r="N1373" t="s">
        <v>57</v>
      </c>
      <c r="O1373" t="s">
        <v>65</v>
      </c>
      <c r="P1373">
        <f>VLOOKUP(O1373, Coordinates!$A$2:$C$6, 2, FALSE)</f>
        <v>41.878100000000003</v>
      </c>
      <c r="Q1373">
        <f>VLOOKUP(O1373, Coordinates!$A$2:$C$6, 3, FALSE)</f>
        <v>-87.629800000000003</v>
      </c>
      <c r="R1373">
        <v>20</v>
      </c>
      <c r="S1373">
        <v>574</v>
      </c>
      <c r="T1373">
        <v>3</v>
      </c>
      <c r="U1373">
        <v>72.063864603272407</v>
      </c>
      <c r="V1373" t="s">
        <v>39</v>
      </c>
      <c r="W1373">
        <v>2.2598279271674699</v>
      </c>
      <c r="X1373" t="s">
        <v>31</v>
      </c>
      <c r="Y1373" t="s">
        <v>60</v>
      </c>
      <c r="Z1373">
        <v>745.71983254025804</v>
      </c>
    </row>
    <row r="1374" spans="1:26" x14ac:dyDescent="0.3">
      <c r="A1374" t="s">
        <v>49</v>
      </c>
      <c r="B1374" t="s">
        <v>1430</v>
      </c>
      <c r="C1374">
        <v>5.1917591860822201</v>
      </c>
      <c r="D1374">
        <v>51</v>
      </c>
      <c r="E1374">
        <v>577</v>
      </c>
      <c r="F1374">
        <v>9400.7198840459896</v>
      </c>
      <c r="G1374" t="s">
        <v>35</v>
      </c>
      <c r="H1374">
        <v>56</v>
      </c>
      <c r="I1374">
        <v>2</v>
      </c>
      <c r="J1374">
        <v>28</v>
      </c>
      <c r="K1374">
        <v>6</v>
      </c>
      <c r="L1374" t="s">
        <v>27</v>
      </c>
      <c r="M1374">
        <v>12.497730571938</v>
      </c>
      <c r="N1374" t="s">
        <v>51</v>
      </c>
      <c r="O1374" t="s">
        <v>58</v>
      </c>
      <c r="P1374">
        <f>VLOOKUP(O1374, Coordinates!$A$2:$C$6, 2, FALSE)</f>
        <v>34.052199999999999</v>
      </c>
      <c r="Q1374">
        <f>VLOOKUP(O1374, Coordinates!$A$2:$C$6, 3, FALSE)</f>
        <v>-118.2437</v>
      </c>
      <c r="R1374">
        <v>25</v>
      </c>
      <c r="S1374">
        <v>480</v>
      </c>
      <c r="T1374">
        <v>8</v>
      </c>
      <c r="U1374">
        <v>80.701252270654095</v>
      </c>
      <c r="V1374" t="s">
        <v>30</v>
      </c>
      <c r="W1374">
        <v>3.5531015198206002</v>
      </c>
      <c r="X1374" t="s">
        <v>40</v>
      </c>
      <c r="Y1374" t="s">
        <v>32</v>
      </c>
      <c r="Z1374">
        <v>487.47537433136199</v>
      </c>
    </row>
    <row r="1375" spans="1:26" x14ac:dyDescent="0.3">
      <c r="A1375" t="s">
        <v>42</v>
      </c>
      <c r="B1375" t="s">
        <v>1431</v>
      </c>
      <c r="C1375">
        <v>21.5377591545857</v>
      </c>
      <c r="D1375">
        <v>39</v>
      </c>
      <c r="E1375">
        <v>787</v>
      </c>
      <c r="F1375">
        <v>4268.1933120000003</v>
      </c>
      <c r="G1375" t="s">
        <v>48</v>
      </c>
      <c r="H1375">
        <v>29</v>
      </c>
      <c r="I1375">
        <v>16</v>
      </c>
      <c r="J1375">
        <v>11</v>
      </c>
      <c r="K1375">
        <v>7</v>
      </c>
      <c r="L1375" t="s">
        <v>36</v>
      </c>
      <c r="M1375">
        <v>3.76217304353806</v>
      </c>
      <c r="N1375" t="s">
        <v>37</v>
      </c>
      <c r="O1375" t="s">
        <v>65</v>
      </c>
      <c r="P1375">
        <f>VLOOKUP(O1375, Coordinates!$A$2:$C$6, 2, FALSE)</f>
        <v>41.878100000000003</v>
      </c>
      <c r="Q1375">
        <f>VLOOKUP(O1375, Coordinates!$A$2:$C$6, 3, FALSE)</f>
        <v>-87.629800000000003</v>
      </c>
      <c r="R1375">
        <v>15</v>
      </c>
      <c r="S1375">
        <v>816</v>
      </c>
      <c r="T1375">
        <v>29</v>
      </c>
      <c r="U1375">
        <v>63.399493248829302</v>
      </c>
      <c r="V1375" t="s">
        <v>30</v>
      </c>
      <c r="W1375">
        <v>0.339011748593395</v>
      </c>
      <c r="X1375" t="s">
        <v>31</v>
      </c>
      <c r="Y1375" t="s">
        <v>32</v>
      </c>
      <c r="Z1375">
        <v>976.72385790302997</v>
      </c>
    </row>
    <row r="1376" spans="1:26" x14ac:dyDescent="0.3">
      <c r="A1376" t="s">
        <v>33</v>
      </c>
      <c r="B1376" t="s">
        <v>1432</v>
      </c>
      <c r="C1376">
        <v>16.121273935295999</v>
      </c>
      <c r="D1376">
        <v>4</v>
      </c>
      <c r="E1376">
        <v>610</v>
      </c>
      <c r="F1376">
        <v>8602.3825036827602</v>
      </c>
      <c r="G1376" t="s">
        <v>35</v>
      </c>
      <c r="H1376">
        <v>57</v>
      </c>
      <c r="I1376">
        <v>29</v>
      </c>
      <c r="J1376">
        <v>49</v>
      </c>
      <c r="K1376">
        <v>10</v>
      </c>
      <c r="L1376" t="s">
        <v>44</v>
      </c>
      <c r="M1376">
        <v>1.6743736039100301</v>
      </c>
      <c r="N1376" t="s">
        <v>28</v>
      </c>
      <c r="O1376" t="s">
        <v>65</v>
      </c>
      <c r="P1376">
        <f>VLOOKUP(O1376, Coordinates!$A$2:$C$6, 2, FALSE)</f>
        <v>41.878100000000003</v>
      </c>
      <c r="Q1376">
        <f>VLOOKUP(O1376, Coordinates!$A$2:$C$6, 3, FALSE)</f>
        <v>-87.629800000000003</v>
      </c>
      <c r="R1376">
        <v>17</v>
      </c>
      <c r="S1376">
        <v>671</v>
      </c>
      <c r="T1376">
        <v>7</v>
      </c>
      <c r="U1376">
        <v>32.618741620000002</v>
      </c>
      <c r="V1376" t="s">
        <v>55</v>
      </c>
      <c r="W1376">
        <v>1.86338680447355</v>
      </c>
      <c r="X1376" t="s">
        <v>31</v>
      </c>
      <c r="Y1376" t="s">
        <v>60</v>
      </c>
      <c r="Z1376">
        <v>368.68900467397498</v>
      </c>
    </row>
    <row r="1377" spans="1:26" x14ac:dyDescent="0.3">
      <c r="A1377" t="s">
        <v>49</v>
      </c>
      <c r="B1377" t="s">
        <v>1433</v>
      </c>
      <c r="C1377">
        <v>47.663050776039903</v>
      </c>
      <c r="D1377">
        <v>3</v>
      </c>
      <c r="E1377">
        <v>823</v>
      </c>
      <c r="F1377">
        <v>4765.4500394194401</v>
      </c>
      <c r="G1377" t="s">
        <v>48</v>
      </c>
      <c r="H1377">
        <v>51</v>
      </c>
      <c r="I1377">
        <v>1</v>
      </c>
      <c r="J1377">
        <v>48</v>
      </c>
      <c r="K1377">
        <v>4</v>
      </c>
      <c r="L1377" t="s">
        <v>36</v>
      </c>
      <c r="M1377">
        <v>11.9434908982201</v>
      </c>
      <c r="N1377" t="s">
        <v>28</v>
      </c>
      <c r="O1377" t="s">
        <v>58</v>
      </c>
      <c r="P1377">
        <f>VLOOKUP(O1377, Coordinates!$A$2:$C$6, 2, FALSE)</f>
        <v>34.052199999999999</v>
      </c>
      <c r="Q1377">
        <f>VLOOKUP(O1377, Coordinates!$A$2:$C$6, 3, FALSE)</f>
        <v>-118.2437</v>
      </c>
      <c r="R1377">
        <v>28</v>
      </c>
      <c r="S1377">
        <v>185</v>
      </c>
      <c r="T1377">
        <v>17</v>
      </c>
      <c r="U1377">
        <v>90.032791864138403</v>
      </c>
      <c r="V1377" t="s">
        <v>55</v>
      </c>
      <c r="W1377">
        <v>2.8583240109108998</v>
      </c>
      <c r="X1377" t="s">
        <v>52</v>
      </c>
      <c r="Y1377" t="s">
        <v>32</v>
      </c>
      <c r="Z1377">
        <v>330.91367681933701</v>
      </c>
    </row>
    <row r="1378" spans="1:26" x14ac:dyDescent="0.3">
      <c r="A1378" t="s">
        <v>72</v>
      </c>
      <c r="B1378" t="s">
        <v>1434</v>
      </c>
      <c r="C1378">
        <v>33.588852031019997</v>
      </c>
      <c r="D1378">
        <v>64</v>
      </c>
      <c r="E1378">
        <v>543</v>
      </c>
      <c r="F1378">
        <v>16414.871987559502</v>
      </c>
      <c r="G1378" t="s">
        <v>48</v>
      </c>
      <c r="H1378">
        <v>36</v>
      </c>
      <c r="I1378">
        <v>16</v>
      </c>
      <c r="J1378">
        <v>100</v>
      </c>
      <c r="K1378">
        <v>10</v>
      </c>
      <c r="L1378" t="s">
        <v>36</v>
      </c>
      <c r="M1378">
        <v>8.5862485643994102</v>
      </c>
      <c r="N1378" t="s">
        <v>51</v>
      </c>
      <c r="O1378" t="s">
        <v>65</v>
      </c>
      <c r="P1378">
        <f>VLOOKUP(O1378, Coordinates!$A$2:$C$6, 2, FALSE)</f>
        <v>41.878100000000003</v>
      </c>
      <c r="Q1378">
        <f>VLOOKUP(O1378, Coordinates!$A$2:$C$6, 3, FALSE)</f>
        <v>-87.629800000000003</v>
      </c>
      <c r="R1378">
        <v>29</v>
      </c>
      <c r="S1378">
        <v>242</v>
      </c>
      <c r="T1378">
        <v>19</v>
      </c>
      <c r="U1378">
        <v>77.939191946727306</v>
      </c>
      <c r="V1378" t="s">
        <v>39</v>
      </c>
      <c r="W1378">
        <v>1.83401769368511</v>
      </c>
      <c r="X1378" t="s">
        <v>31</v>
      </c>
      <c r="Y1378" t="s">
        <v>41</v>
      </c>
      <c r="Z1378">
        <v>905.19058689026599</v>
      </c>
    </row>
    <row r="1379" spans="1:26" x14ac:dyDescent="0.3">
      <c r="A1379" t="s">
        <v>61</v>
      </c>
      <c r="B1379" t="s">
        <v>1435</v>
      </c>
      <c r="C1379">
        <v>25.2430758250567</v>
      </c>
      <c r="D1379">
        <v>29</v>
      </c>
      <c r="E1379">
        <v>218</v>
      </c>
      <c r="F1379">
        <v>6708.18781879788</v>
      </c>
      <c r="G1379" t="s">
        <v>54</v>
      </c>
      <c r="H1379">
        <v>47</v>
      </c>
      <c r="I1379">
        <v>3</v>
      </c>
      <c r="J1379">
        <v>81</v>
      </c>
      <c r="K1379">
        <v>3</v>
      </c>
      <c r="L1379" t="s">
        <v>36</v>
      </c>
      <c r="M1379">
        <v>8.0521613819999995</v>
      </c>
      <c r="N1379" t="s">
        <v>37</v>
      </c>
      <c r="O1379" t="s">
        <v>58</v>
      </c>
      <c r="P1379">
        <f>VLOOKUP(O1379, Coordinates!$A$2:$C$6, 2, FALSE)</f>
        <v>34.052199999999999</v>
      </c>
      <c r="Q1379">
        <f>VLOOKUP(O1379, Coordinates!$A$2:$C$6, 3, FALSE)</f>
        <v>-118.2437</v>
      </c>
      <c r="R1379">
        <v>23</v>
      </c>
      <c r="S1379">
        <v>962</v>
      </c>
      <c r="T1379">
        <v>26</v>
      </c>
      <c r="U1379">
        <v>24.404708589999998</v>
      </c>
      <c r="V1379" t="s">
        <v>30</v>
      </c>
      <c r="W1379">
        <v>2.4009949463637499</v>
      </c>
      <c r="X1379" t="s">
        <v>40</v>
      </c>
      <c r="Y1379" t="s">
        <v>60</v>
      </c>
      <c r="Z1379">
        <v>736.63465659999997</v>
      </c>
    </row>
    <row r="1380" spans="1:26" x14ac:dyDescent="0.3">
      <c r="A1380" t="s">
        <v>72</v>
      </c>
      <c r="B1380" t="s">
        <v>1436</v>
      </c>
      <c r="C1380">
        <v>34.453919385473597</v>
      </c>
      <c r="D1380">
        <v>11</v>
      </c>
      <c r="E1380">
        <v>78</v>
      </c>
      <c r="F1380">
        <v>2418.6651408602402</v>
      </c>
      <c r="G1380" t="s">
        <v>54</v>
      </c>
      <c r="H1380">
        <v>86</v>
      </c>
      <c r="I1380">
        <v>15</v>
      </c>
      <c r="J1380">
        <v>63</v>
      </c>
      <c r="K1380">
        <v>8</v>
      </c>
      <c r="L1380" t="s">
        <v>27</v>
      </c>
      <c r="M1380">
        <v>4.8108818894917897</v>
      </c>
      <c r="N1380" t="s">
        <v>57</v>
      </c>
      <c r="O1380" t="s">
        <v>38</v>
      </c>
      <c r="P1380">
        <f>VLOOKUP(O1380, Coordinates!$A$2:$C$6, 2, FALSE)</f>
        <v>25.761700000000001</v>
      </c>
      <c r="Q1380">
        <f>VLOOKUP(O1380, Coordinates!$A$2:$C$6, 3, FALSE)</f>
        <v>-80.191800000000001</v>
      </c>
      <c r="R1380">
        <v>9</v>
      </c>
      <c r="S1380">
        <v>106</v>
      </c>
      <c r="T1380">
        <v>20</v>
      </c>
      <c r="U1380">
        <v>88.751091889952306</v>
      </c>
      <c r="V1380" t="s">
        <v>30</v>
      </c>
      <c r="W1380">
        <v>3.0405917468353501</v>
      </c>
      <c r="X1380" t="s">
        <v>46</v>
      </c>
      <c r="Y1380" t="s">
        <v>41</v>
      </c>
      <c r="Z1380">
        <v>410.958831334575</v>
      </c>
    </row>
    <row r="1381" spans="1:26" x14ac:dyDescent="0.3">
      <c r="A1381" t="s">
        <v>72</v>
      </c>
      <c r="B1381" t="s">
        <v>1437</v>
      </c>
      <c r="C1381">
        <v>31.052347990000001</v>
      </c>
      <c r="D1381">
        <v>97</v>
      </c>
      <c r="E1381">
        <v>65</v>
      </c>
      <c r="F1381">
        <v>1816.5623572724</v>
      </c>
      <c r="G1381" t="s">
        <v>26</v>
      </c>
      <c r="H1381">
        <v>0</v>
      </c>
      <c r="I1381">
        <v>30</v>
      </c>
      <c r="J1381">
        <v>36</v>
      </c>
      <c r="K1381">
        <v>9</v>
      </c>
      <c r="L1381" t="s">
        <v>36</v>
      </c>
      <c r="M1381">
        <v>2.01243820803092</v>
      </c>
      <c r="N1381" t="s">
        <v>51</v>
      </c>
      <c r="O1381" t="s">
        <v>38</v>
      </c>
      <c r="P1381">
        <f>VLOOKUP(O1381, Coordinates!$A$2:$C$6, 2, FALSE)</f>
        <v>25.761700000000001</v>
      </c>
      <c r="Q1381">
        <f>VLOOKUP(O1381, Coordinates!$A$2:$C$6, 3, FALSE)</f>
        <v>-80.191800000000001</v>
      </c>
      <c r="R1381">
        <v>16</v>
      </c>
      <c r="S1381">
        <v>394</v>
      </c>
      <c r="T1381">
        <v>14</v>
      </c>
      <c r="U1381">
        <v>84.717834708155095</v>
      </c>
      <c r="V1381" t="s">
        <v>30</v>
      </c>
      <c r="W1381">
        <v>1.8419530708979199</v>
      </c>
      <c r="X1381" t="s">
        <v>52</v>
      </c>
      <c r="Y1381" t="s">
        <v>60</v>
      </c>
      <c r="Z1381">
        <v>308.622154868954</v>
      </c>
    </row>
    <row r="1382" spans="1:26" x14ac:dyDescent="0.3">
      <c r="A1382" t="s">
        <v>24</v>
      </c>
      <c r="B1382" t="s">
        <v>1438</v>
      </c>
      <c r="C1382">
        <v>36.704602733445498</v>
      </c>
      <c r="D1382">
        <v>58</v>
      </c>
      <c r="E1382">
        <v>702</v>
      </c>
      <c r="F1382">
        <v>23189.968006990901</v>
      </c>
      <c r="G1382" t="s">
        <v>48</v>
      </c>
      <c r="H1382">
        <v>18</v>
      </c>
      <c r="I1382">
        <v>11</v>
      </c>
      <c r="J1382">
        <v>88</v>
      </c>
      <c r="K1382">
        <v>1</v>
      </c>
      <c r="L1382" t="s">
        <v>27</v>
      </c>
      <c r="M1382">
        <v>7.7600405086598396</v>
      </c>
      <c r="N1382" t="s">
        <v>57</v>
      </c>
      <c r="O1382" t="s">
        <v>58</v>
      </c>
      <c r="P1382">
        <f>VLOOKUP(O1382, Coordinates!$A$2:$C$6, 2, FALSE)</f>
        <v>34.052199999999999</v>
      </c>
      <c r="Q1382">
        <f>VLOOKUP(O1382, Coordinates!$A$2:$C$6, 3, FALSE)</f>
        <v>-118.2437</v>
      </c>
      <c r="R1382">
        <v>26</v>
      </c>
      <c r="S1382">
        <v>790</v>
      </c>
      <c r="T1382">
        <v>25</v>
      </c>
      <c r="U1382">
        <v>91.720726182813905</v>
      </c>
      <c r="V1382" t="s">
        <v>55</v>
      </c>
      <c r="W1382">
        <v>0.53007177961234098</v>
      </c>
      <c r="X1382" t="s">
        <v>31</v>
      </c>
      <c r="Y1382" t="s">
        <v>60</v>
      </c>
      <c r="Z1382">
        <v>260.23446894612403</v>
      </c>
    </row>
    <row r="1383" spans="1:26" x14ac:dyDescent="0.3">
      <c r="A1383" t="s">
        <v>24</v>
      </c>
      <c r="B1383" t="s">
        <v>1439</v>
      </c>
      <c r="C1383">
        <v>39.764140131988498</v>
      </c>
      <c r="D1383">
        <v>75</v>
      </c>
      <c r="E1383">
        <v>547</v>
      </c>
      <c r="F1383">
        <v>19575.886186977899</v>
      </c>
      <c r="G1383" t="s">
        <v>35</v>
      </c>
      <c r="H1383">
        <v>45</v>
      </c>
      <c r="I1383">
        <v>10</v>
      </c>
      <c r="J1383">
        <v>21</v>
      </c>
      <c r="K1383">
        <v>10</v>
      </c>
      <c r="L1383" t="s">
        <v>27</v>
      </c>
      <c r="M1383">
        <v>13.1411690231912</v>
      </c>
      <c r="N1383" t="s">
        <v>45</v>
      </c>
      <c r="O1383" t="s">
        <v>38</v>
      </c>
      <c r="P1383">
        <f>VLOOKUP(O1383, Coordinates!$A$2:$C$6, 2, FALSE)</f>
        <v>25.761700000000001</v>
      </c>
      <c r="Q1383">
        <f>VLOOKUP(O1383, Coordinates!$A$2:$C$6, 3, FALSE)</f>
        <v>-80.191800000000001</v>
      </c>
      <c r="R1383">
        <v>27</v>
      </c>
      <c r="S1383">
        <v>838</v>
      </c>
      <c r="T1383">
        <v>28</v>
      </c>
      <c r="U1383">
        <v>80.296972883320194</v>
      </c>
      <c r="V1383" t="s">
        <v>55</v>
      </c>
      <c r="W1383">
        <v>4.7675391290310403</v>
      </c>
      <c r="X1383" t="s">
        <v>52</v>
      </c>
      <c r="Y1383" t="s">
        <v>32</v>
      </c>
      <c r="Z1383">
        <v>382.14673309880197</v>
      </c>
    </row>
    <row r="1384" spans="1:26" x14ac:dyDescent="0.3">
      <c r="A1384" t="s">
        <v>61</v>
      </c>
      <c r="B1384" t="s">
        <v>1440</v>
      </c>
      <c r="C1384">
        <v>40.487706099529703</v>
      </c>
      <c r="D1384">
        <v>27</v>
      </c>
      <c r="E1384">
        <v>223</v>
      </c>
      <c r="F1384">
        <v>4113.5456607688202</v>
      </c>
      <c r="G1384" t="s">
        <v>48</v>
      </c>
      <c r="H1384">
        <v>66</v>
      </c>
      <c r="I1384">
        <v>17</v>
      </c>
      <c r="J1384">
        <v>87</v>
      </c>
      <c r="K1384">
        <v>9</v>
      </c>
      <c r="L1384" t="s">
        <v>27</v>
      </c>
      <c r="M1384">
        <v>2.6803081918488001</v>
      </c>
      <c r="N1384" t="s">
        <v>37</v>
      </c>
      <c r="O1384" t="s">
        <v>58</v>
      </c>
      <c r="P1384">
        <f>VLOOKUP(O1384, Coordinates!$A$2:$C$6, 2, FALSE)</f>
        <v>34.052199999999999</v>
      </c>
      <c r="Q1384">
        <f>VLOOKUP(O1384, Coordinates!$A$2:$C$6, 3, FALSE)</f>
        <v>-118.2437</v>
      </c>
      <c r="R1384">
        <v>1</v>
      </c>
      <c r="S1384">
        <v>618</v>
      </c>
      <c r="T1384">
        <v>6</v>
      </c>
      <c r="U1384">
        <v>64.593444814607196</v>
      </c>
      <c r="V1384" t="s">
        <v>39</v>
      </c>
      <c r="W1384">
        <v>2.6350198477709799</v>
      </c>
      <c r="X1384" t="s">
        <v>40</v>
      </c>
      <c r="Y1384" t="s">
        <v>41</v>
      </c>
      <c r="Z1384">
        <v>212.98598495589101</v>
      </c>
    </row>
    <row r="1385" spans="1:26" x14ac:dyDescent="0.3">
      <c r="A1385" t="s">
        <v>72</v>
      </c>
      <c r="B1385" t="s">
        <v>1441</v>
      </c>
      <c r="C1385">
        <v>20.2107569284227</v>
      </c>
      <c r="D1385">
        <v>97</v>
      </c>
      <c r="E1385">
        <v>16</v>
      </c>
      <c r="F1385">
        <v>291.03489976928603</v>
      </c>
      <c r="G1385" t="s">
        <v>35</v>
      </c>
      <c r="H1385">
        <v>1</v>
      </c>
      <c r="I1385">
        <v>4</v>
      </c>
      <c r="J1385">
        <v>80</v>
      </c>
      <c r="K1385">
        <v>7</v>
      </c>
      <c r="L1385" t="s">
        <v>44</v>
      </c>
      <c r="M1385">
        <v>14.008392310860399</v>
      </c>
      <c r="N1385" t="s">
        <v>28</v>
      </c>
      <c r="O1385" t="s">
        <v>67</v>
      </c>
      <c r="P1385">
        <f>VLOOKUP(O1385, Coordinates!$A$2:$C$6, 2, FALSE)</f>
        <v>40.712800000000001</v>
      </c>
      <c r="Q1385">
        <f>VLOOKUP(O1385, Coordinates!$A$2:$C$6, 3, FALSE)</f>
        <v>-74.006</v>
      </c>
      <c r="R1385">
        <v>26</v>
      </c>
      <c r="S1385">
        <v>751</v>
      </c>
      <c r="T1385">
        <v>7</v>
      </c>
      <c r="U1385">
        <v>79.2114875827925</v>
      </c>
      <c r="V1385" t="s">
        <v>39</v>
      </c>
      <c r="W1385">
        <v>0.87370012815948594</v>
      </c>
      <c r="X1385" t="s">
        <v>40</v>
      </c>
      <c r="Y1385" t="s">
        <v>41</v>
      </c>
      <c r="Z1385">
        <v>230.81333148815</v>
      </c>
    </row>
    <row r="1386" spans="1:26" x14ac:dyDescent="0.3">
      <c r="A1386" t="s">
        <v>49</v>
      </c>
      <c r="B1386" t="s">
        <v>1442</v>
      </c>
      <c r="C1386">
        <v>64.611224319506505</v>
      </c>
      <c r="D1386">
        <v>21</v>
      </c>
      <c r="E1386">
        <v>818</v>
      </c>
      <c r="F1386">
        <v>5221.54306199038</v>
      </c>
      <c r="G1386" t="s">
        <v>35</v>
      </c>
      <c r="H1386">
        <v>55</v>
      </c>
      <c r="I1386">
        <v>17</v>
      </c>
      <c r="J1386">
        <v>26</v>
      </c>
      <c r="K1386">
        <v>1</v>
      </c>
      <c r="L1386" t="s">
        <v>36</v>
      </c>
      <c r="M1386">
        <v>4.8462071233825998</v>
      </c>
      <c r="N1386" t="s">
        <v>51</v>
      </c>
      <c r="O1386" t="s">
        <v>58</v>
      </c>
      <c r="P1386">
        <f>VLOOKUP(O1386, Coordinates!$A$2:$C$6, 2, FALSE)</f>
        <v>34.052199999999999</v>
      </c>
      <c r="Q1386">
        <f>VLOOKUP(O1386, Coordinates!$A$2:$C$6, 3, FALSE)</f>
        <v>-118.2437</v>
      </c>
      <c r="R1386">
        <v>16</v>
      </c>
      <c r="S1386">
        <v>625</v>
      </c>
      <c r="T1386">
        <v>30</v>
      </c>
      <c r="U1386">
        <v>70.835182357807497</v>
      </c>
      <c r="V1386" t="s">
        <v>30</v>
      </c>
      <c r="W1386">
        <v>4.4491683607194803</v>
      </c>
      <c r="X1386" t="s">
        <v>46</v>
      </c>
      <c r="Y1386" t="s">
        <v>41</v>
      </c>
      <c r="Z1386">
        <v>798.96187207251603</v>
      </c>
    </row>
    <row r="1387" spans="1:26" x14ac:dyDescent="0.3">
      <c r="A1387" t="s">
        <v>33</v>
      </c>
      <c r="B1387" t="s">
        <v>1443</v>
      </c>
      <c r="C1387">
        <v>41.633283722236499</v>
      </c>
      <c r="D1387">
        <v>39</v>
      </c>
      <c r="E1387">
        <v>419</v>
      </c>
      <c r="F1387">
        <v>4007.2277068855601</v>
      </c>
      <c r="G1387" t="s">
        <v>48</v>
      </c>
      <c r="H1387">
        <v>100</v>
      </c>
      <c r="I1387">
        <v>4</v>
      </c>
      <c r="J1387">
        <v>99</v>
      </c>
      <c r="K1387">
        <v>7</v>
      </c>
      <c r="L1387" t="s">
        <v>27</v>
      </c>
      <c r="M1387">
        <v>8.4506080996012702</v>
      </c>
      <c r="N1387" t="s">
        <v>28</v>
      </c>
      <c r="O1387" t="s">
        <v>29</v>
      </c>
      <c r="P1387">
        <f>VLOOKUP(O1387, Coordinates!$A$2:$C$6, 2, FALSE)</f>
        <v>29.760400000000001</v>
      </c>
      <c r="Q1387">
        <f>VLOOKUP(O1387, Coordinates!$A$2:$C$6, 3, FALSE)</f>
        <v>-95.369799999999998</v>
      </c>
      <c r="R1387">
        <v>19</v>
      </c>
      <c r="S1387">
        <v>133</v>
      </c>
      <c r="T1387">
        <v>5</v>
      </c>
      <c r="U1387">
        <v>59.031996351028603</v>
      </c>
      <c r="V1387" t="s">
        <v>55</v>
      </c>
      <c r="W1387">
        <v>4.1709284259999997</v>
      </c>
      <c r="X1387" t="s">
        <v>40</v>
      </c>
      <c r="Y1387" t="s">
        <v>41</v>
      </c>
      <c r="Z1387">
        <v>157.38419162538801</v>
      </c>
    </row>
    <row r="1388" spans="1:26" x14ac:dyDescent="0.3">
      <c r="A1388" t="s">
        <v>61</v>
      </c>
      <c r="B1388" t="s">
        <v>1444</v>
      </c>
      <c r="C1388">
        <v>93.945378244255807</v>
      </c>
      <c r="D1388">
        <v>95</v>
      </c>
      <c r="E1388">
        <v>36</v>
      </c>
      <c r="F1388">
        <v>1966.2500660000001</v>
      </c>
      <c r="G1388" t="s">
        <v>35</v>
      </c>
      <c r="H1388">
        <v>16</v>
      </c>
      <c r="I1388">
        <v>19</v>
      </c>
      <c r="J1388">
        <v>93</v>
      </c>
      <c r="K1388">
        <v>5</v>
      </c>
      <c r="L1388" t="s">
        <v>44</v>
      </c>
      <c r="M1388">
        <v>1.93111753653214</v>
      </c>
      <c r="N1388" t="s">
        <v>57</v>
      </c>
      <c r="O1388" t="s">
        <v>38</v>
      </c>
      <c r="P1388">
        <f>VLOOKUP(O1388, Coordinates!$A$2:$C$6, 2, FALSE)</f>
        <v>25.761700000000001</v>
      </c>
      <c r="Q1388">
        <f>VLOOKUP(O1388, Coordinates!$A$2:$C$6, 3, FALSE)</f>
        <v>-80.191800000000001</v>
      </c>
      <c r="R1388">
        <v>23</v>
      </c>
      <c r="S1388">
        <v>989</v>
      </c>
      <c r="T1388">
        <v>19</v>
      </c>
      <c r="U1388">
        <v>93.654155088077601</v>
      </c>
      <c r="V1388" t="s">
        <v>30</v>
      </c>
      <c r="W1388">
        <v>1.7451603450300699</v>
      </c>
      <c r="X1388" t="s">
        <v>40</v>
      </c>
      <c r="Y1388" t="s">
        <v>32</v>
      </c>
      <c r="Z1388">
        <v>495.35945184619499</v>
      </c>
    </row>
    <row r="1389" spans="1:26" x14ac:dyDescent="0.3">
      <c r="A1389" t="s">
        <v>42</v>
      </c>
      <c r="B1389" t="s">
        <v>1445</v>
      </c>
      <c r="C1389">
        <v>56.489057114527697</v>
      </c>
      <c r="D1389">
        <v>46</v>
      </c>
      <c r="E1389">
        <v>164</v>
      </c>
      <c r="F1389">
        <v>2310.6586467290599</v>
      </c>
      <c r="G1389" t="s">
        <v>26</v>
      </c>
      <c r="H1389">
        <v>91</v>
      </c>
      <c r="I1389">
        <v>25</v>
      </c>
      <c r="J1389">
        <v>19</v>
      </c>
      <c r="K1389">
        <v>10</v>
      </c>
      <c r="L1389" t="s">
        <v>44</v>
      </c>
      <c r="M1389">
        <v>6.9506523132370397</v>
      </c>
      <c r="N1389" t="s">
        <v>57</v>
      </c>
      <c r="O1389" t="s">
        <v>38</v>
      </c>
      <c r="P1389">
        <f>VLOOKUP(O1389, Coordinates!$A$2:$C$6, 2, FALSE)</f>
        <v>25.761700000000001</v>
      </c>
      <c r="Q1389">
        <f>VLOOKUP(O1389, Coordinates!$A$2:$C$6, 3, FALSE)</f>
        <v>-80.191800000000001</v>
      </c>
      <c r="R1389">
        <v>9</v>
      </c>
      <c r="S1389">
        <v>851</v>
      </c>
      <c r="T1389">
        <v>21</v>
      </c>
      <c r="U1389">
        <v>65.611768888072206</v>
      </c>
      <c r="V1389" t="s">
        <v>39</v>
      </c>
      <c r="W1389">
        <v>4.1549358600000001</v>
      </c>
      <c r="X1389" t="s">
        <v>31</v>
      </c>
      <c r="Y1389" t="s">
        <v>41</v>
      </c>
      <c r="Z1389">
        <v>464.49895185112803</v>
      </c>
    </row>
    <row r="1390" spans="1:26" x14ac:dyDescent="0.3">
      <c r="A1390" t="s">
        <v>72</v>
      </c>
      <c r="B1390" t="s">
        <v>1446</v>
      </c>
      <c r="C1390">
        <v>29.099903708588101</v>
      </c>
      <c r="D1390">
        <v>66</v>
      </c>
      <c r="E1390">
        <v>241</v>
      </c>
      <c r="F1390">
        <v>6311.7691143927595</v>
      </c>
      <c r="G1390" t="s">
        <v>54</v>
      </c>
      <c r="H1390">
        <v>81</v>
      </c>
      <c r="I1390">
        <v>1</v>
      </c>
      <c r="J1390">
        <v>28</v>
      </c>
      <c r="K1390">
        <v>7</v>
      </c>
      <c r="L1390" t="s">
        <v>44</v>
      </c>
      <c r="M1390">
        <v>2.7625704097002801</v>
      </c>
      <c r="N1390" t="s">
        <v>45</v>
      </c>
      <c r="O1390" t="s">
        <v>38</v>
      </c>
      <c r="P1390">
        <f>VLOOKUP(O1390, Coordinates!$A$2:$C$6, 2, FALSE)</f>
        <v>25.761700000000001</v>
      </c>
      <c r="Q1390">
        <f>VLOOKUP(O1390, Coordinates!$A$2:$C$6, 3, FALSE)</f>
        <v>-80.191800000000001</v>
      </c>
      <c r="R1390">
        <v>28</v>
      </c>
      <c r="S1390">
        <v>428</v>
      </c>
      <c r="T1390">
        <v>28</v>
      </c>
      <c r="U1390">
        <v>91.057901812433002</v>
      </c>
      <c r="V1390" t="s">
        <v>39</v>
      </c>
      <c r="W1390">
        <v>4.4857835899851999</v>
      </c>
      <c r="X1390" t="s">
        <v>40</v>
      </c>
      <c r="Y1390" t="s">
        <v>32</v>
      </c>
      <c r="Z1390">
        <v>964.17193494130197</v>
      </c>
    </row>
    <row r="1391" spans="1:26" x14ac:dyDescent="0.3">
      <c r="A1391" t="s">
        <v>61</v>
      </c>
      <c r="B1391" t="s">
        <v>1447</v>
      </c>
      <c r="C1391">
        <v>25.945950879963799</v>
      </c>
      <c r="D1391">
        <v>91</v>
      </c>
      <c r="E1391">
        <v>743</v>
      </c>
      <c r="F1391">
        <v>5232.2417679587797</v>
      </c>
      <c r="G1391" t="s">
        <v>35</v>
      </c>
      <c r="H1391">
        <v>96</v>
      </c>
      <c r="I1391">
        <v>14</v>
      </c>
      <c r="J1391">
        <v>91</v>
      </c>
      <c r="K1391">
        <v>9</v>
      </c>
      <c r="L1391" t="s">
        <v>27</v>
      </c>
      <c r="M1391">
        <v>1.6716330050809001</v>
      </c>
      <c r="N1391" t="s">
        <v>57</v>
      </c>
      <c r="O1391" t="s">
        <v>38</v>
      </c>
      <c r="P1391">
        <f>VLOOKUP(O1391, Coordinates!$A$2:$C$6, 2, FALSE)</f>
        <v>25.761700000000001</v>
      </c>
      <c r="Q1391">
        <f>VLOOKUP(O1391, Coordinates!$A$2:$C$6, 3, FALSE)</f>
        <v>-80.191800000000001</v>
      </c>
      <c r="R1391">
        <v>17</v>
      </c>
      <c r="S1391">
        <v>931</v>
      </c>
      <c r="T1391">
        <v>7</v>
      </c>
      <c r="U1391">
        <v>75.2598886007696</v>
      </c>
      <c r="V1391" t="s">
        <v>30</v>
      </c>
      <c r="W1391">
        <v>0.79525464301470505</v>
      </c>
      <c r="X1391" t="s">
        <v>40</v>
      </c>
      <c r="Y1391" t="s">
        <v>60</v>
      </c>
      <c r="Z1391">
        <v>518.98750610862396</v>
      </c>
    </row>
    <row r="1392" spans="1:26" x14ac:dyDescent="0.3">
      <c r="A1392" t="s">
        <v>82</v>
      </c>
      <c r="B1392" t="s">
        <v>1448</v>
      </c>
      <c r="C1392">
        <v>73.943961479999999</v>
      </c>
      <c r="D1392">
        <v>36</v>
      </c>
      <c r="E1392">
        <v>185</v>
      </c>
      <c r="F1392">
        <v>9590.0292536768902</v>
      </c>
      <c r="G1392" t="s">
        <v>48</v>
      </c>
      <c r="H1392">
        <v>78</v>
      </c>
      <c r="I1392">
        <v>24</v>
      </c>
      <c r="J1392">
        <v>39</v>
      </c>
      <c r="K1392">
        <v>8</v>
      </c>
      <c r="L1392" t="s">
        <v>27</v>
      </c>
      <c r="M1392">
        <v>14.531807707986999</v>
      </c>
      <c r="N1392" t="s">
        <v>57</v>
      </c>
      <c r="O1392" t="s">
        <v>58</v>
      </c>
      <c r="P1392">
        <f>VLOOKUP(O1392, Coordinates!$A$2:$C$6, 2, FALSE)</f>
        <v>34.052199999999999</v>
      </c>
      <c r="Q1392">
        <f>VLOOKUP(O1392, Coordinates!$A$2:$C$6, 3, FALSE)</f>
        <v>-118.2437</v>
      </c>
      <c r="R1392">
        <v>6</v>
      </c>
      <c r="S1392">
        <v>708</v>
      </c>
      <c r="T1392">
        <v>9</v>
      </c>
      <c r="U1392">
        <v>37.079048607479301</v>
      </c>
      <c r="V1392" t="s">
        <v>30</v>
      </c>
      <c r="W1392">
        <v>3.0710592727066102</v>
      </c>
      <c r="X1392" t="s">
        <v>40</v>
      </c>
      <c r="Y1392" t="s">
        <v>41</v>
      </c>
      <c r="Z1392">
        <v>244.76982859508999</v>
      </c>
    </row>
    <row r="1393" spans="1:26" x14ac:dyDescent="0.3">
      <c r="A1393" t="s">
        <v>82</v>
      </c>
      <c r="B1393" t="s">
        <v>1449</v>
      </c>
      <c r="C1393">
        <v>63.638656980628902</v>
      </c>
      <c r="D1393">
        <v>75</v>
      </c>
      <c r="E1393">
        <v>833</v>
      </c>
      <c r="F1393">
        <v>2041.07701283304</v>
      </c>
      <c r="G1393" t="s">
        <v>54</v>
      </c>
      <c r="H1393">
        <v>21</v>
      </c>
      <c r="I1393">
        <v>11</v>
      </c>
      <c r="J1393">
        <v>39</v>
      </c>
      <c r="K1393">
        <v>6</v>
      </c>
      <c r="L1393" t="s">
        <v>27</v>
      </c>
      <c r="M1393">
        <v>11.221323496497799</v>
      </c>
      <c r="N1393" t="s">
        <v>28</v>
      </c>
      <c r="O1393" t="s">
        <v>58</v>
      </c>
      <c r="P1393">
        <f>VLOOKUP(O1393, Coordinates!$A$2:$C$6, 2, FALSE)</f>
        <v>34.052199999999999</v>
      </c>
      <c r="Q1393">
        <f>VLOOKUP(O1393, Coordinates!$A$2:$C$6, 3, FALSE)</f>
        <v>-118.2437</v>
      </c>
      <c r="R1393">
        <v>27</v>
      </c>
      <c r="S1393">
        <v>879</v>
      </c>
      <c r="T1393">
        <v>12</v>
      </c>
      <c r="U1393">
        <v>34.515185765392303</v>
      </c>
      <c r="V1393" t="s">
        <v>55</v>
      </c>
      <c r="W1393">
        <v>3.3972555860820299</v>
      </c>
      <c r="X1393" t="s">
        <v>46</v>
      </c>
      <c r="Y1393" t="s">
        <v>32</v>
      </c>
      <c r="Z1393">
        <v>179.56422451641299</v>
      </c>
    </row>
    <row r="1394" spans="1:26" x14ac:dyDescent="0.3">
      <c r="A1394" t="s">
        <v>24</v>
      </c>
      <c r="B1394" t="s">
        <v>1450</v>
      </c>
      <c r="C1394">
        <v>35.077960533578</v>
      </c>
      <c r="D1394">
        <v>82</v>
      </c>
      <c r="E1394">
        <v>562</v>
      </c>
      <c r="F1394">
        <v>17742.432437883701</v>
      </c>
      <c r="G1394" t="s">
        <v>26</v>
      </c>
      <c r="H1394">
        <v>26</v>
      </c>
      <c r="I1394">
        <v>25</v>
      </c>
      <c r="J1394">
        <v>34</v>
      </c>
      <c r="K1394">
        <v>2</v>
      </c>
      <c r="L1394" t="s">
        <v>44</v>
      </c>
      <c r="M1394">
        <v>11.066808094191201</v>
      </c>
      <c r="N1394" t="s">
        <v>28</v>
      </c>
      <c r="O1394" t="s">
        <v>38</v>
      </c>
      <c r="P1394">
        <f>VLOOKUP(O1394, Coordinates!$A$2:$C$6, 2, FALSE)</f>
        <v>25.761700000000001</v>
      </c>
      <c r="Q1394">
        <f>VLOOKUP(O1394, Coordinates!$A$2:$C$6, 3, FALSE)</f>
        <v>-80.191800000000001</v>
      </c>
      <c r="R1394">
        <v>14</v>
      </c>
      <c r="S1394">
        <v>737</v>
      </c>
      <c r="T1394">
        <v>25</v>
      </c>
      <c r="U1394">
        <v>83.884081710000004</v>
      </c>
      <c r="V1394" t="s">
        <v>39</v>
      </c>
      <c r="W1394">
        <v>0.419457892</v>
      </c>
      <c r="X1394" t="s">
        <v>31</v>
      </c>
      <c r="Y1394" t="s">
        <v>60</v>
      </c>
      <c r="Z1394">
        <v>759.19474604352195</v>
      </c>
    </row>
    <row r="1395" spans="1:26" x14ac:dyDescent="0.3">
      <c r="A1395" t="s">
        <v>33</v>
      </c>
      <c r="B1395" t="s">
        <v>1451</v>
      </c>
      <c r="C1395">
        <v>25.393447077390899</v>
      </c>
      <c r="D1395">
        <v>65</v>
      </c>
      <c r="E1395">
        <v>345</v>
      </c>
      <c r="F1395">
        <v>7600.2536325888404</v>
      </c>
      <c r="G1395" t="s">
        <v>35</v>
      </c>
      <c r="H1395">
        <v>54</v>
      </c>
      <c r="I1395">
        <v>28</v>
      </c>
      <c r="J1395">
        <v>97</v>
      </c>
      <c r="K1395">
        <v>8</v>
      </c>
      <c r="L1395" t="s">
        <v>27</v>
      </c>
      <c r="M1395">
        <v>2.2676956527725198</v>
      </c>
      <c r="N1395" t="s">
        <v>51</v>
      </c>
      <c r="O1395" t="s">
        <v>38</v>
      </c>
      <c r="P1395">
        <f>VLOOKUP(O1395, Coordinates!$A$2:$C$6, 2, FALSE)</f>
        <v>25.761700000000001</v>
      </c>
      <c r="Q1395">
        <f>VLOOKUP(O1395, Coordinates!$A$2:$C$6, 3, FALSE)</f>
        <v>-80.191800000000001</v>
      </c>
      <c r="R1395">
        <v>18</v>
      </c>
      <c r="S1395">
        <v>133</v>
      </c>
      <c r="T1395">
        <v>15</v>
      </c>
      <c r="U1395">
        <v>11.0797011156408</v>
      </c>
      <c r="V1395" t="s">
        <v>30</v>
      </c>
      <c r="W1395">
        <v>1.57226545211019</v>
      </c>
      <c r="X1395" t="s">
        <v>31</v>
      </c>
      <c r="Y1395" t="s">
        <v>41</v>
      </c>
      <c r="Z1395">
        <v>232.96280058395999</v>
      </c>
    </row>
    <row r="1396" spans="1:26" x14ac:dyDescent="0.3">
      <c r="A1396" t="s">
        <v>49</v>
      </c>
      <c r="B1396" t="s">
        <v>1452</v>
      </c>
      <c r="C1396">
        <v>68.174479039999994</v>
      </c>
      <c r="D1396">
        <v>63</v>
      </c>
      <c r="E1396">
        <v>462</v>
      </c>
      <c r="F1396">
        <v>6737.4892264074597</v>
      </c>
      <c r="H1396">
        <v>100</v>
      </c>
      <c r="I1396">
        <v>7</v>
      </c>
      <c r="J1396">
        <v>83</v>
      </c>
      <c r="K1396">
        <v>4</v>
      </c>
      <c r="L1396" t="s">
        <v>36</v>
      </c>
      <c r="M1396">
        <v>14.0109073428283</v>
      </c>
      <c r="N1396" t="s">
        <v>51</v>
      </c>
      <c r="O1396" t="s">
        <v>29</v>
      </c>
      <c r="P1396">
        <f>VLOOKUP(O1396, Coordinates!$A$2:$C$6, 2, FALSE)</f>
        <v>29.760400000000001</v>
      </c>
      <c r="Q1396">
        <f>VLOOKUP(O1396, Coordinates!$A$2:$C$6, 3, FALSE)</f>
        <v>-95.369799999999998</v>
      </c>
      <c r="R1396">
        <v>21</v>
      </c>
      <c r="S1396">
        <v>894</v>
      </c>
      <c r="T1396">
        <v>15</v>
      </c>
      <c r="U1396">
        <v>97.222659414515206</v>
      </c>
      <c r="V1396" t="s">
        <v>55</v>
      </c>
      <c r="W1396">
        <v>2.6919938059594601E-2</v>
      </c>
      <c r="X1396" t="s">
        <v>52</v>
      </c>
      <c r="Y1396" t="s">
        <v>41</v>
      </c>
      <c r="Z1396">
        <v>944.18479754800398</v>
      </c>
    </row>
    <row r="1397" spans="1:26" x14ac:dyDescent="0.3">
      <c r="A1397" t="s">
        <v>33</v>
      </c>
      <c r="B1397" t="s">
        <v>1453</v>
      </c>
      <c r="C1397">
        <v>52.3138373404025</v>
      </c>
      <c r="D1397">
        <v>99</v>
      </c>
      <c r="E1397">
        <v>84</v>
      </c>
      <c r="F1397">
        <v>6807.4997979120599</v>
      </c>
      <c r="G1397" t="s">
        <v>54</v>
      </c>
      <c r="H1397">
        <v>31</v>
      </c>
      <c r="I1397">
        <v>17</v>
      </c>
      <c r="J1397">
        <v>75</v>
      </c>
      <c r="K1397">
        <v>8</v>
      </c>
      <c r="L1397" t="s">
        <v>27</v>
      </c>
      <c r="M1397">
        <v>7.5725592101383903</v>
      </c>
      <c r="N1397" t="s">
        <v>57</v>
      </c>
      <c r="O1397" t="s">
        <v>65</v>
      </c>
      <c r="P1397">
        <f>VLOOKUP(O1397, Coordinates!$A$2:$C$6, 2, FALSE)</f>
        <v>41.878100000000003</v>
      </c>
      <c r="Q1397">
        <f>VLOOKUP(O1397, Coordinates!$A$2:$C$6, 3, FALSE)</f>
        <v>-87.629800000000003</v>
      </c>
      <c r="R1397">
        <v>14</v>
      </c>
      <c r="S1397">
        <v>505</v>
      </c>
      <c r="T1397">
        <v>28</v>
      </c>
      <c r="U1397">
        <v>57.909800022282802</v>
      </c>
      <c r="V1397" t="s">
        <v>39</v>
      </c>
      <c r="W1397">
        <v>1.58214401678063</v>
      </c>
      <c r="X1397" t="s">
        <v>40</v>
      </c>
      <c r="Y1397" t="s">
        <v>32</v>
      </c>
      <c r="Z1397">
        <v>603.29199656361698</v>
      </c>
    </row>
    <row r="1398" spans="1:26" x14ac:dyDescent="0.3">
      <c r="A1398" t="s">
        <v>33</v>
      </c>
      <c r="B1398" t="s">
        <v>1454</v>
      </c>
      <c r="C1398">
        <v>75.568372616100007</v>
      </c>
      <c r="D1398">
        <v>35</v>
      </c>
      <c r="E1398">
        <v>651</v>
      </c>
      <c r="F1398">
        <v>8440.5488359999999</v>
      </c>
      <c r="G1398" t="s">
        <v>35</v>
      </c>
      <c r="H1398">
        <v>59</v>
      </c>
      <c r="I1398">
        <v>4</v>
      </c>
      <c r="J1398">
        <v>44</v>
      </c>
      <c r="K1398">
        <v>7</v>
      </c>
      <c r="L1398" t="s">
        <v>27</v>
      </c>
      <c r="M1398">
        <v>12.931976952804</v>
      </c>
      <c r="N1398" t="s">
        <v>37</v>
      </c>
      <c r="O1398" t="s">
        <v>29</v>
      </c>
      <c r="P1398">
        <f>VLOOKUP(O1398, Coordinates!$A$2:$C$6, 2, FALSE)</f>
        <v>29.760400000000001</v>
      </c>
      <c r="Q1398">
        <f>VLOOKUP(O1398, Coordinates!$A$2:$C$6, 3, FALSE)</f>
        <v>-95.369799999999998</v>
      </c>
      <c r="R1398">
        <v>23</v>
      </c>
      <c r="S1398">
        <v>117</v>
      </c>
      <c r="T1398">
        <v>24</v>
      </c>
      <c r="U1398">
        <v>79.614450448566402</v>
      </c>
      <c r="V1398" t="s">
        <v>39</v>
      </c>
      <c r="W1398">
        <v>1.6772266645962399</v>
      </c>
      <c r="X1398" t="s">
        <v>52</v>
      </c>
      <c r="Y1398" t="s">
        <v>60</v>
      </c>
      <c r="Z1398">
        <v>461.52692834872198</v>
      </c>
    </row>
    <row r="1399" spans="1:26" x14ac:dyDescent="0.3">
      <c r="A1399" t="s">
        <v>33</v>
      </c>
      <c r="B1399" t="s">
        <v>1455</v>
      </c>
      <c r="C1399">
        <v>36.069241194422602</v>
      </c>
      <c r="D1399">
        <v>31</v>
      </c>
      <c r="E1399">
        <v>776</v>
      </c>
      <c r="F1399">
        <v>1962.2787794183901</v>
      </c>
      <c r="G1399" t="s">
        <v>48</v>
      </c>
      <c r="H1399">
        <v>82</v>
      </c>
      <c r="I1399">
        <v>10</v>
      </c>
      <c r="J1399">
        <v>60</v>
      </c>
      <c r="K1399">
        <v>4</v>
      </c>
      <c r="L1399" t="s">
        <v>36</v>
      </c>
      <c r="M1399">
        <v>1.1764154155927899</v>
      </c>
      <c r="N1399" t="s">
        <v>51</v>
      </c>
      <c r="O1399" t="s">
        <v>29</v>
      </c>
      <c r="P1399">
        <f>VLOOKUP(O1399, Coordinates!$A$2:$C$6, 2, FALSE)</f>
        <v>29.760400000000001</v>
      </c>
      <c r="Q1399">
        <f>VLOOKUP(O1399, Coordinates!$A$2:$C$6, 3, FALSE)</f>
        <v>-95.369799999999998</v>
      </c>
      <c r="R1399">
        <v>30</v>
      </c>
      <c r="S1399">
        <v>529</v>
      </c>
      <c r="T1399">
        <v>21</v>
      </c>
      <c r="U1399">
        <v>33.206700014009002</v>
      </c>
      <c r="V1399" t="s">
        <v>30</v>
      </c>
      <c r="W1399">
        <v>3.1510431338954201</v>
      </c>
      <c r="X1399" t="s">
        <v>52</v>
      </c>
      <c r="Y1399" t="s">
        <v>60</v>
      </c>
      <c r="Z1399">
        <v>715.89940729281204</v>
      </c>
    </row>
    <row r="1400" spans="1:26" x14ac:dyDescent="0.3">
      <c r="A1400" t="s">
        <v>33</v>
      </c>
      <c r="B1400" t="s">
        <v>1456</v>
      </c>
      <c r="C1400">
        <v>89.555417419198903</v>
      </c>
      <c r="D1400">
        <v>28</v>
      </c>
      <c r="E1400">
        <v>991</v>
      </c>
      <c r="F1400">
        <v>5542.7889120898699</v>
      </c>
      <c r="G1400" t="s">
        <v>54</v>
      </c>
      <c r="H1400">
        <v>27</v>
      </c>
      <c r="I1400">
        <v>17</v>
      </c>
      <c r="J1400">
        <v>80</v>
      </c>
      <c r="K1400">
        <v>8</v>
      </c>
      <c r="L1400" t="s">
        <v>27</v>
      </c>
      <c r="M1400">
        <v>5.1748907387250904</v>
      </c>
      <c r="N1400" t="s">
        <v>57</v>
      </c>
      <c r="O1400" t="s">
        <v>38</v>
      </c>
      <c r="P1400">
        <f>VLOOKUP(O1400, Coordinates!$A$2:$C$6, 2, FALSE)</f>
        <v>25.761700000000001</v>
      </c>
      <c r="Q1400">
        <f>VLOOKUP(O1400, Coordinates!$A$2:$C$6, 3, FALSE)</f>
        <v>-80.191800000000001</v>
      </c>
      <c r="R1400">
        <v>7</v>
      </c>
      <c r="S1400">
        <v>527</v>
      </c>
      <c r="T1400">
        <v>16</v>
      </c>
      <c r="U1400">
        <v>77.195631849999998</v>
      </c>
      <c r="V1400" t="s">
        <v>30</v>
      </c>
      <c r="W1400">
        <v>0.99521639824582497</v>
      </c>
      <c r="X1400" t="s">
        <v>40</v>
      </c>
      <c r="Y1400" t="s">
        <v>60</v>
      </c>
      <c r="Z1400">
        <v>279.035268461339</v>
      </c>
    </row>
    <row r="1401" spans="1:26" x14ac:dyDescent="0.3">
      <c r="A1401" t="s">
        <v>42</v>
      </c>
      <c r="B1401" t="s">
        <v>1457</v>
      </c>
      <c r="C1401">
        <v>13.0086248880782</v>
      </c>
      <c r="D1401">
        <v>1</v>
      </c>
      <c r="E1401">
        <v>824</v>
      </c>
      <c r="F1401">
        <v>7273.8202443468199</v>
      </c>
      <c r="G1401" t="s">
        <v>54</v>
      </c>
      <c r="H1401">
        <v>27</v>
      </c>
      <c r="I1401">
        <v>4</v>
      </c>
      <c r="J1401">
        <v>80</v>
      </c>
      <c r="K1401">
        <v>2</v>
      </c>
      <c r="L1401" t="s">
        <v>27</v>
      </c>
      <c r="M1401">
        <v>14.9446597097705</v>
      </c>
      <c r="N1401" t="s">
        <v>28</v>
      </c>
      <c r="O1401" t="s">
        <v>29</v>
      </c>
      <c r="P1401">
        <f>VLOOKUP(O1401, Coordinates!$A$2:$C$6, 2, FALSE)</f>
        <v>29.760400000000001</v>
      </c>
      <c r="Q1401">
        <f>VLOOKUP(O1401, Coordinates!$A$2:$C$6, 3, FALSE)</f>
        <v>-95.369799999999998</v>
      </c>
      <c r="R1401">
        <v>10</v>
      </c>
      <c r="S1401">
        <v>392</v>
      </c>
      <c r="T1401">
        <v>23</v>
      </c>
      <c r="U1401">
        <v>61.045345205032099</v>
      </c>
      <c r="V1401" t="s">
        <v>30</v>
      </c>
      <c r="W1401">
        <v>0.15045493363896301</v>
      </c>
      <c r="X1401" t="s">
        <v>31</v>
      </c>
      <c r="Y1401" t="s">
        <v>60</v>
      </c>
      <c r="Z1401">
        <v>444.03176560000003</v>
      </c>
    </row>
    <row r="1402" spans="1:26" x14ac:dyDescent="0.3">
      <c r="A1402" t="s">
        <v>42</v>
      </c>
      <c r="B1402" t="s">
        <v>1458</v>
      </c>
      <c r="C1402">
        <v>81.6829852851628</v>
      </c>
      <c r="D1402">
        <v>25</v>
      </c>
      <c r="E1402">
        <v>763</v>
      </c>
      <c r="F1402">
        <v>6281.3840056620702</v>
      </c>
      <c r="G1402" t="s">
        <v>35</v>
      </c>
      <c r="H1402">
        <v>73</v>
      </c>
      <c r="I1402">
        <v>19</v>
      </c>
      <c r="J1402">
        <v>36</v>
      </c>
      <c r="K1402">
        <v>9</v>
      </c>
      <c r="L1402" t="s">
        <v>27</v>
      </c>
      <c r="M1402">
        <v>6.9897325977355802</v>
      </c>
      <c r="N1402" t="s">
        <v>45</v>
      </c>
      <c r="O1402" t="s">
        <v>38</v>
      </c>
      <c r="P1402">
        <f>VLOOKUP(O1402, Coordinates!$A$2:$C$6, 2, FALSE)</f>
        <v>25.761700000000001</v>
      </c>
      <c r="Q1402">
        <f>VLOOKUP(O1402, Coordinates!$A$2:$C$6, 3, FALSE)</f>
        <v>-80.191800000000001</v>
      </c>
      <c r="R1402">
        <v>26</v>
      </c>
      <c r="S1402">
        <v>679</v>
      </c>
      <c r="T1402">
        <v>20</v>
      </c>
      <c r="U1402">
        <v>48.172975640155201</v>
      </c>
      <c r="V1402" t="s">
        <v>39</v>
      </c>
      <c r="W1402">
        <v>4.16965113917355</v>
      </c>
      <c r="X1402" t="s">
        <v>40</v>
      </c>
      <c r="Y1402" t="s">
        <v>41</v>
      </c>
      <c r="Z1402">
        <v>130.072464979492</v>
      </c>
    </row>
    <row r="1403" spans="1:26" x14ac:dyDescent="0.3">
      <c r="A1403" t="s">
        <v>24</v>
      </c>
      <c r="B1403" t="s">
        <v>1459</v>
      </c>
      <c r="C1403">
        <v>34.513109514527301</v>
      </c>
      <c r="D1403">
        <v>43</v>
      </c>
      <c r="E1403">
        <v>477</v>
      </c>
      <c r="F1403">
        <v>14816.4779145866</v>
      </c>
      <c r="G1403" t="s">
        <v>26</v>
      </c>
      <c r="H1403">
        <v>83</v>
      </c>
      <c r="I1403">
        <v>18</v>
      </c>
      <c r="J1403">
        <v>19</v>
      </c>
      <c r="K1403">
        <v>6</v>
      </c>
      <c r="L1403" t="s">
        <v>27</v>
      </c>
      <c r="M1403">
        <v>13.4389095441009</v>
      </c>
      <c r="N1403" t="s">
        <v>28</v>
      </c>
      <c r="O1403" t="s">
        <v>67</v>
      </c>
      <c r="P1403">
        <f>VLOOKUP(O1403, Coordinates!$A$2:$C$6, 2, FALSE)</f>
        <v>40.712800000000001</v>
      </c>
      <c r="Q1403">
        <f>VLOOKUP(O1403, Coordinates!$A$2:$C$6, 3, FALSE)</f>
        <v>-74.006</v>
      </c>
      <c r="R1403">
        <v>7</v>
      </c>
      <c r="S1403">
        <v>848</v>
      </c>
      <c r="T1403">
        <v>26</v>
      </c>
      <c r="U1403">
        <v>80.484612671424699</v>
      </c>
      <c r="V1403" t="s">
        <v>39</v>
      </c>
      <c r="W1403">
        <v>4.1280977312946101</v>
      </c>
      <c r="X1403" t="s">
        <v>52</v>
      </c>
      <c r="Y1403" t="s">
        <v>60</v>
      </c>
      <c r="Z1403">
        <v>889.91034970572298</v>
      </c>
    </row>
    <row r="1404" spans="1:26" x14ac:dyDescent="0.3">
      <c r="A1404" t="s">
        <v>61</v>
      </c>
      <c r="B1404" t="s">
        <v>1460</v>
      </c>
      <c r="C1404">
        <v>82.638969579847995</v>
      </c>
      <c r="D1404">
        <v>84</v>
      </c>
      <c r="E1404">
        <v>675</v>
      </c>
      <c r="F1404">
        <v>1650.4453811021599</v>
      </c>
      <c r="G1404" t="s">
        <v>26</v>
      </c>
      <c r="H1404">
        <v>24</v>
      </c>
      <c r="I1404">
        <v>17</v>
      </c>
      <c r="J1404">
        <v>52</v>
      </c>
      <c r="K1404">
        <v>7</v>
      </c>
      <c r="L1404" t="s">
        <v>44</v>
      </c>
      <c r="M1404">
        <v>5.5919768771945497</v>
      </c>
      <c r="N1404" t="s">
        <v>28</v>
      </c>
      <c r="O1404" t="s">
        <v>58</v>
      </c>
      <c r="P1404">
        <f>VLOOKUP(O1404, Coordinates!$A$2:$C$6, 2, FALSE)</f>
        <v>34.052199999999999</v>
      </c>
      <c r="Q1404">
        <f>VLOOKUP(O1404, Coordinates!$A$2:$C$6, 3, FALSE)</f>
        <v>-118.2437</v>
      </c>
      <c r="R1404">
        <v>28</v>
      </c>
      <c r="S1404">
        <v>179</v>
      </c>
      <c r="T1404">
        <v>15</v>
      </c>
      <c r="U1404">
        <v>54.445934273176498</v>
      </c>
      <c r="V1404" t="s">
        <v>30</v>
      </c>
      <c r="W1404">
        <v>1.99572602778913</v>
      </c>
      <c r="X1404" t="s">
        <v>46</v>
      </c>
      <c r="Y1404" t="s">
        <v>32</v>
      </c>
      <c r="Z1404">
        <v>482.73136578967001</v>
      </c>
    </row>
    <row r="1405" spans="1:26" x14ac:dyDescent="0.3">
      <c r="A1405" t="s">
        <v>82</v>
      </c>
      <c r="B1405" t="s">
        <v>1461</v>
      </c>
      <c r="C1405">
        <v>53.709007454868697</v>
      </c>
      <c r="D1405">
        <v>67</v>
      </c>
      <c r="E1405">
        <v>719</v>
      </c>
      <c r="F1405">
        <v>7216.3093554924899</v>
      </c>
      <c r="G1405" t="s">
        <v>26</v>
      </c>
      <c r="H1405">
        <v>84</v>
      </c>
      <c r="I1405">
        <v>6</v>
      </c>
      <c r="J1405">
        <v>64</v>
      </c>
      <c r="K1405">
        <v>10</v>
      </c>
      <c r="L1405" t="s">
        <v>27</v>
      </c>
      <c r="M1405">
        <v>8.3546078517548796</v>
      </c>
      <c r="N1405" t="s">
        <v>45</v>
      </c>
      <c r="O1405" t="s">
        <v>38</v>
      </c>
      <c r="P1405">
        <f>VLOOKUP(O1405, Coordinates!$A$2:$C$6, 2, FALSE)</f>
        <v>25.761700000000001</v>
      </c>
      <c r="Q1405">
        <f>VLOOKUP(O1405, Coordinates!$A$2:$C$6, 3, FALSE)</f>
        <v>-80.191800000000001</v>
      </c>
      <c r="R1405">
        <v>27</v>
      </c>
      <c r="S1405">
        <v>185</v>
      </c>
      <c r="T1405">
        <v>5</v>
      </c>
      <c r="U1405">
        <v>69.171272370070895</v>
      </c>
      <c r="V1405" t="s">
        <v>39</v>
      </c>
      <c r="W1405">
        <v>4.3339703759999999</v>
      </c>
      <c r="X1405" t="s">
        <v>52</v>
      </c>
      <c r="Y1405" t="s">
        <v>32</v>
      </c>
      <c r="Z1405">
        <v>782.94267318046798</v>
      </c>
    </row>
    <row r="1406" spans="1:26" x14ac:dyDescent="0.3">
      <c r="A1406" t="s">
        <v>33</v>
      </c>
      <c r="B1406" t="s">
        <v>1462</v>
      </c>
      <c r="C1406">
        <v>46.646573102922297</v>
      </c>
      <c r="D1406">
        <v>63</v>
      </c>
      <c r="E1406">
        <v>887</v>
      </c>
      <c r="F1406">
        <v>5806.2495730000001</v>
      </c>
      <c r="G1406" t="s">
        <v>26</v>
      </c>
      <c r="H1406">
        <v>7</v>
      </c>
      <c r="I1406">
        <v>29</v>
      </c>
      <c r="J1406">
        <v>80</v>
      </c>
      <c r="K1406">
        <v>1</v>
      </c>
      <c r="L1406" t="s">
        <v>36</v>
      </c>
      <c r="M1406">
        <v>12.9590669229634</v>
      </c>
      <c r="N1406" t="s">
        <v>28</v>
      </c>
      <c r="O1406" t="s">
        <v>67</v>
      </c>
      <c r="P1406">
        <f>VLOOKUP(O1406, Coordinates!$A$2:$C$6, 2, FALSE)</f>
        <v>40.712800000000001</v>
      </c>
      <c r="Q1406">
        <f>VLOOKUP(O1406, Coordinates!$A$2:$C$6, 3, FALSE)</f>
        <v>-74.006</v>
      </c>
      <c r="R1406">
        <v>28</v>
      </c>
      <c r="S1406">
        <v>671</v>
      </c>
      <c r="T1406">
        <v>12</v>
      </c>
      <c r="U1406">
        <v>11.380797234089099</v>
      </c>
      <c r="V1406" t="s">
        <v>30</v>
      </c>
      <c r="W1406">
        <v>2.3451378142330102</v>
      </c>
      <c r="X1406" t="s">
        <v>31</v>
      </c>
      <c r="Y1406" t="s">
        <v>41</v>
      </c>
      <c r="Z1406">
        <v>925.16932060514</v>
      </c>
    </row>
    <row r="1407" spans="1:26" x14ac:dyDescent="0.3">
      <c r="A1407" t="s">
        <v>24</v>
      </c>
      <c r="B1407" t="s">
        <v>1463</v>
      </c>
      <c r="C1407">
        <v>29.356934467400901</v>
      </c>
      <c r="D1407">
        <v>51</v>
      </c>
      <c r="E1407">
        <v>984</v>
      </c>
      <c r="F1407">
        <v>25998.501164330301</v>
      </c>
      <c r="G1407" t="s">
        <v>54</v>
      </c>
      <c r="H1407">
        <v>85</v>
      </c>
      <c r="I1407">
        <v>7</v>
      </c>
      <c r="J1407">
        <v>15</v>
      </c>
      <c r="K1407">
        <v>3</v>
      </c>
      <c r="L1407" t="s">
        <v>36</v>
      </c>
      <c r="M1407">
        <v>9.4814878428550902</v>
      </c>
      <c r="N1407" t="s">
        <v>51</v>
      </c>
      <c r="O1407" t="s">
        <v>58</v>
      </c>
      <c r="P1407">
        <f>VLOOKUP(O1407, Coordinates!$A$2:$C$6, 2, FALSE)</f>
        <v>34.052199999999999</v>
      </c>
      <c r="Q1407">
        <f>VLOOKUP(O1407, Coordinates!$A$2:$C$6, 3, FALSE)</f>
        <v>-118.2437</v>
      </c>
      <c r="R1407">
        <v>6</v>
      </c>
      <c r="S1407">
        <v>147</v>
      </c>
      <c r="T1407">
        <v>4</v>
      </c>
      <c r="U1407">
        <v>83.365195931769307</v>
      </c>
      <c r="V1407" t="s">
        <v>30</v>
      </c>
      <c r="W1407">
        <v>3.7589441540499302</v>
      </c>
      <c r="X1407" t="s">
        <v>46</v>
      </c>
      <c r="Y1407" t="s">
        <v>32</v>
      </c>
      <c r="Z1407">
        <v>687.51382560594902</v>
      </c>
    </row>
    <row r="1408" spans="1:26" x14ac:dyDescent="0.3">
      <c r="A1408" t="s">
        <v>61</v>
      </c>
      <c r="B1408" t="s">
        <v>1464</v>
      </c>
      <c r="C1408">
        <v>26.771335369999999</v>
      </c>
      <c r="D1408">
        <v>2</v>
      </c>
      <c r="E1408">
        <v>296</v>
      </c>
      <c r="F1408">
        <v>4062.4748401062702</v>
      </c>
      <c r="G1408" t="s">
        <v>54</v>
      </c>
      <c r="H1408">
        <v>25</v>
      </c>
      <c r="I1408">
        <v>6</v>
      </c>
      <c r="J1408">
        <v>15</v>
      </c>
      <c r="K1408">
        <v>10</v>
      </c>
      <c r="L1408" t="s">
        <v>44</v>
      </c>
      <c r="M1408">
        <v>11.1526927970259</v>
      </c>
      <c r="N1408" t="s">
        <v>28</v>
      </c>
      <c r="O1408" t="s">
        <v>58</v>
      </c>
      <c r="P1408">
        <f>VLOOKUP(O1408, Coordinates!$A$2:$C$6, 2, FALSE)</f>
        <v>34.052199999999999</v>
      </c>
      <c r="Q1408">
        <f>VLOOKUP(O1408, Coordinates!$A$2:$C$6, 3, FALSE)</f>
        <v>-118.2437</v>
      </c>
      <c r="R1408">
        <v>27</v>
      </c>
      <c r="S1408">
        <v>790</v>
      </c>
      <c r="T1408">
        <v>3</v>
      </c>
      <c r="U1408">
        <v>89.982240954405896</v>
      </c>
      <c r="V1408" t="s">
        <v>55</v>
      </c>
      <c r="W1408">
        <v>2.4001244618928501</v>
      </c>
      <c r="X1408" t="s">
        <v>52</v>
      </c>
      <c r="Y1408" t="s">
        <v>41</v>
      </c>
      <c r="Z1408">
        <v>438.17203055653698</v>
      </c>
    </row>
    <row r="1409" spans="1:26" x14ac:dyDescent="0.3">
      <c r="A1409" t="s">
        <v>82</v>
      </c>
      <c r="B1409" t="s">
        <v>1465</v>
      </c>
      <c r="C1409">
        <v>56.953216758224201</v>
      </c>
      <c r="D1409">
        <v>82</v>
      </c>
      <c r="E1409">
        <v>954</v>
      </c>
      <c r="F1409">
        <v>6587.4936949677303</v>
      </c>
      <c r="H1409">
        <v>74</v>
      </c>
      <c r="I1409">
        <v>25</v>
      </c>
      <c r="J1409">
        <v>86</v>
      </c>
      <c r="K1409">
        <v>5</v>
      </c>
      <c r="L1409" t="s">
        <v>27</v>
      </c>
      <c r="M1409">
        <v>4.2036648590738901</v>
      </c>
      <c r="N1409" t="s">
        <v>45</v>
      </c>
      <c r="O1409" t="s">
        <v>38</v>
      </c>
      <c r="P1409">
        <f>VLOOKUP(O1409, Coordinates!$A$2:$C$6, 2, FALSE)</f>
        <v>25.761700000000001</v>
      </c>
      <c r="Q1409">
        <f>VLOOKUP(O1409, Coordinates!$A$2:$C$6, 3, FALSE)</f>
        <v>-80.191800000000001</v>
      </c>
      <c r="R1409">
        <v>25</v>
      </c>
      <c r="S1409">
        <v>967</v>
      </c>
      <c r="T1409">
        <v>29</v>
      </c>
      <c r="U1409">
        <v>78.306315499999997</v>
      </c>
      <c r="V1409" t="s">
        <v>55</v>
      </c>
      <c r="W1409">
        <v>4.0160623257708004</v>
      </c>
      <c r="X1409" t="s">
        <v>40</v>
      </c>
      <c r="Y1409" t="s">
        <v>60</v>
      </c>
      <c r="Z1409">
        <v>657.57563539097498</v>
      </c>
    </row>
    <row r="1410" spans="1:26" x14ac:dyDescent="0.3">
      <c r="A1410" t="s">
        <v>72</v>
      </c>
      <c r="B1410" t="s">
        <v>1466</v>
      </c>
      <c r="C1410">
        <v>36.8431037681543</v>
      </c>
      <c r="D1410">
        <v>64</v>
      </c>
      <c r="E1410">
        <v>826</v>
      </c>
      <c r="F1410">
        <v>27389.163341245901</v>
      </c>
      <c r="G1410" t="s">
        <v>26</v>
      </c>
      <c r="H1410">
        <v>70</v>
      </c>
      <c r="I1410">
        <v>12</v>
      </c>
      <c r="J1410">
        <v>57</v>
      </c>
      <c r="K1410">
        <v>7</v>
      </c>
      <c r="L1410" t="s">
        <v>36</v>
      </c>
      <c r="M1410">
        <v>3.1824661243719499</v>
      </c>
      <c r="N1410" t="s">
        <v>57</v>
      </c>
      <c r="O1410" t="s">
        <v>29</v>
      </c>
      <c r="P1410">
        <f>VLOOKUP(O1410, Coordinates!$A$2:$C$6, 2, FALSE)</f>
        <v>29.760400000000001</v>
      </c>
      <c r="Q1410">
        <f>VLOOKUP(O1410, Coordinates!$A$2:$C$6, 3, FALSE)</f>
        <v>-95.369799999999998</v>
      </c>
      <c r="R1410">
        <v>6</v>
      </c>
      <c r="S1410">
        <v>183</v>
      </c>
      <c r="T1410">
        <v>27</v>
      </c>
      <c r="U1410">
        <v>83.505470495281301</v>
      </c>
      <c r="V1410" t="s">
        <v>30</v>
      </c>
      <c r="W1410">
        <v>1.03199899799824</v>
      </c>
      <c r="X1410" t="s">
        <v>31</v>
      </c>
      <c r="Y1410" t="s">
        <v>41</v>
      </c>
      <c r="Z1410">
        <v>424.29794307020501</v>
      </c>
    </row>
    <row r="1411" spans="1:26" x14ac:dyDescent="0.3">
      <c r="A1411" t="s">
        <v>49</v>
      </c>
      <c r="B1411" t="s">
        <v>1467</v>
      </c>
      <c r="C1411">
        <v>71.582425406835995</v>
      </c>
      <c r="D1411">
        <v>74</v>
      </c>
      <c r="E1411">
        <v>635</v>
      </c>
      <c r="F1411">
        <v>5465.5833349100303</v>
      </c>
      <c r="G1411" t="s">
        <v>26</v>
      </c>
      <c r="H1411">
        <v>16</v>
      </c>
      <c r="I1411">
        <v>9</v>
      </c>
      <c r="J1411">
        <v>86</v>
      </c>
      <c r="K1411">
        <v>1</v>
      </c>
      <c r="L1411" t="s">
        <v>44</v>
      </c>
      <c r="M1411">
        <v>4.22429020773518</v>
      </c>
      <c r="N1411" t="s">
        <v>57</v>
      </c>
      <c r="O1411" t="s">
        <v>58</v>
      </c>
      <c r="P1411">
        <f>VLOOKUP(O1411, Coordinates!$A$2:$C$6, 2, FALSE)</f>
        <v>34.052199999999999</v>
      </c>
      <c r="Q1411">
        <f>VLOOKUP(O1411, Coordinates!$A$2:$C$6, 3, FALSE)</f>
        <v>-118.2437</v>
      </c>
      <c r="R1411">
        <v>7</v>
      </c>
      <c r="S1411">
        <v>706</v>
      </c>
      <c r="T1411">
        <v>29</v>
      </c>
      <c r="U1411">
        <v>91.014373640195601</v>
      </c>
      <c r="V1411" t="s">
        <v>55</v>
      </c>
      <c r="W1411">
        <v>0.93948683496287499</v>
      </c>
      <c r="X1411" t="s">
        <v>46</v>
      </c>
      <c r="Y1411" t="s">
        <v>60</v>
      </c>
      <c r="Z1411">
        <v>610.58257530000003</v>
      </c>
    </row>
    <row r="1412" spans="1:26" x14ac:dyDescent="0.3">
      <c r="A1412" t="s">
        <v>42</v>
      </c>
      <c r="B1412" t="s">
        <v>1468</v>
      </c>
      <c r="C1412">
        <v>24.3823432451649</v>
      </c>
      <c r="D1412">
        <v>69</v>
      </c>
      <c r="E1412">
        <v>387</v>
      </c>
      <c r="F1412">
        <v>8422.5084766922791</v>
      </c>
      <c r="G1412" t="s">
        <v>35</v>
      </c>
      <c r="H1412">
        <v>81</v>
      </c>
      <c r="I1412">
        <v>18</v>
      </c>
      <c r="J1412">
        <v>11</v>
      </c>
      <c r="K1412">
        <v>9</v>
      </c>
      <c r="L1412" t="s">
        <v>27</v>
      </c>
      <c r="M1412">
        <v>7.9026810480187901</v>
      </c>
      <c r="N1412" t="s">
        <v>57</v>
      </c>
      <c r="O1412" t="s">
        <v>65</v>
      </c>
      <c r="P1412">
        <f>VLOOKUP(O1412, Coordinates!$A$2:$C$6, 2, FALSE)</f>
        <v>41.878100000000003</v>
      </c>
      <c r="Q1412">
        <f>VLOOKUP(O1412, Coordinates!$A$2:$C$6, 3, FALSE)</f>
        <v>-87.629800000000003</v>
      </c>
      <c r="R1412">
        <v>25</v>
      </c>
      <c r="S1412">
        <v>407</v>
      </c>
      <c r="T1412">
        <v>1</v>
      </c>
      <c r="U1412">
        <v>53.759846188680001</v>
      </c>
      <c r="V1412" t="s">
        <v>30</v>
      </c>
      <c r="W1412">
        <v>2.5393165920216698</v>
      </c>
      <c r="X1412" t="s">
        <v>31</v>
      </c>
      <c r="Y1412" t="s">
        <v>32</v>
      </c>
      <c r="Z1412">
        <v>488.948791344271</v>
      </c>
    </row>
    <row r="1413" spans="1:26" x14ac:dyDescent="0.3">
      <c r="A1413" t="s">
        <v>72</v>
      </c>
      <c r="B1413" t="s">
        <v>1469</v>
      </c>
      <c r="C1413">
        <v>33.5009045801567</v>
      </c>
      <c r="D1413">
        <v>9</v>
      </c>
      <c r="E1413">
        <v>21</v>
      </c>
      <c r="F1413">
        <v>633.16709656496198</v>
      </c>
      <c r="G1413" t="s">
        <v>35</v>
      </c>
      <c r="H1413">
        <v>6</v>
      </c>
      <c r="I1413">
        <v>2</v>
      </c>
      <c r="J1413">
        <v>92</v>
      </c>
      <c r="K1413">
        <v>5</v>
      </c>
      <c r="L1413" t="s">
        <v>44</v>
      </c>
      <c r="M1413">
        <v>12.213506706749399</v>
      </c>
      <c r="N1413" t="s">
        <v>45</v>
      </c>
      <c r="O1413" t="s">
        <v>38</v>
      </c>
      <c r="P1413">
        <f>VLOOKUP(O1413, Coordinates!$A$2:$C$6, 2, FALSE)</f>
        <v>25.761700000000001</v>
      </c>
      <c r="Q1413">
        <f>VLOOKUP(O1413, Coordinates!$A$2:$C$6, 3, FALSE)</f>
        <v>-80.191800000000001</v>
      </c>
      <c r="R1413">
        <v>28</v>
      </c>
      <c r="S1413">
        <v>351</v>
      </c>
      <c r="T1413">
        <v>13</v>
      </c>
      <c r="U1413">
        <v>86.442153159158593</v>
      </c>
      <c r="V1413" t="s">
        <v>39</v>
      </c>
      <c r="W1413">
        <v>4.1431089891144701</v>
      </c>
      <c r="X1413" t="s">
        <v>52</v>
      </c>
      <c r="Y1413" t="s">
        <v>41</v>
      </c>
      <c r="Z1413">
        <v>234.88157938354999</v>
      </c>
    </row>
    <row r="1414" spans="1:26" x14ac:dyDescent="0.3">
      <c r="A1414" t="s">
        <v>82</v>
      </c>
      <c r="B1414" t="s">
        <v>1470</v>
      </c>
      <c r="C1414">
        <v>82.745108815726994</v>
      </c>
      <c r="D1414">
        <v>2</v>
      </c>
      <c r="E1414">
        <v>497</v>
      </c>
      <c r="G1414" t="s">
        <v>35</v>
      </c>
      <c r="H1414">
        <v>55</v>
      </c>
      <c r="I1414">
        <v>25</v>
      </c>
      <c r="J1414">
        <v>60</v>
      </c>
      <c r="K1414">
        <v>3</v>
      </c>
      <c r="L1414" t="s">
        <v>27</v>
      </c>
      <c r="M1414">
        <v>5.9559139066677202</v>
      </c>
      <c r="N1414" t="s">
        <v>45</v>
      </c>
      <c r="O1414" t="s">
        <v>38</v>
      </c>
      <c r="P1414">
        <f>VLOOKUP(O1414, Coordinates!$A$2:$C$6, 2, FALSE)</f>
        <v>25.761700000000001</v>
      </c>
      <c r="Q1414">
        <f>VLOOKUP(O1414, Coordinates!$A$2:$C$6, 3, FALSE)</f>
        <v>-80.191800000000001</v>
      </c>
      <c r="R1414">
        <v>29</v>
      </c>
      <c r="S1414">
        <v>580</v>
      </c>
      <c r="T1414">
        <v>5</v>
      </c>
      <c r="U1414">
        <v>44.393756250000003</v>
      </c>
      <c r="V1414" t="s">
        <v>39</v>
      </c>
      <c r="W1414">
        <v>4.4290577011171504</v>
      </c>
      <c r="X1414" t="s">
        <v>31</v>
      </c>
      <c r="Y1414" t="s">
        <v>60</v>
      </c>
      <c r="Z1414">
        <v>802.09103265723297</v>
      </c>
    </row>
    <row r="1415" spans="1:26" x14ac:dyDescent="0.3">
      <c r="A1415" t="s">
        <v>72</v>
      </c>
      <c r="B1415" t="s">
        <v>1471</v>
      </c>
      <c r="C1415">
        <v>30.9671701288439</v>
      </c>
      <c r="D1415">
        <v>34</v>
      </c>
      <c r="E1415">
        <v>335</v>
      </c>
      <c r="F1415">
        <v>9336.6017938464502</v>
      </c>
      <c r="G1415" t="s">
        <v>48</v>
      </c>
      <c r="H1415">
        <v>63</v>
      </c>
      <c r="I1415">
        <v>17</v>
      </c>
      <c r="J1415">
        <v>70</v>
      </c>
      <c r="K1415">
        <v>10</v>
      </c>
      <c r="L1415" t="s">
        <v>44</v>
      </c>
      <c r="M1415">
        <v>8.9074209478875908</v>
      </c>
      <c r="N1415" t="s">
        <v>51</v>
      </c>
      <c r="O1415" t="s">
        <v>58</v>
      </c>
      <c r="P1415">
        <f>VLOOKUP(O1415, Coordinates!$A$2:$C$6, 2, FALSE)</f>
        <v>34.052199999999999</v>
      </c>
      <c r="Q1415">
        <f>VLOOKUP(O1415, Coordinates!$A$2:$C$6, 3, FALSE)</f>
        <v>-118.2437</v>
      </c>
      <c r="R1415">
        <v>26</v>
      </c>
      <c r="S1415">
        <v>944</v>
      </c>
      <c r="T1415">
        <v>12</v>
      </c>
      <c r="U1415">
        <v>75.753326603278893</v>
      </c>
      <c r="V1415" t="s">
        <v>30</v>
      </c>
      <c r="W1415">
        <v>3.0359747052158399</v>
      </c>
      <c r="X1415" t="s">
        <v>46</v>
      </c>
      <c r="Y1415" t="s">
        <v>41</v>
      </c>
      <c r="Z1415">
        <v>973.84176370193495</v>
      </c>
    </row>
    <row r="1416" spans="1:26" x14ac:dyDescent="0.3">
      <c r="A1416" t="s">
        <v>49</v>
      </c>
      <c r="B1416" t="s">
        <v>1472</v>
      </c>
      <c r="C1416">
        <v>91.594522865905006</v>
      </c>
      <c r="D1416">
        <v>60</v>
      </c>
      <c r="E1416">
        <v>930</v>
      </c>
      <c r="F1416">
        <v>1462.0093419130901</v>
      </c>
      <c r="G1416" t="s">
        <v>35</v>
      </c>
      <c r="H1416">
        <v>19</v>
      </c>
      <c r="I1416">
        <v>21</v>
      </c>
      <c r="J1416">
        <v>28</v>
      </c>
      <c r="K1416">
        <v>10</v>
      </c>
      <c r="L1416" t="s">
        <v>44</v>
      </c>
      <c r="M1416">
        <v>12.2673744536953</v>
      </c>
      <c r="N1416" t="s">
        <v>45</v>
      </c>
      <c r="O1416" t="s">
        <v>38</v>
      </c>
      <c r="P1416">
        <f>VLOOKUP(O1416, Coordinates!$A$2:$C$6, 2, FALSE)</f>
        <v>25.761700000000001</v>
      </c>
      <c r="Q1416">
        <f>VLOOKUP(O1416, Coordinates!$A$2:$C$6, 3, FALSE)</f>
        <v>-80.191800000000001</v>
      </c>
      <c r="R1416">
        <v>29</v>
      </c>
      <c r="S1416">
        <v>279</v>
      </c>
      <c r="T1416">
        <v>2</v>
      </c>
      <c r="U1416">
        <v>38.710137782878597</v>
      </c>
      <c r="V1416" t="s">
        <v>39</v>
      </c>
      <c r="W1416">
        <v>3.8172179013284402</v>
      </c>
      <c r="X1416" t="s">
        <v>40</v>
      </c>
      <c r="Y1416" t="s">
        <v>60</v>
      </c>
      <c r="Z1416">
        <v>271.12838876944897</v>
      </c>
    </row>
    <row r="1417" spans="1:26" x14ac:dyDescent="0.3">
      <c r="A1417" t="s">
        <v>24</v>
      </c>
      <c r="B1417" t="s">
        <v>1473</v>
      </c>
      <c r="C1417">
        <v>25.457736315502601</v>
      </c>
      <c r="D1417">
        <v>61</v>
      </c>
      <c r="E1417">
        <v>743</v>
      </c>
      <c r="F1417">
        <v>17023.5882741766</v>
      </c>
      <c r="G1417" t="s">
        <v>35</v>
      </c>
      <c r="H1417">
        <v>37</v>
      </c>
      <c r="I1417">
        <v>1</v>
      </c>
      <c r="J1417">
        <v>11</v>
      </c>
      <c r="K1417">
        <v>8</v>
      </c>
      <c r="L1417" t="s">
        <v>36</v>
      </c>
      <c r="M1417">
        <v>4.3428705252969797</v>
      </c>
      <c r="N1417" t="s">
        <v>57</v>
      </c>
      <c r="O1417" t="s">
        <v>29</v>
      </c>
      <c r="P1417">
        <f>VLOOKUP(O1417, Coordinates!$A$2:$C$6, 2, FALSE)</f>
        <v>29.760400000000001</v>
      </c>
      <c r="Q1417">
        <f>VLOOKUP(O1417, Coordinates!$A$2:$C$6, 3, FALSE)</f>
        <v>-95.369799999999998</v>
      </c>
      <c r="R1417">
        <v>8</v>
      </c>
      <c r="S1417">
        <v>695</v>
      </c>
      <c r="T1417">
        <v>6</v>
      </c>
      <c r="U1417">
        <v>79.958980766644203</v>
      </c>
      <c r="V1417" t="s">
        <v>55</v>
      </c>
      <c r="W1417">
        <v>3.5385607920941</v>
      </c>
      <c r="X1417" t="s">
        <v>46</v>
      </c>
      <c r="Y1417" t="s">
        <v>41</v>
      </c>
      <c r="Z1417">
        <v>902.64670585599697</v>
      </c>
    </row>
    <row r="1418" spans="1:26" x14ac:dyDescent="0.3">
      <c r="A1418" t="s">
        <v>82</v>
      </c>
      <c r="B1418" t="s">
        <v>1474</v>
      </c>
      <c r="C1418">
        <v>38.817248086397399</v>
      </c>
      <c r="D1418">
        <v>31</v>
      </c>
      <c r="E1418">
        <v>877</v>
      </c>
      <c r="F1418">
        <v>4035.1397575225701</v>
      </c>
      <c r="G1418" t="s">
        <v>48</v>
      </c>
      <c r="H1418">
        <v>74</v>
      </c>
      <c r="I1418">
        <v>23</v>
      </c>
      <c r="J1418">
        <v>60</v>
      </c>
      <c r="K1418">
        <v>10</v>
      </c>
      <c r="L1418" t="s">
        <v>36</v>
      </c>
      <c r="M1418">
        <v>13.3616602888773</v>
      </c>
      <c r="N1418" t="s">
        <v>45</v>
      </c>
      <c r="O1418" t="s">
        <v>38</v>
      </c>
      <c r="P1418">
        <f>VLOOKUP(O1418, Coordinates!$A$2:$C$6, 2, FALSE)</f>
        <v>25.761700000000001</v>
      </c>
      <c r="Q1418">
        <f>VLOOKUP(O1418, Coordinates!$A$2:$C$6, 3, FALSE)</f>
        <v>-80.191800000000001</v>
      </c>
      <c r="R1418">
        <v>26</v>
      </c>
      <c r="S1418">
        <v>409</v>
      </c>
      <c r="T1418">
        <v>5</v>
      </c>
      <c r="U1418">
        <v>96.969363688654099</v>
      </c>
      <c r="V1418" t="s">
        <v>39</v>
      </c>
      <c r="W1418">
        <v>3.70114443687882</v>
      </c>
      <c r="X1418" t="s">
        <v>31</v>
      </c>
      <c r="Y1418" t="s">
        <v>41</v>
      </c>
      <c r="Z1418">
        <v>867.89685137662605</v>
      </c>
    </row>
    <row r="1419" spans="1:26" x14ac:dyDescent="0.3">
      <c r="A1419" t="s">
        <v>72</v>
      </c>
      <c r="B1419" t="s">
        <v>1475</v>
      </c>
      <c r="C1419">
        <v>27.346872753714699</v>
      </c>
      <c r="D1419">
        <v>10</v>
      </c>
      <c r="E1419">
        <v>490</v>
      </c>
      <c r="F1419">
        <v>12059.9708843882</v>
      </c>
      <c r="G1419" t="s">
        <v>26</v>
      </c>
      <c r="H1419">
        <v>57</v>
      </c>
      <c r="I1419">
        <v>9</v>
      </c>
      <c r="J1419">
        <v>35</v>
      </c>
      <c r="K1419">
        <v>10</v>
      </c>
      <c r="L1419" t="s">
        <v>44</v>
      </c>
      <c r="M1419">
        <v>14.3431523711133</v>
      </c>
      <c r="N1419" t="s">
        <v>37</v>
      </c>
      <c r="O1419" t="s">
        <v>58</v>
      </c>
      <c r="P1419">
        <f>VLOOKUP(O1419, Coordinates!$A$2:$C$6, 2, FALSE)</f>
        <v>34.052199999999999</v>
      </c>
      <c r="Q1419">
        <f>VLOOKUP(O1419, Coordinates!$A$2:$C$6, 3, FALSE)</f>
        <v>-118.2437</v>
      </c>
      <c r="R1419">
        <v>19</v>
      </c>
      <c r="S1419">
        <v>525</v>
      </c>
      <c r="T1419">
        <v>27</v>
      </c>
      <c r="U1419">
        <v>84.337881679999995</v>
      </c>
      <c r="V1419" t="s">
        <v>55</v>
      </c>
      <c r="W1419">
        <v>4.8962876418888897</v>
      </c>
      <c r="X1419" t="s">
        <v>40</v>
      </c>
      <c r="Y1419" t="s">
        <v>41</v>
      </c>
      <c r="Z1419">
        <v>602.94353490000003</v>
      </c>
    </row>
    <row r="1420" spans="1:26" x14ac:dyDescent="0.3">
      <c r="A1420" t="s">
        <v>42</v>
      </c>
      <c r="B1420" t="s">
        <v>1476</v>
      </c>
      <c r="C1420">
        <v>12.328791011260201</v>
      </c>
      <c r="D1420">
        <v>76</v>
      </c>
      <c r="E1420">
        <v>410</v>
      </c>
      <c r="F1420">
        <v>7685.3935142637902</v>
      </c>
      <c r="G1420" t="s">
        <v>54</v>
      </c>
      <c r="H1420">
        <v>15</v>
      </c>
      <c r="I1420">
        <v>6</v>
      </c>
      <c r="J1420">
        <v>79</v>
      </c>
      <c r="K1420">
        <v>3</v>
      </c>
      <c r="L1420" t="s">
        <v>27</v>
      </c>
      <c r="M1420">
        <v>1.5455819011905001</v>
      </c>
      <c r="N1420" t="s">
        <v>28</v>
      </c>
      <c r="O1420" t="s">
        <v>29</v>
      </c>
      <c r="P1420">
        <f>VLOOKUP(O1420, Coordinates!$A$2:$C$6, 2, FALSE)</f>
        <v>29.760400000000001</v>
      </c>
      <c r="Q1420">
        <f>VLOOKUP(O1420, Coordinates!$A$2:$C$6, 3, FALSE)</f>
        <v>-95.369799999999998</v>
      </c>
      <c r="R1420">
        <v>28</v>
      </c>
      <c r="S1420">
        <v>585</v>
      </c>
      <c r="T1420">
        <v>18</v>
      </c>
      <c r="U1420">
        <v>19.4729810721436</v>
      </c>
      <c r="V1420" t="s">
        <v>39</v>
      </c>
      <c r="W1420">
        <v>4.8267814352915703</v>
      </c>
      <c r="X1420" t="s">
        <v>40</v>
      </c>
      <c r="Y1420" t="s">
        <v>41</v>
      </c>
      <c r="Z1420">
        <v>973.28680919999999</v>
      </c>
    </row>
    <row r="1421" spans="1:26" x14ac:dyDescent="0.3">
      <c r="A1421" t="s">
        <v>42</v>
      </c>
      <c r="B1421" t="s">
        <v>1477</v>
      </c>
      <c r="C1421">
        <v>91.560987092107496</v>
      </c>
      <c r="D1421">
        <v>36</v>
      </c>
      <c r="E1421">
        <v>121</v>
      </c>
      <c r="F1421">
        <v>1457.68571950365</v>
      </c>
      <c r="G1421" t="s">
        <v>26</v>
      </c>
      <c r="H1421">
        <v>50</v>
      </c>
      <c r="I1421">
        <v>30</v>
      </c>
      <c r="J1421">
        <v>29</v>
      </c>
      <c r="K1421">
        <v>7</v>
      </c>
      <c r="L1421" t="s">
        <v>27</v>
      </c>
      <c r="M1421">
        <v>1.8275555411870199</v>
      </c>
      <c r="N1421" t="s">
        <v>51</v>
      </c>
      <c r="O1421" t="s">
        <v>65</v>
      </c>
      <c r="P1421">
        <f>VLOOKUP(O1421, Coordinates!$A$2:$C$6, 2, FALSE)</f>
        <v>41.878100000000003</v>
      </c>
      <c r="Q1421">
        <f>VLOOKUP(O1421, Coordinates!$A$2:$C$6, 3, FALSE)</f>
        <v>-87.629800000000003</v>
      </c>
      <c r="R1421">
        <v>21</v>
      </c>
      <c r="S1421">
        <v>761</v>
      </c>
      <c r="T1421">
        <v>24</v>
      </c>
      <c r="U1421">
        <v>13.898441750951401</v>
      </c>
      <c r="V1421" t="s">
        <v>30</v>
      </c>
      <c r="W1421">
        <v>3.99920357232295</v>
      </c>
      <c r="X1421" t="s">
        <v>31</v>
      </c>
      <c r="Y1421" t="s">
        <v>60</v>
      </c>
      <c r="Z1421">
        <v>934.45324083442904</v>
      </c>
    </row>
    <row r="1422" spans="1:26" x14ac:dyDescent="0.3">
      <c r="A1422" t="s">
        <v>61</v>
      </c>
      <c r="B1422" t="s">
        <v>1478</v>
      </c>
      <c r="C1422">
        <v>38.711778920884001</v>
      </c>
      <c r="D1422">
        <v>85</v>
      </c>
      <c r="E1422">
        <v>559</v>
      </c>
      <c r="F1422">
        <v>2990.1093660011302</v>
      </c>
      <c r="G1422" t="s">
        <v>54</v>
      </c>
      <c r="H1422">
        <v>26</v>
      </c>
      <c r="I1422">
        <v>2</v>
      </c>
      <c r="J1422">
        <v>32</v>
      </c>
      <c r="K1422">
        <v>7</v>
      </c>
      <c r="L1422" t="s">
        <v>27</v>
      </c>
      <c r="M1422">
        <v>2.27343606244703</v>
      </c>
      <c r="N1422" t="s">
        <v>57</v>
      </c>
      <c r="O1422" t="s">
        <v>58</v>
      </c>
      <c r="P1422">
        <f>VLOOKUP(O1422, Coordinates!$A$2:$C$6, 2, FALSE)</f>
        <v>34.052199999999999</v>
      </c>
      <c r="Q1422">
        <f>VLOOKUP(O1422, Coordinates!$A$2:$C$6, 3, FALSE)</f>
        <v>-118.2437</v>
      </c>
      <c r="R1422">
        <v>22</v>
      </c>
      <c r="S1422">
        <v>138</v>
      </c>
      <c r="T1422">
        <v>5</v>
      </c>
      <c r="U1422">
        <v>38.804006778423997</v>
      </c>
      <c r="V1422" t="s">
        <v>30</v>
      </c>
      <c r="W1422">
        <v>4.7719526402575498</v>
      </c>
      <c r="X1422" t="s">
        <v>46</v>
      </c>
      <c r="Y1422" t="s">
        <v>60</v>
      </c>
      <c r="Z1422">
        <v>907.305254121556</v>
      </c>
    </row>
    <row r="1423" spans="1:26" x14ac:dyDescent="0.3">
      <c r="A1423" t="s">
        <v>72</v>
      </c>
      <c r="B1423" t="s">
        <v>1479</v>
      </c>
      <c r="C1423">
        <v>39.781102318190598</v>
      </c>
      <c r="D1423">
        <v>49</v>
      </c>
      <c r="E1423">
        <v>884</v>
      </c>
      <c r="F1423">
        <v>31649.845004352399</v>
      </c>
      <c r="G1423" t="s">
        <v>54</v>
      </c>
      <c r="H1423">
        <v>50</v>
      </c>
      <c r="I1423">
        <v>6</v>
      </c>
      <c r="J1423">
        <v>63</v>
      </c>
      <c r="K1423">
        <v>4</v>
      </c>
      <c r="L1423" t="s">
        <v>27</v>
      </c>
      <c r="M1423">
        <v>11.874757719134999</v>
      </c>
      <c r="N1423" t="s">
        <v>57</v>
      </c>
      <c r="O1423" t="s">
        <v>65</v>
      </c>
      <c r="P1423">
        <f>VLOOKUP(O1423, Coordinates!$A$2:$C$6, 2, FALSE)</f>
        <v>41.878100000000003</v>
      </c>
      <c r="Q1423">
        <f>VLOOKUP(O1423, Coordinates!$A$2:$C$6, 3, FALSE)</f>
        <v>-87.629800000000003</v>
      </c>
      <c r="R1423">
        <v>7</v>
      </c>
      <c r="S1423">
        <v>378</v>
      </c>
      <c r="T1423">
        <v>18</v>
      </c>
      <c r="U1423">
        <v>85.8458613287426</v>
      </c>
      <c r="V1423" t="s">
        <v>30</v>
      </c>
      <c r="W1423">
        <v>1.02389120808831</v>
      </c>
      <c r="X1423" t="s">
        <v>40</v>
      </c>
      <c r="Y1423" t="s">
        <v>41</v>
      </c>
      <c r="Z1423">
        <v>219.96259826571301</v>
      </c>
    </row>
    <row r="1424" spans="1:26" x14ac:dyDescent="0.3">
      <c r="A1424" t="s">
        <v>33</v>
      </c>
      <c r="B1424" t="s">
        <v>1480</v>
      </c>
      <c r="C1424">
        <v>25.457716229999999</v>
      </c>
      <c r="D1424">
        <v>70</v>
      </c>
      <c r="E1424">
        <v>904</v>
      </c>
      <c r="F1424">
        <v>5928.5078572852799</v>
      </c>
      <c r="G1424" t="s">
        <v>35</v>
      </c>
      <c r="H1424">
        <v>2</v>
      </c>
      <c r="I1424">
        <v>23</v>
      </c>
      <c r="J1424">
        <v>24</v>
      </c>
      <c r="K1424">
        <v>10</v>
      </c>
      <c r="L1424" t="s">
        <v>27</v>
      </c>
      <c r="M1424">
        <v>3.6507172325056798</v>
      </c>
      <c r="N1424" t="s">
        <v>37</v>
      </c>
      <c r="O1424" t="s">
        <v>67</v>
      </c>
      <c r="P1424">
        <f>VLOOKUP(O1424, Coordinates!$A$2:$C$6, 2, FALSE)</f>
        <v>40.712800000000001</v>
      </c>
      <c r="Q1424">
        <f>VLOOKUP(O1424, Coordinates!$A$2:$C$6, 3, FALSE)</f>
        <v>-74.006</v>
      </c>
      <c r="R1424">
        <v>12</v>
      </c>
      <c r="S1424">
        <v>915</v>
      </c>
      <c r="T1424">
        <v>16</v>
      </c>
      <c r="U1424">
        <v>18.506407966259101</v>
      </c>
      <c r="V1424" t="s">
        <v>55</v>
      </c>
      <c r="W1424">
        <v>3.7546158289817</v>
      </c>
      <c r="X1424" t="s">
        <v>40</v>
      </c>
      <c r="Y1424" t="s">
        <v>41</v>
      </c>
      <c r="Z1424">
        <v>365.16660815685702</v>
      </c>
    </row>
    <row r="1425" spans="1:26" x14ac:dyDescent="0.3">
      <c r="A1425" t="s">
        <v>72</v>
      </c>
      <c r="B1425" t="s">
        <v>1481</v>
      </c>
      <c r="C1425">
        <v>38.122429620968603</v>
      </c>
      <c r="D1425">
        <v>49</v>
      </c>
      <c r="E1425">
        <v>799</v>
      </c>
      <c r="F1425">
        <v>27413.8391404385</v>
      </c>
      <c r="G1425" t="s">
        <v>35</v>
      </c>
      <c r="H1425">
        <v>15</v>
      </c>
      <c r="I1425">
        <v>3</v>
      </c>
      <c r="J1425">
        <v>15</v>
      </c>
      <c r="K1425">
        <v>9</v>
      </c>
      <c r="L1425" t="s">
        <v>36</v>
      </c>
      <c r="M1425">
        <v>11.159743810522601</v>
      </c>
      <c r="N1425" t="s">
        <v>51</v>
      </c>
      <c r="O1425" t="s">
        <v>38</v>
      </c>
      <c r="P1425">
        <f>VLOOKUP(O1425, Coordinates!$A$2:$C$6, 2, FALSE)</f>
        <v>25.761700000000001</v>
      </c>
      <c r="Q1425">
        <f>VLOOKUP(O1425, Coordinates!$A$2:$C$6, 3, FALSE)</f>
        <v>-80.191800000000001</v>
      </c>
      <c r="R1425">
        <v>20</v>
      </c>
      <c r="S1425">
        <v>724</v>
      </c>
      <c r="T1425">
        <v>17</v>
      </c>
      <c r="U1425">
        <v>78.1751121145371</v>
      </c>
      <c r="V1425" t="s">
        <v>55</v>
      </c>
      <c r="W1425">
        <v>1.6082931665972799</v>
      </c>
      <c r="X1425" t="s">
        <v>31</v>
      </c>
      <c r="Y1425" t="s">
        <v>32</v>
      </c>
      <c r="Z1425">
        <v>469.171193778842</v>
      </c>
    </row>
    <row r="1426" spans="1:26" x14ac:dyDescent="0.3">
      <c r="A1426" t="s">
        <v>24</v>
      </c>
      <c r="B1426" t="s">
        <v>1482</v>
      </c>
      <c r="C1426">
        <v>33.912946399917203</v>
      </c>
      <c r="D1426">
        <v>3</v>
      </c>
      <c r="E1426">
        <v>553</v>
      </c>
      <c r="F1426">
        <v>16878.4734232388</v>
      </c>
      <c r="G1426" t="s">
        <v>48</v>
      </c>
      <c r="H1426">
        <v>86</v>
      </c>
      <c r="I1426">
        <v>16</v>
      </c>
      <c r="J1426">
        <v>44</v>
      </c>
      <c r="K1426">
        <v>1</v>
      </c>
      <c r="L1426" t="s">
        <v>44</v>
      </c>
      <c r="M1426">
        <v>7.1778649779999997</v>
      </c>
      <c r="N1426" t="s">
        <v>28</v>
      </c>
      <c r="O1426" t="s">
        <v>29</v>
      </c>
      <c r="P1426">
        <f>VLOOKUP(O1426, Coordinates!$A$2:$C$6, 2, FALSE)</f>
        <v>29.760400000000001</v>
      </c>
      <c r="Q1426">
        <f>VLOOKUP(O1426, Coordinates!$A$2:$C$6, 3, FALSE)</f>
        <v>-95.369799999999998</v>
      </c>
      <c r="R1426">
        <v>3</v>
      </c>
      <c r="S1426">
        <v>475</v>
      </c>
      <c r="T1426">
        <v>2</v>
      </c>
      <c r="U1426">
        <v>78.872448563324696</v>
      </c>
      <c r="V1426" t="s">
        <v>39</v>
      </c>
      <c r="W1426">
        <v>3.62647159471461</v>
      </c>
      <c r="X1426" t="s">
        <v>40</v>
      </c>
      <c r="Y1426" t="s">
        <v>60</v>
      </c>
      <c r="Z1426">
        <v>848.71834450111896</v>
      </c>
    </row>
    <row r="1427" spans="1:26" x14ac:dyDescent="0.3">
      <c r="A1427" t="s">
        <v>82</v>
      </c>
      <c r="B1427" t="s">
        <v>1483</v>
      </c>
      <c r="C1427">
        <v>40.359037223395802</v>
      </c>
      <c r="D1427">
        <v>74</v>
      </c>
      <c r="E1427">
        <v>818</v>
      </c>
      <c r="F1427">
        <v>9494.1000028716207</v>
      </c>
      <c r="G1427" t="s">
        <v>26</v>
      </c>
      <c r="H1427">
        <v>59</v>
      </c>
      <c r="I1427">
        <v>25</v>
      </c>
      <c r="J1427">
        <v>84</v>
      </c>
      <c r="K1427">
        <v>1</v>
      </c>
      <c r="L1427" t="s">
        <v>36</v>
      </c>
      <c r="M1427">
        <v>12.707570131199599</v>
      </c>
      <c r="N1427" t="s">
        <v>51</v>
      </c>
      <c r="O1427" t="s">
        <v>67</v>
      </c>
      <c r="P1427">
        <f>VLOOKUP(O1427, Coordinates!$A$2:$C$6, 2, FALSE)</f>
        <v>40.712800000000001</v>
      </c>
      <c r="Q1427">
        <f>VLOOKUP(O1427, Coordinates!$A$2:$C$6, 3, FALSE)</f>
        <v>-74.006</v>
      </c>
      <c r="R1427">
        <v>25</v>
      </c>
      <c r="S1427">
        <v>738</v>
      </c>
      <c r="T1427">
        <v>17</v>
      </c>
      <c r="U1427">
        <v>77.592402425199495</v>
      </c>
      <c r="V1427" t="s">
        <v>39</v>
      </c>
      <c r="W1427">
        <v>1.86946730816599</v>
      </c>
      <c r="X1427" t="s">
        <v>46</v>
      </c>
      <c r="Y1427" t="s">
        <v>60</v>
      </c>
      <c r="Z1427">
        <v>884.11218553619699</v>
      </c>
    </row>
    <row r="1428" spans="1:26" x14ac:dyDescent="0.3">
      <c r="A1428" t="s">
        <v>82</v>
      </c>
      <c r="B1428" t="s">
        <v>1484</v>
      </c>
      <c r="C1428">
        <v>36.638312821512798</v>
      </c>
      <c r="D1428">
        <v>5</v>
      </c>
      <c r="E1428">
        <v>629</v>
      </c>
      <c r="F1428">
        <v>8237.8261656800205</v>
      </c>
      <c r="G1428" t="s">
        <v>26</v>
      </c>
      <c r="H1428">
        <v>75</v>
      </c>
      <c r="I1428">
        <v>24</v>
      </c>
      <c r="J1428">
        <v>17</v>
      </c>
      <c r="K1428">
        <v>5</v>
      </c>
      <c r="L1428" t="s">
        <v>27</v>
      </c>
      <c r="M1428">
        <v>12.319775779259601</v>
      </c>
      <c r="N1428" t="s">
        <v>51</v>
      </c>
      <c r="O1428" t="s">
        <v>29</v>
      </c>
      <c r="P1428">
        <f>VLOOKUP(O1428, Coordinates!$A$2:$C$6, 2, FALSE)</f>
        <v>29.760400000000001</v>
      </c>
      <c r="Q1428">
        <f>VLOOKUP(O1428, Coordinates!$A$2:$C$6, 3, FALSE)</f>
        <v>-95.369799999999998</v>
      </c>
      <c r="R1428">
        <v>4</v>
      </c>
      <c r="S1428">
        <v>140</v>
      </c>
      <c r="T1428">
        <v>10</v>
      </c>
      <c r="U1428">
        <v>97.837130495422102</v>
      </c>
      <c r="V1428" t="s">
        <v>55</v>
      </c>
      <c r="W1428">
        <v>1.44710329872092</v>
      </c>
      <c r="X1428" t="s">
        <v>40</v>
      </c>
      <c r="Y1428" t="s">
        <v>60</v>
      </c>
      <c r="Z1428">
        <v>776.33667661299501</v>
      </c>
    </row>
    <row r="1429" spans="1:26" x14ac:dyDescent="0.3">
      <c r="A1429" t="s">
        <v>24</v>
      </c>
      <c r="B1429" t="s">
        <v>1485</v>
      </c>
      <c r="C1429">
        <v>37.178134841981503</v>
      </c>
      <c r="D1429">
        <v>90</v>
      </c>
      <c r="E1429">
        <v>551</v>
      </c>
      <c r="F1429">
        <v>18436.6370681386</v>
      </c>
      <c r="G1429" t="s">
        <v>54</v>
      </c>
      <c r="H1429">
        <v>39</v>
      </c>
      <c r="I1429">
        <v>15</v>
      </c>
      <c r="J1429">
        <v>66</v>
      </c>
      <c r="K1429">
        <v>3</v>
      </c>
      <c r="L1429" t="s">
        <v>44</v>
      </c>
      <c r="M1429">
        <v>14.435275859354199</v>
      </c>
      <c r="N1429" t="s">
        <v>57</v>
      </c>
      <c r="O1429" t="s">
        <v>67</v>
      </c>
      <c r="P1429">
        <f>VLOOKUP(O1429, Coordinates!$A$2:$C$6, 2, FALSE)</f>
        <v>40.712800000000001</v>
      </c>
      <c r="Q1429">
        <f>VLOOKUP(O1429, Coordinates!$A$2:$C$6, 3, FALSE)</f>
        <v>-74.006</v>
      </c>
      <c r="R1429">
        <v>25</v>
      </c>
      <c r="S1429">
        <v>769</v>
      </c>
      <c r="T1429">
        <v>26</v>
      </c>
      <c r="U1429">
        <v>89.552058438274997</v>
      </c>
      <c r="V1429" t="s">
        <v>30</v>
      </c>
      <c r="W1429">
        <v>4.793975476</v>
      </c>
      <c r="X1429" t="s">
        <v>52</v>
      </c>
      <c r="Y1429" t="s">
        <v>60</v>
      </c>
      <c r="Z1429">
        <v>525.15936053487803</v>
      </c>
    </row>
    <row r="1430" spans="1:26" x14ac:dyDescent="0.3">
      <c r="A1430" t="s">
        <v>72</v>
      </c>
      <c r="B1430" t="s">
        <v>1486</v>
      </c>
      <c r="C1430">
        <v>22.719583390477901</v>
      </c>
      <c r="D1430">
        <v>61</v>
      </c>
      <c r="E1430">
        <v>648</v>
      </c>
      <c r="F1430">
        <v>13250.0610333267</v>
      </c>
      <c r="G1430" t="s">
        <v>35</v>
      </c>
      <c r="H1430">
        <v>66</v>
      </c>
      <c r="I1430">
        <v>29</v>
      </c>
      <c r="J1430">
        <v>59</v>
      </c>
      <c r="K1430">
        <v>10</v>
      </c>
      <c r="L1430" t="s">
        <v>27</v>
      </c>
      <c r="M1430">
        <v>-10</v>
      </c>
      <c r="N1430" t="s">
        <v>45</v>
      </c>
      <c r="O1430" t="s">
        <v>38</v>
      </c>
      <c r="P1430">
        <f>VLOOKUP(O1430, Coordinates!$A$2:$C$6, 2, FALSE)</f>
        <v>25.761700000000001</v>
      </c>
      <c r="Q1430">
        <f>VLOOKUP(O1430, Coordinates!$A$2:$C$6, 3, FALSE)</f>
        <v>-80.191800000000001</v>
      </c>
      <c r="R1430">
        <v>25</v>
      </c>
      <c r="S1430">
        <v>817</v>
      </c>
      <c r="T1430">
        <v>3</v>
      </c>
      <c r="U1430">
        <v>90.711143225307097</v>
      </c>
      <c r="V1430" t="s">
        <v>39</v>
      </c>
      <c r="W1430">
        <v>4.9166883397652104</v>
      </c>
      <c r="X1430" t="s">
        <v>40</v>
      </c>
      <c r="Y1430" t="s">
        <v>32</v>
      </c>
      <c r="Z1430">
        <v>245.71103577396599</v>
      </c>
    </row>
    <row r="1431" spans="1:26" x14ac:dyDescent="0.3">
      <c r="A1431" t="s">
        <v>24</v>
      </c>
      <c r="B1431" t="s">
        <v>1487</v>
      </c>
      <c r="C1431">
        <v>25.3515260095852</v>
      </c>
      <c r="D1431">
        <v>85</v>
      </c>
      <c r="E1431">
        <v>340</v>
      </c>
      <c r="F1431">
        <v>7757.5669589330801</v>
      </c>
      <c r="G1431" t="s">
        <v>35</v>
      </c>
      <c r="H1431">
        <v>1</v>
      </c>
      <c r="I1431">
        <v>12</v>
      </c>
      <c r="J1431">
        <v>58</v>
      </c>
      <c r="K1431">
        <v>9</v>
      </c>
      <c r="L1431" t="s">
        <v>27</v>
      </c>
      <c r="M1431">
        <v>4.2093482790000003</v>
      </c>
      <c r="N1431" t="s">
        <v>28</v>
      </c>
      <c r="O1431" t="s">
        <v>38</v>
      </c>
      <c r="P1431">
        <f>VLOOKUP(O1431, Coordinates!$A$2:$C$6, 2, FALSE)</f>
        <v>25.761700000000001</v>
      </c>
      <c r="Q1431">
        <f>VLOOKUP(O1431, Coordinates!$A$2:$C$6, 3, FALSE)</f>
        <v>-80.191800000000001</v>
      </c>
      <c r="R1431">
        <v>11</v>
      </c>
      <c r="S1431">
        <v>146</v>
      </c>
      <c r="T1431">
        <v>14</v>
      </c>
      <c r="U1431">
        <v>76.502849906648507</v>
      </c>
      <c r="V1431" t="s">
        <v>30</v>
      </c>
      <c r="W1431">
        <v>3.7928429730328101</v>
      </c>
      <c r="X1431" t="s">
        <v>52</v>
      </c>
      <c r="Y1431" t="s">
        <v>41</v>
      </c>
      <c r="Z1431">
        <v>131.67657498990201</v>
      </c>
    </row>
    <row r="1432" spans="1:26" x14ac:dyDescent="0.3">
      <c r="A1432" t="s">
        <v>49</v>
      </c>
      <c r="B1432" t="s">
        <v>1488</v>
      </c>
      <c r="C1432">
        <v>31.913952430368401</v>
      </c>
      <c r="D1432">
        <v>90</v>
      </c>
      <c r="E1432">
        <v>340</v>
      </c>
      <c r="F1432">
        <v>8119.0366665886604</v>
      </c>
      <c r="H1432">
        <v>47</v>
      </c>
      <c r="I1432">
        <v>23</v>
      </c>
      <c r="J1432">
        <v>97</v>
      </c>
      <c r="K1432">
        <v>10</v>
      </c>
      <c r="L1432" t="s">
        <v>44</v>
      </c>
      <c r="M1432">
        <v>1.4411116540403801</v>
      </c>
      <c r="N1432" t="s">
        <v>51</v>
      </c>
      <c r="O1432" t="s">
        <v>58</v>
      </c>
      <c r="P1432">
        <f>VLOOKUP(O1432, Coordinates!$A$2:$C$6, 2, FALSE)</f>
        <v>34.052199999999999</v>
      </c>
      <c r="Q1432">
        <f>VLOOKUP(O1432, Coordinates!$A$2:$C$6, 3, FALSE)</f>
        <v>-118.2437</v>
      </c>
      <c r="R1432">
        <v>12</v>
      </c>
      <c r="S1432">
        <v>583</v>
      </c>
      <c r="T1432">
        <v>19</v>
      </c>
      <c r="U1432">
        <v>79.979217730000002</v>
      </c>
      <c r="V1432" t="s">
        <v>39</v>
      </c>
      <c r="W1432">
        <v>3.3733608160227702</v>
      </c>
      <c r="X1432" t="s">
        <v>46</v>
      </c>
      <c r="Y1432" t="s">
        <v>41</v>
      </c>
      <c r="Z1432">
        <v>873.55752675768701</v>
      </c>
    </row>
    <row r="1433" spans="1:26" x14ac:dyDescent="0.3">
      <c r="A1433" t="s">
        <v>24</v>
      </c>
      <c r="B1433" t="s">
        <v>1489</v>
      </c>
      <c r="C1433">
        <v>37.703121143321901</v>
      </c>
      <c r="D1433">
        <v>26</v>
      </c>
      <c r="E1433">
        <v>985</v>
      </c>
      <c r="F1433">
        <v>33423.816893554802</v>
      </c>
      <c r="G1433" t="s">
        <v>48</v>
      </c>
      <c r="H1433">
        <v>51</v>
      </c>
      <c r="I1433">
        <v>8</v>
      </c>
      <c r="J1433">
        <v>30</v>
      </c>
      <c r="K1433">
        <v>7</v>
      </c>
      <c r="L1433" t="s">
        <v>27</v>
      </c>
      <c r="M1433">
        <v>6.7458253359714</v>
      </c>
      <c r="N1433" t="s">
        <v>37</v>
      </c>
      <c r="O1433" t="s">
        <v>65</v>
      </c>
      <c r="P1433">
        <f>VLOOKUP(O1433, Coordinates!$A$2:$C$6, 2, FALSE)</f>
        <v>41.878100000000003</v>
      </c>
      <c r="Q1433">
        <f>VLOOKUP(O1433, Coordinates!$A$2:$C$6, 3, FALSE)</f>
        <v>-87.629800000000003</v>
      </c>
      <c r="R1433">
        <v>30</v>
      </c>
      <c r="S1433">
        <v>284</v>
      </c>
      <c r="T1433">
        <v>12</v>
      </c>
      <c r="U1433">
        <v>94.801601359404799</v>
      </c>
      <c r="V1433" t="s">
        <v>55</v>
      </c>
      <c r="W1433">
        <v>1.5173882090403199</v>
      </c>
      <c r="X1433" t="s">
        <v>52</v>
      </c>
      <c r="Y1433" t="s">
        <v>41</v>
      </c>
      <c r="Z1433">
        <v>994.73866805140199</v>
      </c>
    </row>
    <row r="1434" spans="1:26" x14ac:dyDescent="0.3">
      <c r="A1434" t="s">
        <v>42</v>
      </c>
      <c r="B1434" t="s">
        <v>1490</v>
      </c>
      <c r="C1434">
        <v>42.757574905413698</v>
      </c>
      <c r="D1434">
        <v>72</v>
      </c>
      <c r="E1434">
        <v>872</v>
      </c>
      <c r="F1434">
        <v>2150.6476329411998</v>
      </c>
      <c r="G1434" t="s">
        <v>35</v>
      </c>
      <c r="H1434">
        <v>7</v>
      </c>
      <c r="I1434">
        <v>24</v>
      </c>
      <c r="J1434">
        <v>45</v>
      </c>
      <c r="K1434">
        <v>1</v>
      </c>
      <c r="L1434" t="s">
        <v>36</v>
      </c>
      <c r="M1434">
        <v>7.4268843625758301</v>
      </c>
      <c r="N1434" t="s">
        <v>57</v>
      </c>
      <c r="O1434" t="s">
        <v>67</v>
      </c>
      <c r="P1434">
        <f>VLOOKUP(O1434, Coordinates!$A$2:$C$6, 2, FALSE)</f>
        <v>40.712800000000001</v>
      </c>
      <c r="Q1434">
        <f>VLOOKUP(O1434, Coordinates!$A$2:$C$6, 3, FALSE)</f>
        <v>-74.006</v>
      </c>
      <c r="R1434">
        <v>19</v>
      </c>
      <c r="S1434">
        <v>171</v>
      </c>
      <c r="T1434">
        <v>26</v>
      </c>
      <c r="U1434">
        <v>24.572295523590501</v>
      </c>
      <c r="V1434" t="s">
        <v>30</v>
      </c>
      <c r="W1434">
        <v>2.2917150874613901</v>
      </c>
      <c r="X1434" t="s">
        <v>40</v>
      </c>
      <c r="Y1434" t="s">
        <v>32</v>
      </c>
      <c r="Z1434">
        <v>410.92490734494601</v>
      </c>
    </row>
    <row r="1435" spans="1:26" x14ac:dyDescent="0.3">
      <c r="A1435" t="s">
        <v>24</v>
      </c>
      <c r="B1435" t="s">
        <v>1491</v>
      </c>
      <c r="C1435">
        <v>29.417242564019901</v>
      </c>
      <c r="D1435">
        <v>5</v>
      </c>
      <c r="E1435">
        <v>893</v>
      </c>
      <c r="F1435">
        <v>23642.637848702801</v>
      </c>
      <c r="G1435" t="s">
        <v>48</v>
      </c>
      <c r="H1435">
        <v>92</v>
      </c>
      <c r="I1435">
        <v>6</v>
      </c>
      <c r="J1435">
        <v>80</v>
      </c>
      <c r="K1435">
        <v>2</v>
      </c>
      <c r="L1435" t="s">
        <v>36</v>
      </c>
      <c r="M1435">
        <v>14.5031936680121</v>
      </c>
      <c r="N1435" t="s">
        <v>45</v>
      </c>
      <c r="O1435" t="s">
        <v>38</v>
      </c>
      <c r="P1435">
        <f>VLOOKUP(O1435, Coordinates!$A$2:$C$6, 2, FALSE)</f>
        <v>25.761700000000001</v>
      </c>
      <c r="Q1435">
        <f>VLOOKUP(O1435, Coordinates!$A$2:$C$6, 3, FALSE)</f>
        <v>-80.191800000000001</v>
      </c>
      <c r="R1435">
        <v>28</v>
      </c>
      <c r="S1435">
        <v>668</v>
      </c>
      <c r="T1435">
        <v>1</v>
      </c>
      <c r="U1435">
        <v>83.662477026172894</v>
      </c>
      <c r="V1435" t="s">
        <v>39</v>
      </c>
      <c r="W1435">
        <v>3.8552816986258298</v>
      </c>
      <c r="X1435" t="s">
        <v>40</v>
      </c>
      <c r="Y1435" t="s">
        <v>32</v>
      </c>
      <c r="Z1435">
        <v>611.85871251154595</v>
      </c>
    </row>
    <row r="1436" spans="1:26" x14ac:dyDescent="0.3">
      <c r="A1436" t="s">
        <v>82</v>
      </c>
      <c r="B1436" t="s">
        <v>1492</v>
      </c>
      <c r="C1436">
        <v>29.068931155667801</v>
      </c>
      <c r="D1436">
        <v>15</v>
      </c>
      <c r="E1436">
        <v>744</v>
      </c>
      <c r="F1436">
        <v>4571.9918040000002</v>
      </c>
      <c r="G1436" t="s">
        <v>26</v>
      </c>
      <c r="H1436">
        <v>97</v>
      </c>
      <c r="I1436">
        <v>3</v>
      </c>
      <c r="J1436">
        <v>78</v>
      </c>
      <c r="K1436">
        <v>4</v>
      </c>
      <c r="L1436" t="s">
        <v>36</v>
      </c>
      <c r="M1436">
        <v>12.6309941184076</v>
      </c>
      <c r="N1436" t="s">
        <v>45</v>
      </c>
      <c r="O1436" t="s">
        <v>38</v>
      </c>
      <c r="P1436">
        <f>VLOOKUP(O1436, Coordinates!$A$2:$C$6, 2, FALSE)</f>
        <v>25.761700000000001</v>
      </c>
      <c r="Q1436">
        <f>VLOOKUP(O1436, Coordinates!$A$2:$C$6, 3, FALSE)</f>
        <v>-80.191800000000001</v>
      </c>
      <c r="R1436">
        <v>25</v>
      </c>
      <c r="S1436">
        <v>850</v>
      </c>
      <c r="T1436">
        <v>7</v>
      </c>
      <c r="U1436">
        <v>77.5216348563266</v>
      </c>
      <c r="V1436" t="s">
        <v>39</v>
      </c>
      <c r="W1436">
        <v>4.2428366704705001</v>
      </c>
      <c r="X1436" t="s">
        <v>31</v>
      </c>
      <c r="Y1436" t="s">
        <v>41</v>
      </c>
      <c r="Z1436">
        <v>829.52368039999999</v>
      </c>
    </row>
    <row r="1437" spans="1:26" x14ac:dyDescent="0.3">
      <c r="A1437" t="s">
        <v>42</v>
      </c>
      <c r="B1437" t="s">
        <v>1493</v>
      </c>
      <c r="C1437">
        <v>98.827661272418894</v>
      </c>
      <c r="D1437">
        <v>16</v>
      </c>
      <c r="E1437">
        <v>151</v>
      </c>
      <c r="G1437" t="s">
        <v>26</v>
      </c>
      <c r="H1437">
        <v>83</v>
      </c>
      <c r="I1437">
        <v>23</v>
      </c>
      <c r="J1437">
        <v>67</v>
      </c>
      <c r="K1437">
        <v>9</v>
      </c>
      <c r="L1437" t="s">
        <v>27</v>
      </c>
      <c r="M1437">
        <v>3.3350840530000001</v>
      </c>
      <c r="N1437" t="s">
        <v>57</v>
      </c>
      <c r="O1437" t="s">
        <v>29</v>
      </c>
      <c r="P1437">
        <f>VLOOKUP(O1437, Coordinates!$A$2:$C$6, 2, FALSE)</f>
        <v>29.760400000000001</v>
      </c>
      <c r="Q1437">
        <f>VLOOKUP(O1437, Coordinates!$A$2:$C$6, 3, FALSE)</f>
        <v>-95.369799999999998</v>
      </c>
      <c r="R1437">
        <v>30</v>
      </c>
      <c r="S1437">
        <v>673</v>
      </c>
      <c r="T1437">
        <v>26</v>
      </c>
      <c r="U1437">
        <v>60.954020362508103</v>
      </c>
      <c r="V1437" t="s">
        <v>30</v>
      </c>
      <c r="W1437">
        <v>4.8405990076371497</v>
      </c>
      <c r="X1437" t="s">
        <v>31</v>
      </c>
      <c r="Y1437" t="s">
        <v>32</v>
      </c>
      <c r="Z1437">
        <v>267.83343931648801</v>
      </c>
    </row>
    <row r="1438" spans="1:26" x14ac:dyDescent="0.3">
      <c r="A1438" t="s">
        <v>82</v>
      </c>
      <c r="B1438" t="s">
        <v>1494</v>
      </c>
      <c r="C1438">
        <v>32.692095387753596</v>
      </c>
      <c r="D1438">
        <v>1</v>
      </c>
      <c r="E1438">
        <v>126</v>
      </c>
      <c r="F1438">
        <v>4379.4875981864798</v>
      </c>
      <c r="G1438" t="s">
        <v>48</v>
      </c>
      <c r="H1438">
        <v>81</v>
      </c>
      <c r="I1438">
        <v>4</v>
      </c>
      <c r="J1438">
        <v>72</v>
      </c>
      <c r="K1438">
        <v>5</v>
      </c>
      <c r="L1438" t="s">
        <v>36</v>
      </c>
      <c r="M1438">
        <v>12.1788510765148</v>
      </c>
      <c r="N1438" t="s">
        <v>51</v>
      </c>
      <c r="O1438" t="s">
        <v>58</v>
      </c>
      <c r="P1438">
        <f>VLOOKUP(O1438, Coordinates!$A$2:$C$6, 2, FALSE)</f>
        <v>34.052199999999999</v>
      </c>
      <c r="Q1438">
        <f>VLOOKUP(O1438, Coordinates!$A$2:$C$6, 3, FALSE)</f>
        <v>-118.2437</v>
      </c>
      <c r="R1438">
        <v>11</v>
      </c>
      <c r="S1438">
        <v>441</v>
      </c>
      <c r="T1438">
        <v>7</v>
      </c>
      <c r="U1438">
        <v>62.650005625228502</v>
      </c>
      <c r="V1438" t="s">
        <v>39</v>
      </c>
      <c r="W1438">
        <v>3.6623151587567899</v>
      </c>
      <c r="X1438" t="s">
        <v>40</v>
      </c>
      <c r="Y1438" t="s">
        <v>32</v>
      </c>
      <c r="Z1438">
        <v>846.60130851367001</v>
      </c>
    </row>
    <row r="1439" spans="1:26" x14ac:dyDescent="0.3">
      <c r="A1439" t="s">
        <v>61</v>
      </c>
      <c r="B1439" t="s">
        <v>1495</v>
      </c>
      <c r="C1439">
        <v>78.220540439999994</v>
      </c>
      <c r="D1439">
        <v>16</v>
      </c>
      <c r="E1439">
        <v>85</v>
      </c>
      <c r="F1439">
        <v>5479.8090724620597</v>
      </c>
      <c r="G1439" t="s">
        <v>35</v>
      </c>
      <c r="H1439">
        <v>77</v>
      </c>
      <c r="I1439">
        <v>27</v>
      </c>
      <c r="J1439">
        <v>25</v>
      </c>
      <c r="K1439">
        <v>5</v>
      </c>
      <c r="L1439" t="s">
        <v>27</v>
      </c>
      <c r="M1439">
        <v>3.49618993170058</v>
      </c>
      <c r="N1439" t="s">
        <v>57</v>
      </c>
      <c r="O1439" t="s">
        <v>29</v>
      </c>
      <c r="P1439">
        <f>VLOOKUP(O1439, Coordinates!$A$2:$C$6, 2, FALSE)</f>
        <v>29.760400000000001</v>
      </c>
      <c r="Q1439">
        <f>VLOOKUP(O1439, Coordinates!$A$2:$C$6, 3, FALSE)</f>
        <v>-95.369799999999998</v>
      </c>
      <c r="R1439">
        <v>13</v>
      </c>
      <c r="S1439">
        <v>668</v>
      </c>
      <c r="T1439">
        <v>13</v>
      </c>
      <c r="U1439">
        <v>28.9007804159118</v>
      </c>
      <c r="V1439" t="s">
        <v>30</v>
      </c>
      <c r="W1439">
        <v>4.2471017191631404</v>
      </c>
      <c r="X1439" t="s">
        <v>40</v>
      </c>
      <c r="Y1439" t="s">
        <v>32</v>
      </c>
      <c r="Z1439">
        <v>662.8088004</v>
      </c>
    </row>
    <row r="1440" spans="1:26" x14ac:dyDescent="0.3">
      <c r="A1440" t="s">
        <v>33</v>
      </c>
      <c r="B1440" t="s">
        <v>1496</v>
      </c>
      <c r="C1440">
        <v>45.612086783892103</v>
      </c>
      <c r="D1440">
        <v>37</v>
      </c>
      <c r="E1440">
        <v>689</v>
      </c>
      <c r="F1440">
        <v>4088.0396477530799</v>
      </c>
      <c r="G1440" t="s">
        <v>26</v>
      </c>
      <c r="H1440">
        <v>81</v>
      </c>
      <c r="I1440">
        <v>10</v>
      </c>
      <c r="J1440">
        <v>15</v>
      </c>
      <c r="K1440">
        <v>9</v>
      </c>
      <c r="L1440" t="s">
        <v>27</v>
      </c>
      <c r="M1440">
        <v>2.0887109780088702</v>
      </c>
      <c r="N1440" t="s">
        <v>45</v>
      </c>
      <c r="O1440" t="s">
        <v>38</v>
      </c>
      <c r="P1440">
        <f>VLOOKUP(O1440, Coordinates!$A$2:$C$6, 2, FALSE)</f>
        <v>25.761700000000001</v>
      </c>
      <c r="Q1440">
        <f>VLOOKUP(O1440, Coordinates!$A$2:$C$6, 3, FALSE)</f>
        <v>-80.191800000000001</v>
      </c>
      <c r="R1440">
        <v>28</v>
      </c>
      <c r="S1440">
        <v>342</v>
      </c>
      <c r="T1440">
        <v>9</v>
      </c>
      <c r="U1440">
        <v>66.615218349193995</v>
      </c>
      <c r="V1440" t="s">
        <v>39</v>
      </c>
      <c r="W1440">
        <v>4.6422837743352297</v>
      </c>
      <c r="X1440" t="s">
        <v>40</v>
      </c>
      <c r="Y1440" t="s">
        <v>32</v>
      </c>
      <c r="Z1440">
        <v>612.86347802957698</v>
      </c>
    </row>
    <row r="1441" spans="1:26" x14ac:dyDescent="0.3">
      <c r="A1441" t="s">
        <v>82</v>
      </c>
      <c r="B1441" t="s">
        <v>1497</v>
      </c>
      <c r="C1441">
        <v>24.590653482993201</v>
      </c>
      <c r="D1441">
        <v>3</v>
      </c>
      <c r="E1441">
        <v>670</v>
      </c>
      <c r="F1441">
        <v>3177.1519533258202</v>
      </c>
      <c r="G1441" t="s">
        <v>54</v>
      </c>
      <c r="H1441">
        <v>1</v>
      </c>
      <c r="I1441">
        <v>14</v>
      </c>
      <c r="J1441">
        <v>87</v>
      </c>
      <c r="K1441">
        <v>8</v>
      </c>
      <c r="L1441" t="s">
        <v>36</v>
      </c>
      <c r="M1441">
        <v>12.7191585203943</v>
      </c>
      <c r="N1441" t="s">
        <v>45</v>
      </c>
      <c r="O1441" t="s">
        <v>38</v>
      </c>
      <c r="P1441">
        <f>VLOOKUP(O1441, Coordinates!$A$2:$C$6, 2, FALSE)</f>
        <v>25.761700000000001</v>
      </c>
      <c r="Q1441">
        <f>VLOOKUP(O1441, Coordinates!$A$2:$C$6, 3, FALSE)</f>
        <v>-80.191800000000001</v>
      </c>
      <c r="R1441">
        <v>30</v>
      </c>
      <c r="S1441">
        <v>427</v>
      </c>
      <c r="T1441">
        <v>5</v>
      </c>
      <c r="U1441">
        <v>79.3565735866529</v>
      </c>
      <c r="V1441" t="s">
        <v>39</v>
      </c>
      <c r="W1441">
        <v>4.3341251129999998</v>
      </c>
      <c r="X1441" t="s">
        <v>40</v>
      </c>
      <c r="Y1441" t="s">
        <v>41</v>
      </c>
      <c r="Z1441">
        <v>786.05351486108702</v>
      </c>
    </row>
    <row r="1442" spans="1:26" x14ac:dyDescent="0.3">
      <c r="A1442" t="s">
        <v>42</v>
      </c>
      <c r="B1442" t="s">
        <v>1498</v>
      </c>
      <c r="D1442">
        <v>52</v>
      </c>
      <c r="E1442">
        <v>666</v>
      </c>
      <c r="F1442">
        <v>4586.5182592358196</v>
      </c>
      <c r="G1442" t="s">
        <v>26</v>
      </c>
      <c r="H1442">
        <v>64</v>
      </c>
      <c r="I1442">
        <v>21</v>
      </c>
      <c r="J1442">
        <v>61</v>
      </c>
      <c r="K1442">
        <v>2</v>
      </c>
      <c r="L1442" t="s">
        <v>36</v>
      </c>
      <c r="M1442">
        <v>14.6634341459969</v>
      </c>
      <c r="N1442" t="s">
        <v>37</v>
      </c>
      <c r="O1442" t="s">
        <v>58</v>
      </c>
      <c r="P1442">
        <f>VLOOKUP(O1442, Coordinates!$A$2:$C$6, 2, FALSE)</f>
        <v>34.052199999999999</v>
      </c>
      <c r="Q1442">
        <f>VLOOKUP(O1442, Coordinates!$A$2:$C$6, 3, FALSE)</f>
        <v>-118.2437</v>
      </c>
      <c r="R1442">
        <v>6</v>
      </c>
      <c r="S1442">
        <v>735</v>
      </c>
      <c r="T1442">
        <v>4</v>
      </c>
      <c r="U1442">
        <v>89.672700291746196</v>
      </c>
      <c r="V1442" t="s">
        <v>30</v>
      </c>
      <c r="W1442">
        <v>1.6540555744110701</v>
      </c>
      <c r="X1442" t="s">
        <v>46</v>
      </c>
      <c r="Y1442" t="s">
        <v>32</v>
      </c>
      <c r="Z1442">
        <v>316.85368758596701</v>
      </c>
    </row>
    <row r="1443" spans="1:26" x14ac:dyDescent="0.3">
      <c r="A1443" t="s">
        <v>61</v>
      </c>
      <c r="B1443" t="s">
        <v>1499</v>
      </c>
      <c r="C1443">
        <v>36.692644960000003</v>
      </c>
      <c r="D1443">
        <v>47</v>
      </c>
      <c r="E1443">
        <v>379</v>
      </c>
      <c r="F1443">
        <v>1172.5561967490801</v>
      </c>
      <c r="G1443" t="s">
        <v>35</v>
      </c>
      <c r="H1443">
        <v>19</v>
      </c>
      <c r="I1443">
        <v>24</v>
      </c>
      <c r="J1443">
        <v>11</v>
      </c>
      <c r="K1443">
        <v>7</v>
      </c>
      <c r="L1443" t="s">
        <v>27</v>
      </c>
      <c r="M1443">
        <v>2.2336596233892498</v>
      </c>
      <c r="N1443" t="s">
        <v>37</v>
      </c>
      <c r="O1443" t="s">
        <v>58</v>
      </c>
      <c r="P1443">
        <f>VLOOKUP(O1443, Coordinates!$A$2:$C$6, 2, FALSE)</f>
        <v>34.052199999999999</v>
      </c>
      <c r="Q1443">
        <f>VLOOKUP(O1443, Coordinates!$A$2:$C$6, 3, FALSE)</f>
        <v>-118.2437</v>
      </c>
      <c r="R1443">
        <v>22</v>
      </c>
      <c r="S1443">
        <v>252</v>
      </c>
      <c r="T1443">
        <v>5</v>
      </c>
      <c r="U1443">
        <v>76.304559233624403</v>
      </c>
      <c r="V1443" t="s">
        <v>55</v>
      </c>
      <c r="W1443">
        <v>2.8247578280953398</v>
      </c>
      <c r="X1443" t="s">
        <v>40</v>
      </c>
      <c r="Y1443" t="s">
        <v>41</v>
      </c>
      <c r="Z1443">
        <v>653.30236361137304</v>
      </c>
    </row>
    <row r="1444" spans="1:26" x14ac:dyDescent="0.3">
      <c r="A1444" t="s">
        <v>82</v>
      </c>
      <c r="B1444" t="s">
        <v>1500</v>
      </c>
      <c r="C1444">
        <v>87.193368002791999</v>
      </c>
      <c r="D1444">
        <v>95</v>
      </c>
      <c r="E1444">
        <v>574</v>
      </c>
      <c r="F1444">
        <v>7952.4806148668204</v>
      </c>
      <c r="G1444" t="s">
        <v>54</v>
      </c>
      <c r="H1444">
        <v>33</v>
      </c>
      <c r="I1444">
        <v>15</v>
      </c>
      <c r="J1444">
        <v>98</v>
      </c>
      <c r="K1444">
        <v>1</v>
      </c>
      <c r="L1444" t="s">
        <v>27</v>
      </c>
      <c r="M1444">
        <v>12.3949482670587</v>
      </c>
      <c r="N1444" t="s">
        <v>45</v>
      </c>
      <c r="O1444" t="s">
        <v>38</v>
      </c>
      <c r="P1444">
        <f>VLOOKUP(O1444, Coordinates!$A$2:$C$6, 2, FALSE)</f>
        <v>25.761700000000001</v>
      </c>
      <c r="Q1444">
        <f>VLOOKUP(O1444, Coordinates!$A$2:$C$6, 3, FALSE)</f>
        <v>-80.191800000000001</v>
      </c>
      <c r="R1444">
        <v>30</v>
      </c>
      <c r="S1444">
        <v>354</v>
      </c>
      <c r="T1444">
        <v>24</v>
      </c>
      <c r="U1444">
        <v>61.8738085908114</v>
      </c>
      <c r="V1444" t="s">
        <v>39</v>
      </c>
      <c r="W1444">
        <v>4.4523120207010196</v>
      </c>
      <c r="X1444" t="s">
        <v>52</v>
      </c>
      <c r="Y1444" t="s">
        <v>60</v>
      </c>
      <c r="Z1444">
        <v>316.33862813083101</v>
      </c>
    </row>
    <row r="1445" spans="1:26" x14ac:dyDescent="0.3">
      <c r="A1445" t="s">
        <v>49</v>
      </c>
      <c r="B1445" t="s">
        <v>1501</v>
      </c>
      <c r="D1445">
        <v>13</v>
      </c>
      <c r="E1445">
        <v>67</v>
      </c>
      <c r="F1445">
        <v>2538.5040421082699</v>
      </c>
      <c r="G1445" t="s">
        <v>26</v>
      </c>
      <c r="H1445">
        <v>40</v>
      </c>
      <c r="I1445">
        <v>7</v>
      </c>
      <c r="J1445">
        <v>86</v>
      </c>
      <c r="K1445">
        <v>10</v>
      </c>
      <c r="L1445" t="s">
        <v>27</v>
      </c>
      <c r="M1445">
        <v>13.0289770810043</v>
      </c>
      <c r="N1445" t="s">
        <v>37</v>
      </c>
      <c r="O1445" t="s">
        <v>29</v>
      </c>
      <c r="P1445">
        <f>VLOOKUP(O1445, Coordinates!$A$2:$C$6, 2, FALSE)</f>
        <v>29.760400000000001</v>
      </c>
      <c r="Q1445">
        <f>VLOOKUP(O1445, Coordinates!$A$2:$C$6, 3, FALSE)</f>
        <v>-95.369799999999998</v>
      </c>
      <c r="R1445">
        <v>16</v>
      </c>
      <c r="S1445">
        <v>828</v>
      </c>
      <c r="T1445">
        <v>24</v>
      </c>
      <c r="U1445">
        <v>70.593337652209897</v>
      </c>
      <c r="V1445" t="s">
        <v>30</v>
      </c>
      <c r="W1445">
        <v>2.8169066031349801</v>
      </c>
      <c r="X1445" t="s">
        <v>31</v>
      </c>
      <c r="Y1445" t="s">
        <v>32</v>
      </c>
      <c r="Z1445">
        <v>261.581867246184</v>
      </c>
    </row>
    <row r="1446" spans="1:26" x14ac:dyDescent="0.3">
      <c r="A1446" t="s">
        <v>24</v>
      </c>
      <c r="B1446" t="s">
        <v>1502</v>
      </c>
      <c r="C1446">
        <v>31.81882603</v>
      </c>
      <c r="D1446">
        <v>80</v>
      </c>
      <c r="E1446">
        <v>508</v>
      </c>
      <c r="F1446">
        <v>14547.5672628826</v>
      </c>
      <c r="G1446" t="s">
        <v>35</v>
      </c>
      <c r="H1446">
        <v>40</v>
      </c>
      <c r="I1446">
        <v>7</v>
      </c>
      <c r="J1446">
        <v>27</v>
      </c>
      <c r="K1446">
        <v>9</v>
      </c>
      <c r="L1446" t="s">
        <v>27</v>
      </c>
      <c r="M1446">
        <v>2.6625781797301902</v>
      </c>
      <c r="N1446" t="s">
        <v>37</v>
      </c>
      <c r="O1446" t="s">
        <v>38</v>
      </c>
      <c r="P1446">
        <f>VLOOKUP(O1446, Coordinates!$A$2:$C$6, 2, FALSE)</f>
        <v>25.761700000000001</v>
      </c>
      <c r="Q1446">
        <f>VLOOKUP(O1446, Coordinates!$A$2:$C$6, 3, FALSE)</f>
        <v>-80.191800000000001</v>
      </c>
      <c r="R1446">
        <v>2</v>
      </c>
      <c r="S1446">
        <v>523</v>
      </c>
      <c r="T1446">
        <v>28</v>
      </c>
      <c r="U1446">
        <v>86.71501877</v>
      </c>
      <c r="V1446" t="s">
        <v>30</v>
      </c>
      <c r="W1446">
        <v>3.2718268278829399</v>
      </c>
      <c r="X1446" t="s">
        <v>52</v>
      </c>
      <c r="Y1446" t="s">
        <v>60</v>
      </c>
      <c r="Z1446">
        <v>661.01917390592303</v>
      </c>
    </row>
    <row r="1447" spans="1:26" x14ac:dyDescent="0.3">
      <c r="A1447" t="s">
        <v>33</v>
      </c>
      <c r="B1447" t="s">
        <v>1503</v>
      </c>
      <c r="C1447">
        <v>8.3257519066465306</v>
      </c>
      <c r="D1447">
        <v>55</v>
      </c>
      <c r="E1447">
        <v>915</v>
      </c>
      <c r="F1447">
        <v>6883.2882361457096</v>
      </c>
      <c r="G1447" t="s">
        <v>35</v>
      </c>
      <c r="H1447">
        <v>7</v>
      </c>
      <c r="I1447">
        <v>25</v>
      </c>
      <c r="J1447">
        <v>90</v>
      </c>
      <c r="K1447">
        <v>3</v>
      </c>
      <c r="L1447" t="s">
        <v>36</v>
      </c>
      <c r="M1447">
        <v>4.9655486048072399</v>
      </c>
      <c r="N1447" t="s">
        <v>37</v>
      </c>
      <c r="O1447" t="s">
        <v>67</v>
      </c>
      <c r="P1447">
        <f>VLOOKUP(O1447, Coordinates!$A$2:$C$6, 2, FALSE)</f>
        <v>40.712800000000001</v>
      </c>
      <c r="Q1447">
        <f>VLOOKUP(O1447, Coordinates!$A$2:$C$6, 3, FALSE)</f>
        <v>-74.006</v>
      </c>
      <c r="R1447">
        <v>14</v>
      </c>
      <c r="S1447">
        <v>331</v>
      </c>
      <c r="T1447">
        <v>20</v>
      </c>
      <c r="U1447">
        <v>30.420841880586</v>
      </c>
      <c r="V1447" t="s">
        <v>55</v>
      </c>
      <c r="W1447">
        <v>0.66176545928631303</v>
      </c>
      <c r="X1447" t="s">
        <v>52</v>
      </c>
      <c r="Y1447" t="s">
        <v>60</v>
      </c>
      <c r="Z1447">
        <v>342.35299141548302</v>
      </c>
    </row>
    <row r="1448" spans="1:26" x14ac:dyDescent="0.3">
      <c r="A1448" t="s">
        <v>82</v>
      </c>
      <c r="B1448" t="s">
        <v>1504</v>
      </c>
      <c r="C1448">
        <v>79.800467775485004</v>
      </c>
      <c r="D1448">
        <v>21</v>
      </c>
      <c r="E1448">
        <v>453</v>
      </c>
      <c r="F1448">
        <v>7965.4251590000003</v>
      </c>
      <c r="G1448" t="s">
        <v>26</v>
      </c>
      <c r="H1448">
        <v>90</v>
      </c>
      <c r="I1448">
        <v>10</v>
      </c>
      <c r="J1448">
        <v>85</v>
      </c>
      <c r="K1448">
        <v>2</v>
      </c>
      <c r="L1448" t="s">
        <v>27</v>
      </c>
      <c r="M1448">
        <v>11.271248946182901</v>
      </c>
      <c r="N1448" t="s">
        <v>45</v>
      </c>
      <c r="O1448" t="s">
        <v>38</v>
      </c>
      <c r="P1448">
        <f>VLOOKUP(O1448, Coordinates!$A$2:$C$6, 2, FALSE)</f>
        <v>25.761700000000001</v>
      </c>
      <c r="Q1448">
        <f>VLOOKUP(O1448, Coordinates!$A$2:$C$6, 3, FALSE)</f>
        <v>-80.191800000000001</v>
      </c>
      <c r="R1448">
        <v>30</v>
      </c>
      <c r="S1448">
        <v>628</v>
      </c>
      <c r="T1448">
        <v>12</v>
      </c>
      <c r="U1448">
        <v>89.398627549474099</v>
      </c>
      <c r="V1448" t="s">
        <v>55</v>
      </c>
      <c r="W1448">
        <v>3.7451494204220701</v>
      </c>
      <c r="X1448" t="s">
        <v>46</v>
      </c>
      <c r="Y1448" t="s">
        <v>32</v>
      </c>
      <c r="Z1448">
        <v>742.94125589999999</v>
      </c>
    </row>
    <row r="1449" spans="1:26" x14ac:dyDescent="0.3">
      <c r="A1449" t="s">
        <v>61</v>
      </c>
      <c r="B1449" t="s">
        <v>1505</v>
      </c>
      <c r="C1449">
        <v>44.077249317418598</v>
      </c>
      <c r="D1449">
        <v>66</v>
      </c>
      <c r="E1449">
        <v>432</v>
      </c>
      <c r="F1449">
        <v>8324.4621843355799</v>
      </c>
      <c r="G1449" t="s">
        <v>35</v>
      </c>
      <c r="H1449">
        <v>22</v>
      </c>
      <c r="I1449">
        <v>19</v>
      </c>
      <c r="J1449">
        <v>44</v>
      </c>
      <c r="K1449">
        <v>4</v>
      </c>
      <c r="L1449" t="s">
        <v>27</v>
      </c>
      <c r="M1449">
        <v>12.308223914155301</v>
      </c>
      <c r="N1449" t="s">
        <v>51</v>
      </c>
      <c r="O1449" t="s">
        <v>58</v>
      </c>
      <c r="P1449">
        <f>VLOOKUP(O1449, Coordinates!$A$2:$C$6, 2, FALSE)</f>
        <v>34.052199999999999</v>
      </c>
      <c r="Q1449">
        <f>VLOOKUP(O1449, Coordinates!$A$2:$C$6, 3, FALSE)</f>
        <v>-118.2437</v>
      </c>
      <c r="R1449">
        <v>23</v>
      </c>
      <c r="S1449">
        <v>691</v>
      </c>
      <c r="T1449">
        <v>8</v>
      </c>
      <c r="U1449">
        <v>57.936036985068199</v>
      </c>
      <c r="V1449" t="s">
        <v>30</v>
      </c>
      <c r="W1449">
        <v>0.17711694921575499</v>
      </c>
      <c r="X1449" t="s">
        <v>52</v>
      </c>
      <c r="Y1449" t="s">
        <v>41</v>
      </c>
      <c r="Z1449">
        <v>563.03689547321198</v>
      </c>
    </row>
    <row r="1450" spans="1:26" x14ac:dyDescent="0.3">
      <c r="A1450" t="s">
        <v>49</v>
      </c>
      <c r="B1450" t="s">
        <v>1506</v>
      </c>
      <c r="C1450">
        <v>88.003677417311295</v>
      </c>
      <c r="D1450">
        <v>54</v>
      </c>
      <c r="E1450">
        <v>872</v>
      </c>
      <c r="F1450">
        <v>5441.5826439453904</v>
      </c>
      <c r="G1450" t="s">
        <v>48</v>
      </c>
      <c r="H1450">
        <v>37</v>
      </c>
      <c r="I1450">
        <v>19</v>
      </c>
      <c r="J1450">
        <v>95</v>
      </c>
      <c r="K1450">
        <v>4</v>
      </c>
      <c r="L1450" t="s">
        <v>27</v>
      </c>
      <c r="M1450">
        <v>5.9556377086953098</v>
      </c>
      <c r="N1450" t="s">
        <v>51</v>
      </c>
      <c r="O1450" t="s">
        <v>29</v>
      </c>
      <c r="P1450">
        <f>VLOOKUP(O1450, Coordinates!$A$2:$C$6, 2, FALSE)</f>
        <v>29.760400000000001</v>
      </c>
      <c r="Q1450">
        <f>VLOOKUP(O1450, Coordinates!$A$2:$C$6, 3, FALSE)</f>
        <v>-95.369799999999998</v>
      </c>
      <c r="R1450">
        <v>18</v>
      </c>
      <c r="S1450">
        <v>595</v>
      </c>
      <c r="T1450">
        <v>13</v>
      </c>
      <c r="U1450">
        <v>63.4886480032511</v>
      </c>
      <c r="V1450" t="s">
        <v>39</v>
      </c>
      <c r="W1450">
        <v>3.80446224812072</v>
      </c>
      <c r="X1450" t="s">
        <v>52</v>
      </c>
      <c r="Y1450" t="s">
        <v>41</v>
      </c>
      <c r="Z1450">
        <v>725.45838653710996</v>
      </c>
    </row>
    <row r="1451" spans="1:26" x14ac:dyDescent="0.3">
      <c r="A1451" t="s">
        <v>72</v>
      </c>
      <c r="B1451" t="s">
        <v>1507</v>
      </c>
      <c r="C1451">
        <v>37.673310293328598</v>
      </c>
      <c r="D1451">
        <v>27</v>
      </c>
      <c r="E1451">
        <v>431</v>
      </c>
      <c r="F1451">
        <v>14613.4770627821</v>
      </c>
      <c r="G1451" t="s">
        <v>54</v>
      </c>
      <c r="H1451">
        <v>43</v>
      </c>
      <c r="I1451">
        <v>2</v>
      </c>
      <c r="J1451">
        <v>48</v>
      </c>
      <c r="K1451">
        <v>3</v>
      </c>
      <c r="L1451" t="s">
        <v>27</v>
      </c>
      <c r="M1451">
        <v>3.2390115955132899</v>
      </c>
      <c r="N1451" t="s">
        <v>28</v>
      </c>
      <c r="O1451" t="s">
        <v>67</v>
      </c>
      <c r="P1451">
        <f>VLOOKUP(O1451, Coordinates!$A$2:$C$6, 2, FALSE)</f>
        <v>40.712800000000001</v>
      </c>
      <c r="Q1451">
        <f>VLOOKUP(O1451, Coordinates!$A$2:$C$6, 3, FALSE)</f>
        <v>-74.006</v>
      </c>
      <c r="R1451">
        <v>17</v>
      </c>
      <c r="S1451">
        <v>275</v>
      </c>
      <c r="T1451">
        <v>4</v>
      </c>
      <c r="U1451">
        <v>86.873017291968594</v>
      </c>
      <c r="V1451" t="s">
        <v>30</v>
      </c>
      <c r="W1451">
        <v>1.65504268419402</v>
      </c>
      <c r="X1451" t="s">
        <v>52</v>
      </c>
      <c r="Y1451" t="s">
        <v>41</v>
      </c>
      <c r="Z1451">
        <v>902.45696603690499</v>
      </c>
    </row>
    <row r="1452" spans="1:26" x14ac:dyDescent="0.3">
      <c r="A1452" t="s">
        <v>61</v>
      </c>
      <c r="B1452" t="s">
        <v>1508</v>
      </c>
      <c r="C1452">
        <v>84.196097743676006</v>
      </c>
      <c r="D1452">
        <v>38</v>
      </c>
      <c r="E1452">
        <v>425</v>
      </c>
      <c r="F1452">
        <v>7635.0490952484397</v>
      </c>
      <c r="G1452" t="s">
        <v>48</v>
      </c>
      <c r="H1452">
        <v>66</v>
      </c>
      <c r="I1452">
        <v>15</v>
      </c>
      <c r="J1452">
        <v>10</v>
      </c>
      <c r="K1452">
        <v>2</v>
      </c>
      <c r="L1452" t="s">
        <v>27</v>
      </c>
      <c r="M1452">
        <v>10.076822664129301</v>
      </c>
      <c r="N1452" t="s">
        <v>37</v>
      </c>
      <c r="O1452" t="s">
        <v>38</v>
      </c>
      <c r="P1452">
        <f>VLOOKUP(O1452, Coordinates!$A$2:$C$6, 2, FALSE)</f>
        <v>25.761700000000001</v>
      </c>
      <c r="Q1452">
        <f>VLOOKUP(O1452, Coordinates!$A$2:$C$6, 3, FALSE)</f>
        <v>-80.191800000000001</v>
      </c>
      <c r="R1452">
        <v>20</v>
      </c>
      <c r="S1452">
        <v>650</v>
      </c>
      <c r="T1452">
        <v>20</v>
      </c>
      <c r="U1452">
        <v>98.651411044537596</v>
      </c>
      <c r="V1452" t="s">
        <v>30</v>
      </c>
      <c r="W1452">
        <v>1.1271022787240099</v>
      </c>
      <c r="X1452" t="s">
        <v>31</v>
      </c>
      <c r="Y1452" t="s">
        <v>32</v>
      </c>
      <c r="Z1452">
        <v>224.42144005104601</v>
      </c>
    </row>
    <row r="1453" spans="1:26" x14ac:dyDescent="0.3">
      <c r="A1453" t="s">
        <v>24</v>
      </c>
      <c r="B1453" t="s">
        <v>1509</v>
      </c>
      <c r="C1453">
        <v>28.080180347666801</v>
      </c>
      <c r="D1453">
        <v>90</v>
      </c>
      <c r="E1453">
        <v>326</v>
      </c>
      <c r="F1453">
        <v>8238.7249140000004</v>
      </c>
      <c r="G1453" t="s">
        <v>26</v>
      </c>
      <c r="H1453">
        <v>61</v>
      </c>
      <c r="I1453">
        <v>1</v>
      </c>
      <c r="J1453">
        <v>46</v>
      </c>
      <c r="K1453">
        <v>5</v>
      </c>
      <c r="L1453" t="s">
        <v>44</v>
      </c>
      <c r="M1453">
        <v>10.827560445408601</v>
      </c>
      <c r="N1453" t="s">
        <v>51</v>
      </c>
      <c r="O1453" t="s">
        <v>38</v>
      </c>
      <c r="P1453">
        <f>VLOOKUP(O1453, Coordinates!$A$2:$C$6, 2, FALSE)</f>
        <v>25.761700000000001</v>
      </c>
      <c r="Q1453">
        <f>VLOOKUP(O1453, Coordinates!$A$2:$C$6, 3, FALSE)</f>
        <v>-80.191800000000001</v>
      </c>
      <c r="R1453">
        <v>18</v>
      </c>
      <c r="S1453">
        <v>242</v>
      </c>
      <c r="T1453">
        <v>11</v>
      </c>
      <c r="U1453">
        <v>81.920435216241003</v>
      </c>
      <c r="V1453" t="s">
        <v>30</v>
      </c>
      <c r="W1453">
        <v>3.8904719752261401</v>
      </c>
      <c r="X1453" t="s">
        <v>46</v>
      </c>
      <c r="Y1453" t="s">
        <v>32</v>
      </c>
      <c r="Z1453">
        <v>160.06478309894101</v>
      </c>
    </row>
    <row r="1454" spans="1:26" x14ac:dyDescent="0.3">
      <c r="A1454" t="s">
        <v>61</v>
      </c>
      <c r="B1454" t="s">
        <v>1510</v>
      </c>
      <c r="C1454">
        <v>55.8274229368986</v>
      </c>
      <c r="D1454">
        <v>58</v>
      </c>
      <c r="E1454">
        <v>917</v>
      </c>
      <c r="F1454">
        <v>3216.4366069285502</v>
      </c>
      <c r="G1454" t="s">
        <v>48</v>
      </c>
      <c r="H1454">
        <v>11</v>
      </c>
      <c r="I1454">
        <v>10</v>
      </c>
      <c r="J1454">
        <v>30</v>
      </c>
      <c r="K1454">
        <v>4</v>
      </c>
      <c r="L1454" t="s">
        <v>44</v>
      </c>
      <c r="M1454">
        <v>8.0505099550000008</v>
      </c>
      <c r="N1454" t="s">
        <v>28</v>
      </c>
      <c r="O1454" t="s">
        <v>67</v>
      </c>
      <c r="P1454">
        <f>VLOOKUP(O1454, Coordinates!$A$2:$C$6, 2, FALSE)</f>
        <v>40.712800000000001</v>
      </c>
      <c r="Q1454">
        <f>VLOOKUP(O1454, Coordinates!$A$2:$C$6, 3, FALSE)</f>
        <v>-74.006</v>
      </c>
      <c r="R1454">
        <v>19</v>
      </c>
      <c r="S1454">
        <v>116</v>
      </c>
      <c r="T1454">
        <v>15</v>
      </c>
      <c r="U1454">
        <v>13.0561535815719</v>
      </c>
      <c r="V1454" t="s">
        <v>55</v>
      </c>
      <c r="W1454">
        <v>0.716278450447697</v>
      </c>
      <c r="X1454" t="s">
        <v>52</v>
      </c>
      <c r="Y1454" t="s">
        <v>41</v>
      </c>
      <c r="Z1454">
        <v>459.92522326013699</v>
      </c>
    </row>
    <row r="1455" spans="1:26" x14ac:dyDescent="0.3">
      <c r="A1455" t="s">
        <v>49</v>
      </c>
      <c r="B1455" t="s">
        <v>1511</v>
      </c>
      <c r="C1455">
        <v>18.716825052698301</v>
      </c>
      <c r="D1455">
        <v>62</v>
      </c>
      <c r="E1455">
        <v>684</v>
      </c>
      <c r="F1455">
        <v>9130.6698027651291</v>
      </c>
      <c r="G1455" t="s">
        <v>26</v>
      </c>
      <c r="H1455">
        <v>29</v>
      </c>
      <c r="I1455">
        <v>6</v>
      </c>
      <c r="J1455">
        <v>10</v>
      </c>
      <c r="K1455">
        <v>5</v>
      </c>
      <c r="L1455" t="s">
        <v>44</v>
      </c>
      <c r="M1455">
        <v>3.0291749469602101</v>
      </c>
      <c r="N1455" t="s">
        <v>57</v>
      </c>
      <c r="O1455" t="s">
        <v>67</v>
      </c>
      <c r="P1455">
        <f>VLOOKUP(O1455, Coordinates!$A$2:$C$6, 2, FALSE)</f>
        <v>40.712800000000001</v>
      </c>
      <c r="Q1455">
        <f>VLOOKUP(O1455, Coordinates!$A$2:$C$6, 3, FALSE)</f>
        <v>-74.006</v>
      </c>
      <c r="R1455">
        <v>30</v>
      </c>
      <c r="S1455">
        <v>348</v>
      </c>
      <c r="T1455">
        <v>24</v>
      </c>
      <c r="U1455">
        <v>45.653278419999999</v>
      </c>
      <c r="V1455" t="s">
        <v>55</v>
      </c>
      <c r="W1455">
        <v>2.1359171354865198</v>
      </c>
      <c r="X1455" t="s">
        <v>52</v>
      </c>
      <c r="Y1455" t="s">
        <v>41</v>
      </c>
      <c r="Z1455">
        <v>745.03690441015306</v>
      </c>
    </row>
    <row r="1456" spans="1:26" x14ac:dyDescent="0.3">
      <c r="A1456" t="s">
        <v>61</v>
      </c>
      <c r="B1456" t="s">
        <v>1512</v>
      </c>
      <c r="C1456">
        <v>79.478799075488695</v>
      </c>
      <c r="D1456">
        <v>46</v>
      </c>
      <c r="E1456">
        <v>170</v>
      </c>
      <c r="F1456">
        <v>1939.3431227454601</v>
      </c>
      <c r="G1456" t="s">
        <v>26</v>
      </c>
      <c r="H1456">
        <v>94</v>
      </c>
      <c r="I1456">
        <v>22</v>
      </c>
      <c r="J1456">
        <v>13</v>
      </c>
      <c r="K1456">
        <v>8</v>
      </c>
      <c r="L1456" t="s">
        <v>36</v>
      </c>
      <c r="M1456">
        <v>12.822814420516501</v>
      </c>
      <c r="N1456" t="s">
        <v>37</v>
      </c>
      <c r="O1456" t="s">
        <v>65</v>
      </c>
      <c r="P1456">
        <f>VLOOKUP(O1456, Coordinates!$A$2:$C$6, 2, FALSE)</f>
        <v>41.878100000000003</v>
      </c>
      <c r="Q1456">
        <f>VLOOKUP(O1456, Coordinates!$A$2:$C$6, 3, FALSE)</f>
        <v>-87.629800000000003</v>
      </c>
      <c r="R1456">
        <v>15</v>
      </c>
      <c r="S1456">
        <v>134</v>
      </c>
      <c r="T1456">
        <v>14</v>
      </c>
      <c r="U1456">
        <v>94.356395204579997</v>
      </c>
      <c r="V1456" t="s">
        <v>30</v>
      </c>
      <c r="W1456">
        <v>3.7239333775926302</v>
      </c>
      <c r="X1456" t="s">
        <v>46</v>
      </c>
      <c r="Y1456" t="s">
        <v>60</v>
      </c>
      <c r="Z1456">
        <v>897.53633726015096</v>
      </c>
    </row>
    <row r="1457" spans="1:26" x14ac:dyDescent="0.3">
      <c r="A1457" t="s">
        <v>49</v>
      </c>
      <c r="B1457" t="s">
        <v>1513</v>
      </c>
      <c r="C1457">
        <v>44.842013108362302</v>
      </c>
      <c r="D1457">
        <v>89</v>
      </c>
      <c r="E1457">
        <v>601</v>
      </c>
      <c r="F1457">
        <v>9844.1941563219298</v>
      </c>
      <c r="G1457" t="s">
        <v>35</v>
      </c>
      <c r="H1457">
        <v>86</v>
      </c>
      <c r="I1457">
        <v>13</v>
      </c>
      <c r="J1457">
        <v>67</v>
      </c>
      <c r="K1457">
        <v>2</v>
      </c>
      <c r="L1457" t="s">
        <v>27</v>
      </c>
      <c r="M1457">
        <v>10.0337234269312</v>
      </c>
      <c r="N1457" t="s">
        <v>51</v>
      </c>
      <c r="O1457" t="s">
        <v>58</v>
      </c>
      <c r="P1457">
        <f>VLOOKUP(O1457, Coordinates!$A$2:$C$6, 2, FALSE)</f>
        <v>34.052199999999999</v>
      </c>
      <c r="Q1457">
        <f>VLOOKUP(O1457, Coordinates!$A$2:$C$6, 3, FALSE)</f>
        <v>-118.2437</v>
      </c>
      <c r="R1457">
        <v>2</v>
      </c>
      <c r="S1457">
        <v>900</v>
      </c>
      <c r="T1457">
        <v>18</v>
      </c>
      <c r="U1457">
        <v>35.947593313840798</v>
      </c>
      <c r="V1457" t="s">
        <v>39</v>
      </c>
      <c r="W1457">
        <v>2.8691615879358801</v>
      </c>
      <c r="X1457" t="s">
        <v>40</v>
      </c>
      <c r="Y1457" t="s">
        <v>60</v>
      </c>
      <c r="Z1457">
        <v>131.31496425379001</v>
      </c>
    </row>
    <row r="1458" spans="1:26" x14ac:dyDescent="0.3">
      <c r="A1458" t="s">
        <v>82</v>
      </c>
      <c r="B1458" t="s">
        <v>1514</v>
      </c>
      <c r="C1458">
        <v>52.507611235800297</v>
      </c>
      <c r="D1458">
        <v>11</v>
      </c>
      <c r="E1458">
        <v>961</v>
      </c>
      <c r="F1458">
        <v>8742.2302987971798</v>
      </c>
      <c r="G1458" t="s">
        <v>35</v>
      </c>
      <c r="H1458">
        <v>64</v>
      </c>
      <c r="I1458">
        <v>10</v>
      </c>
      <c r="J1458">
        <v>10</v>
      </c>
      <c r="K1458">
        <v>9</v>
      </c>
      <c r="L1458" t="s">
        <v>36</v>
      </c>
      <c r="M1458">
        <v>13.1682994836316</v>
      </c>
      <c r="N1458" t="s">
        <v>51</v>
      </c>
      <c r="O1458" t="s">
        <v>65</v>
      </c>
      <c r="P1458">
        <f>VLOOKUP(O1458, Coordinates!$A$2:$C$6, 2, FALSE)</f>
        <v>41.878100000000003</v>
      </c>
      <c r="Q1458">
        <f>VLOOKUP(O1458, Coordinates!$A$2:$C$6, 3, FALSE)</f>
        <v>-87.629800000000003</v>
      </c>
      <c r="R1458">
        <v>30</v>
      </c>
      <c r="S1458">
        <v>245</v>
      </c>
      <c r="T1458">
        <v>20</v>
      </c>
      <c r="U1458">
        <v>99.934181667668398</v>
      </c>
      <c r="V1458" t="s">
        <v>30</v>
      </c>
      <c r="W1458">
        <v>2.7700007174621102</v>
      </c>
      <c r="X1458" t="s">
        <v>52</v>
      </c>
      <c r="Y1458" t="s">
        <v>32</v>
      </c>
      <c r="Z1458">
        <v>813.66234045419196</v>
      </c>
    </row>
    <row r="1459" spans="1:26" x14ac:dyDescent="0.3">
      <c r="A1459" t="s">
        <v>49</v>
      </c>
      <c r="B1459" t="s">
        <v>1515</v>
      </c>
      <c r="C1459">
        <v>79.584282839092197</v>
      </c>
      <c r="D1459">
        <v>72</v>
      </c>
      <c r="E1459">
        <v>653</v>
      </c>
      <c r="F1459">
        <v>7191.0878093116698</v>
      </c>
      <c r="G1459" t="s">
        <v>26</v>
      </c>
      <c r="H1459">
        <v>40</v>
      </c>
      <c r="I1459">
        <v>12</v>
      </c>
      <c r="J1459">
        <v>22</v>
      </c>
      <c r="K1459">
        <v>10</v>
      </c>
      <c r="L1459" t="s">
        <v>27</v>
      </c>
      <c r="M1459">
        <v>14.0615670428611</v>
      </c>
      <c r="N1459" t="s">
        <v>51</v>
      </c>
      <c r="O1459" t="s">
        <v>29</v>
      </c>
      <c r="P1459">
        <f>VLOOKUP(O1459, Coordinates!$A$2:$C$6, 2, FALSE)</f>
        <v>29.760400000000001</v>
      </c>
      <c r="Q1459">
        <f>VLOOKUP(O1459, Coordinates!$A$2:$C$6, 3, FALSE)</f>
        <v>-95.369799999999998</v>
      </c>
      <c r="R1459">
        <v>25</v>
      </c>
      <c r="S1459">
        <v>826</v>
      </c>
      <c r="T1459">
        <v>1</v>
      </c>
      <c r="U1459">
        <v>17.588577417089699</v>
      </c>
      <c r="V1459" t="s">
        <v>39</v>
      </c>
      <c r="W1459">
        <v>0.78731705358012505</v>
      </c>
      <c r="X1459" t="s">
        <v>31</v>
      </c>
      <c r="Y1459" t="s">
        <v>41</v>
      </c>
      <c r="Z1459">
        <v>167.87541131254699</v>
      </c>
    </row>
    <row r="1460" spans="1:26" x14ac:dyDescent="0.3">
      <c r="A1460" t="s">
        <v>49</v>
      </c>
      <c r="B1460" t="s">
        <v>1516</v>
      </c>
      <c r="C1460">
        <v>61.89031301</v>
      </c>
      <c r="D1460">
        <v>8</v>
      </c>
      <c r="E1460">
        <v>465</v>
      </c>
      <c r="F1460">
        <v>9448.7489945184898</v>
      </c>
      <c r="G1460" t="s">
        <v>54</v>
      </c>
      <c r="H1460">
        <v>19</v>
      </c>
      <c r="I1460">
        <v>24</v>
      </c>
      <c r="J1460">
        <v>55</v>
      </c>
      <c r="K1460">
        <v>1</v>
      </c>
      <c r="L1460" t="s">
        <v>44</v>
      </c>
      <c r="M1460">
        <v>12.279769976132901</v>
      </c>
      <c r="N1460" t="s">
        <v>28</v>
      </c>
      <c r="O1460" t="s">
        <v>67</v>
      </c>
      <c r="P1460">
        <f>VLOOKUP(O1460, Coordinates!$A$2:$C$6, 2, FALSE)</f>
        <v>40.712800000000001</v>
      </c>
      <c r="Q1460">
        <f>VLOOKUP(O1460, Coordinates!$A$2:$C$6, 3, FALSE)</f>
        <v>-74.006</v>
      </c>
      <c r="R1460">
        <v>4</v>
      </c>
      <c r="S1460">
        <v>264</v>
      </c>
      <c r="T1460">
        <v>1</v>
      </c>
      <c r="U1460">
        <v>61.130276290466803</v>
      </c>
      <c r="V1460" t="s">
        <v>30</v>
      </c>
      <c r="W1460">
        <v>0.90466363917370496</v>
      </c>
      <c r="X1460" t="s">
        <v>31</v>
      </c>
      <c r="Y1460" t="s">
        <v>41</v>
      </c>
      <c r="Z1460">
        <v>622.51810813846305</v>
      </c>
    </row>
    <row r="1461" spans="1:26" x14ac:dyDescent="0.3">
      <c r="A1461" t="s">
        <v>33</v>
      </c>
      <c r="B1461" t="s">
        <v>1517</v>
      </c>
      <c r="C1461">
        <v>24.104379107053401</v>
      </c>
      <c r="D1461">
        <v>97</v>
      </c>
      <c r="E1461">
        <v>463</v>
      </c>
      <c r="F1461">
        <v>7500.8005149999999</v>
      </c>
      <c r="G1461" t="s">
        <v>54</v>
      </c>
      <c r="H1461">
        <v>5</v>
      </c>
      <c r="I1461">
        <v>30</v>
      </c>
      <c r="J1461">
        <v>56</v>
      </c>
      <c r="K1461">
        <v>8</v>
      </c>
      <c r="L1461" t="s">
        <v>27</v>
      </c>
      <c r="M1461">
        <v>14.4212038032286</v>
      </c>
      <c r="N1461" t="s">
        <v>57</v>
      </c>
      <c r="O1461" t="s">
        <v>65</v>
      </c>
      <c r="P1461">
        <f>VLOOKUP(O1461, Coordinates!$A$2:$C$6, 2, FALSE)</f>
        <v>41.878100000000003</v>
      </c>
      <c r="Q1461">
        <f>VLOOKUP(O1461, Coordinates!$A$2:$C$6, 3, FALSE)</f>
        <v>-87.629800000000003</v>
      </c>
      <c r="R1461">
        <v>1</v>
      </c>
      <c r="S1461">
        <v>210</v>
      </c>
      <c r="T1461">
        <v>11</v>
      </c>
      <c r="U1461">
        <v>56.390442415722397</v>
      </c>
      <c r="V1461" t="s">
        <v>30</v>
      </c>
      <c r="W1461">
        <v>2.9127939695487002</v>
      </c>
      <c r="X1461" t="s">
        <v>40</v>
      </c>
      <c r="Y1461" t="s">
        <v>32</v>
      </c>
      <c r="Z1461">
        <v>409.69257469338601</v>
      </c>
    </row>
    <row r="1462" spans="1:26" x14ac:dyDescent="0.3">
      <c r="A1462" t="s">
        <v>49</v>
      </c>
      <c r="B1462" t="s">
        <v>1518</v>
      </c>
      <c r="C1462">
        <v>61.0721026193348</v>
      </c>
      <c r="D1462">
        <v>71</v>
      </c>
      <c r="E1462">
        <v>193</v>
      </c>
      <c r="F1462">
        <v>2714.1129732704098</v>
      </c>
      <c r="G1462" t="s">
        <v>54</v>
      </c>
      <c r="H1462">
        <v>74</v>
      </c>
      <c r="I1462">
        <v>6</v>
      </c>
      <c r="J1462">
        <v>90</v>
      </c>
      <c r="K1462">
        <v>5</v>
      </c>
      <c r="L1462" t="s">
        <v>36</v>
      </c>
      <c r="M1462">
        <v>14.359608440442001</v>
      </c>
      <c r="N1462" t="s">
        <v>37</v>
      </c>
      <c r="O1462" t="s">
        <v>58</v>
      </c>
      <c r="P1462">
        <f>VLOOKUP(O1462, Coordinates!$A$2:$C$6, 2, FALSE)</f>
        <v>34.052199999999999</v>
      </c>
      <c r="Q1462">
        <f>VLOOKUP(O1462, Coordinates!$A$2:$C$6, 3, FALSE)</f>
        <v>-118.2437</v>
      </c>
      <c r="R1462">
        <v>8</v>
      </c>
      <c r="S1462">
        <v>746</v>
      </c>
      <c r="T1462">
        <v>29</v>
      </c>
      <c r="U1462">
        <v>32.981762203092998</v>
      </c>
      <c r="V1462" t="s">
        <v>55</v>
      </c>
      <c r="W1462">
        <v>0.1178343054033</v>
      </c>
      <c r="X1462" t="s">
        <v>52</v>
      </c>
      <c r="Y1462" t="s">
        <v>41</v>
      </c>
      <c r="Z1462">
        <v>115.888771247344</v>
      </c>
    </row>
    <row r="1463" spans="1:26" x14ac:dyDescent="0.3">
      <c r="A1463" t="s">
        <v>49</v>
      </c>
      <c r="B1463" t="s">
        <v>1519</v>
      </c>
      <c r="C1463">
        <v>43.725121508067197</v>
      </c>
      <c r="D1463">
        <v>64</v>
      </c>
      <c r="E1463">
        <v>468</v>
      </c>
      <c r="F1463">
        <v>4979.4052430152997</v>
      </c>
      <c r="G1463" t="s">
        <v>48</v>
      </c>
      <c r="H1463">
        <v>98</v>
      </c>
      <c r="I1463">
        <v>6</v>
      </c>
      <c r="J1463">
        <v>85</v>
      </c>
      <c r="K1463">
        <v>2</v>
      </c>
      <c r="L1463" t="s">
        <v>36</v>
      </c>
      <c r="M1463">
        <v>9.6708237754647008</v>
      </c>
      <c r="N1463" t="s">
        <v>51</v>
      </c>
      <c r="O1463" t="s">
        <v>58</v>
      </c>
      <c r="P1463">
        <f>VLOOKUP(O1463, Coordinates!$A$2:$C$6, 2, FALSE)</f>
        <v>34.052199999999999</v>
      </c>
      <c r="Q1463">
        <f>VLOOKUP(O1463, Coordinates!$A$2:$C$6, 3, FALSE)</f>
        <v>-118.2437</v>
      </c>
      <c r="R1463">
        <v>20</v>
      </c>
      <c r="S1463">
        <v>173</v>
      </c>
      <c r="T1463">
        <v>29</v>
      </c>
      <c r="U1463">
        <v>95.374641760000003</v>
      </c>
      <c r="V1463" t="s">
        <v>30</v>
      </c>
      <c r="W1463">
        <v>4.3455899448170499</v>
      </c>
      <c r="X1463" t="s">
        <v>46</v>
      </c>
      <c r="Y1463" t="s">
        <v>32</v>
      </c>
      <c r="Z1463">
        <v>187.38409996880301</v>
      </c>
    </row>
    <row r="1464" spans="1:26" x14ac:dyDescent="0.3">
      <c r="A1464" t="s">
        <v>72</v>
      </c>
      <c r="B1464" t="s">
        <v>1520</v>
      </c>
      <c r="C1464">
        <v>29.636203078505101</v>
      </c>
      <c r="D1464">
        <v>21</v>
      </c>
      <c r="E1464">
        <v>916</v>
      </c>
      <c r="F1464">
        <v>24432.0858179196</v>
      </c>
      <c r="G1464" t="s">
        <v>26</v>
      </c>
      <c r="H1464">
        <v>3</v>
      </c>
      <c r="I1464">
        <v>1</v>
      </c>
      <c r="J1464">
        <v>16</v>
      </c>
      <c r="K1464">
        <v>8</v>
      </c>
      <c r="L1464" t="s">
        <v>27</v>
      </c>
      <c r="M1464">
        <v>11.194437426537</v>
      </c>
      <c r="N1464" t="s">
        <v>45</v>
      </c>
      <c r="O1464" t="s">
        <v>38</v>
      </c>
      <c r="P1464">
        <f>VLOOKUP(O1464, Coordinates!$A$2:$C$6, 2, FALSE)</f>
        <v>25.761700000000001</v>
      </c>
      <c r="Q1464">
        <f>VLOOKUP(O1464, Coordinates!$A$2:$C$6, 3, FALSE)</f>
        <v>-80.191800000000001</v>
      </c>
      <c r="R1464">
        <v>28</v>
      </c>
      <c r="S1464">
        <v>767</v>
      </c>
      <c r="T1464">
        <v>29</v>
      </c>
      <c r="U1464">
        <v>85.895812208146097</v>
      </c>
      <c r="V1464" t="s">
        <v>39</v>
      </c>
      <c r="W1464">
        <v>4.0923927141777403</v>
      </c>
      <c r="X1464" t="s">
        <v>40</v>
      </c>
      <c r="Y1464" t="s">
        <v>60</v>
      </c>
      <c r="Z1464">
        <v>418.35359268904801</v>
      </c>
    </row>
    <row r="1465" spans="1:26" x14ac:dyDescent="0.3">
      <c r="A1465" t="s">
        <v>82</v>
      </c>
      <c r="B1465" t="s">
        <v>1521</v>
      </c>
      <c r="C1465">
        <v>7.6895710682534304</v>
      </c>
      <c r="D1465">
        <v>72</v>
      </c>
      <c r="E1465">
        <v>383</v>
      </c>
      <c r="F1465">
        <v>4506.9168005930296</v>
      </c>
      <c r="G1465" t="s">
        <v>35</v>
      </c>
      <c r="H1465">
        <v>92</v>
      </c>
      <c r="I1465">
        <v>12</v>
      </c>
      <c r="J1465">
        <v>60</v>
      </c>
      <c r="K1465">
        <v>5</v>
      </c>
      <c r="L1465" t="s">
        <v>36</v>
      </c>
      <c r="M1465">
        <v>10.7917194942961</v>
      </c>
      <c r="N1465" t="s">
        <v>37</v>
      </c>
      <c r="O1465" t="s">
        <v>65</v>
      </c>
      <c r="P1465">
        <f>VLOOKUP(O1465, Coordinates!$A$2:$C$6, 2, FALSE)</f>
        <v>41.878100000000003</v>
      </c>
      <c r="Q1465">
        <f>VLOOKUP(O1465, Coordinates!$A$2:$C$6, 3, FALSE)</f>
        <v>-87.629800000000003</v>
      </c>
      <c r="R1465">
        <v>26</v>
      </c>
      <c r="S1465">
        <v>826</v>
      </c>
      <c r="T1465">
        <v>24</v>
      </c>
      <c r="U1465">
        <v>30.720545510020798</v>
      </c>
      <c r="V1465" t="s">
        <v>55</v>
      </c>
      <c r="W1465">
        <v>2.0830810850866301</v>
      </c>
      <c r="X1465" t="s">
        <v>31</v>
      </c>
      <c r="Y1465" t="s">
        <v>41</v>
      </c>
      <c r="Z1465">
        <v>958.37807039847496</v>
      </c>
    </row>
    <row r="1466" spans="1:26" x14ac:dyDescent="0.3">
      <c r="A1466" t="s">
        <v>24</v>
      </c>
      <c r="B1466" t="s">
        <v>1522</v>
      </c>
      <c r="C1466">
        <v>22.243527220261399</v>
      </c>
      <c r="D1466">
        <v>63</v>
      </c>
      <c r="E1466">
        <v>6</v>
      </c>
      <c r="F1466">
        <v>120.115046989411</v>
      </c>
      <c r="G1466" t="s">
        <v>48</v>
      </c>
      <c r="H1466">
        <v>9</v>
      </c>
      <c r="I1466">
        <v>23</v>
      </c>
      <c r="J1466">
        <v>12</v>
      </c>
      <c r="K1466">
        <v>10</v>
      </c>
      <c r="L1466" t="s">
        <v>44</v>
      </c>
      <c r="M1466">
        <v>9.69590673031019</v>
      </c>
      <c r="N1466" t="s">
        <v>45</v>
      </c>
      <c r="O1466" t="s">
        <v>38</v>
      </c>
      <c r="P1466">
        <f>VLOOKUP(O1466, Coordinates!$A$2:$C$6, 2, FALSE)</f>
        <v>25.761700000000001</v>
      </c>
      <c r="Q1466">
        <f>VLOOKUP(O1466, Coordinates!$A$2:$C$6, 3, FALSE)</f>
        <v>-80.191800000000001</v>
      </c>
      <c r="R1466">
        <v>29</v>
      </c>
      <c r="S1466">
        <v>453</v>
      </c>
      <c r="T1466">
        <v>20</v>
      </c>
      <c r="U1466">
        <v>86.668041590000001</v>
      </c>
      <c r="V1466" t="s">
        <v>39</v>
      </c>
      <c r="W1466">
        <v>4.5353551302575399</v>
      </c>
      <c r="X1466" t="s">
        <v>31</v>
      </c>
      <c r="Y1466" t="s">
        <v>41</v>
      </c>
      <c r="Z1466">
        <v>239.34886100100201</v>
      </c>
    </row>
    <row r="1467" spans="1:26" x14ac:dyDescent="0.3">
      <c r="A1467" t="s">
        <v>33</v>
      </c>
      <c r="B1467" t="s">
        <v>1523</v>
      </c>
      <c r="C1467">
        <v>31.698617731197601</v>
      </c>
      <c r="D1467">
        <v>85</v>
      </c>
      <c r="E1467">
        <v>997</v>
      </c>
      <c r="F1467">
        <v>4477.9901583773499</v>
      </c>
      <c r="G1467" t="s">
        <v>48</v>
      </c>
      <c r="H1467">
        <v>1</v>
      </c>
      <c r="I1467">
        <v>26</v>
      </c>
      <c r="J1467">
        <v>59</v>
      </c>
      <c r="K1467">
        <v>10</v>
      </c>
      <c r="L1467" t="s">
        <v>27</v>
      </c>
      <c r="M1467">
        <v>1.27097246163193</v>
      </c>
      <c r="N1467" t="s">
        <v>28</v>
      </c>
      <c r="O1467" t="s">
        <v>67</v>
      </c>
      <c r="P1467">
        <f>VLOOKUP(O1467, Coordinates!$A$2:$C$6, 2, FALSE)</f>
        <v>40.712800000000001</v>
      </c>
      <c r="Q1467">
        <f>VLOOKUP(O1467, Coordinates!$A$2:$C$6, 3, FALSE)</f>
        <v>-74.006</v>
      </c>
      <c r="R1467">
        <v>27</v>
      </c>
      <c r="S1467">
        <v>373</v>
      </c>
      <c r="T1467">
        <v>30</v>
      </c>
      <c r="U1467">
        <v>74.910648419385595</v>
      </c>
      <c r="V1467" t="s">
        <v>30</v>
      </c>
      <c r="W1467">
        <v>4.3833554963155104</v>
      </c>
      <c r="X1467" t="s">
        <v>46</v>
      </c>
      <c r="Y1467" t="s">
        <v>32</v>
      </c>
      <c r="Z1467">
        <v>344.77935372569902</v>
      </c>
    </row>
    <row r="1468" spans="1:26" x14ac:dyDescent="0.3">
      <c r="A1468" t="s">
        <v>72</v>
      </c>
      <c r="B1468" t="s">
        <v>1524</v>
      </c>
      <c r="C1468">
        <v>39.828263004105303</v>
      </c>
      <c r="D1468">
        <v>64</v>
      </c>
      <c r="E1468">
        <v>368</v>
      </c>
      <c r="F1468">
        <v>13191.1207069596</v>
      </c>
      <c r="G1468" t="s">
        <v>35</v>
      </c>
      <c r="H1468">
        <v>92</v>
      </c>
      <c r="I1468">
        <v>10</v>
      </c>
      <c r="J1468">
        <v>35</v>
      </c>
      <c r="K1468">
        <v>3</v>
      </c>
      <c r="L1468" t="s">
        <v>44</v>
      </c>
      <c r="M1468">
        <v>5.9826935491989</v>
      </c>
      <c r="N1468" t="s">
        <v>51</v>
      </c>
      <c r="O1468" t="s">
        <v>29</v>
      </c>
      <c r="P1468">
        <f>VLOOKUP(O1468, Coordinates!$A$2:$C$6, 2, FALSE)</f>
        <v>29.760400000000001</v>
      </c>
      <c r="Q1468">
        <f>VLOOKUP(O1468, Coordinates!$A$2:$C$6, 3, FALSE)</f>
        <v>-95.369799999999998</v>
      </c>
      <c r="R1468">
        <v>24</v>
      </c>
      <c r="S1468">
        <v>378</v>
      </c>
      <c r="T1468">
        <v>6</v>
      </c>
      <c r="U1468">
        <v>90.215256280000006</v>
      </c>
      <c r="V1468" t="s">
        <v>39</v>
      </c>
      <c r="W1468">
        <v>3.2125203640295199</v>
      </c>
      <c r="X1468" t="s">
        <v>40</v>
      </c>
      <c r="Y1468" t="s">
        <v>32</v>
      </c>
      <c r="Z1468">
        <v>994.71976723530497</v>
      </c>
    </row>
    <row r="1469" spans="1:26" x14ac:dyDescent="0.3">
      <c r="A1469" t="s">
        <v>42</v>
      </c>
      <c r="B1469" t="s">
        <v>1525</v>
      </c>
      <c r="C1469">
        <v>6.0917849633209498</v>
      </c>
      <c r="D1469">
        <v>20</v>
      </c>
      <c r="E1469">
        <v>76</v>
      </c>
      <c r="F1469">
        <v>6358.2015025928004</v>
      </c>
      <c r="G1469" t="s">
        <v>26</v>
      </c>
      <c r="H1469">
        <v>37</v>
      </c>
      <c r="I1469">
        <v>25</v>
      </c>
      <c r="J1469">
        <v>40</v>
      </c>
      <c r="K1469">
        <v>7</v>
      </c>
      <c r="L1469" t="s">
        <v>44</v>
      </c>
      <c r="M1469">
        <v>2.4010963919607198</v>
      </c>
      <c r="N1469" t="s">
        <v>37</v>
      </c>
      <c r="O1469" t="s">
        <v>65</v>
      </c>
      <c r="P1469">
        <f>VLOOKUP(O1469, Coordinates!$A$2:$C$6, 2, FALSE)</f>
        <v>41.878100000000003</v>
      </c>
      <c r="Q1469">
        <f>VLOOKUP(O1469, Coordinates!$A$2:$C$6, 3, FALSE)</f>
        <v>-87.629800000000003</v>
      </c>
      <c r="R1469">
        <v>24</v>
      </c>
      <c r="S1469">
        <v>759</v>
      </c>
      <c r="T1469">
        <v>5</v>
      </c>
      <c r="U1469">
        <v>89.164558189999994</v>
      </c>
      <c r="V1469" t="s">
        <v>39</v>
      </c>
      <c r="W1469">
        <v>2.24954234517533</v>
      </c>
      <c r="X1469" t="s">
        <v>46</v>
      </c>
      <c r="Y1469" t="s">
        <v>32</v>
      </c>
      <c r="Z1469">
        <v>532.55843102716506</v>
      </c>
    </row>
    <row r="1470" spans="1:26" x14ac:dyDescent="0.3">
      <c r="A1470" t="s">
        <v>82</v>
      </c>
      <c r="B1470" t="s">
        <v>1526</v>
      </c>
      <c r="C1470">
        <v>43.833839816767501</v>
      </c>
      <c r="D1470">
        <v>8</v>
      </c>
      <c r="E1470">
        <v>431</v>
      </c>
      <c r="F1470">
        <v>8849.8407609900496</v>
      </c>
      <c r="G1470" t="s">
        <v>48</v>
      </c>
      <c r="H1470">
        <v>0</v>
      </c>
      <c r="I1470">
        <v>14</v>
      </c>
      <c r="J1470">
        <v>71</v>
      </c>
      <c r="K1470">
        <v>4</v>
      </c>
      <c r="L1470" t="s">
        <v>36</v>
      </c>
      <c r="M1470">
        <v>5.20362754185048</v>
      </c>
      <c r="N1470" t="s">
        <v>37</v>
      </c>
      <c r="O1470" t="s">
        <v>65</v>
      </c>
      <c r="P1470">
        <f>VLOOKUP(O1470, Coordinates!$A$2:$C$6, 2, FALSE)</f>
        <v>41.878100000000003</v>
      </c>
      <c r="Q1470">
        <f>VLOOKUP(O1470, Coordinates!$A$2:$C$6, 3, FALSE)</f>
        <v>-87.629800000000003</v>
      </c>
      <c r="R1470">
        <v>25</v>
      </c>
      <c r="S1470">
        <v>130</v>
      </c>
      <c r="T1470">
        <v>13</v>
      </c>
      <c r="U1470">
        <v>24.910650816186099</v>
      </c>
      <c r="V1470" t="s">
        <v>30</v>
      </c>
      <c r="W1470">
        <v>2.9265439782986999</v>
      </c>
      <c r="X1470" t="s">
        <v>40</v>
      </c>
      <c r="Y1470" t="s">
        <v>32</v>
      </c>
      <c r="Z1470">
        <v>336.02059601023598</v>
      </c>
    </row>
    <row r="1471" spans="1:26" x14ac:dyDescent="0.3">
      <c r="A1471" t="s">
        <v>82</v>
      </c>
      <c r="B1471" t="s">
        <v>1527</v>
      </c>
      <c r="C1471">
        <v>92.782552690444604</v>
      </c>
      <c r="D1471">
        <v>58</v>
      </c>
      <c r="E1471">
        <v>642</v>
      </c>
      <c r="F1471">
        <v>1428.2487329150099</v>
      </c>
      <c r="G1471" t="s">
        <v>26</v>
      </c>
      <c r="H1471">
        <v>7</v>
      </c>
      <c r="I1471">
        <v>15</v>
      </c>
      <c r="J1471">
        <v>35</v>
      </c>
      <c r="K1471">
        <v>10</v>
      </c>
      <c r="L1471" t="s">
        <v>27</v>
      </c>
      <c r="M1471">
        <v>1.9599072969653599</v>
      </c>
      <c r="N1471" t="s">
        <v>51</v>
      </c>
      <c r="O1471" t="s">
        <v>67</v>
      </c>
      <c r="P1471">
        <f>VLOOKUP(O1471, Coordinates!$A$2:$C$6, 2, FALSE)</f>
        <v>40.712800000000001</v>
      </c>
      <c r="Q1471">
        <f>VLOOKUP(O1471, Coordinates!$A$2:$C$6, 3, FALSE)</f>
        <v>-74.006</v>
      </c>
      <c r="R1471">
        <v>14</v>
      </c>
      <c r="S1471">
        <v>625</v>
      </c>
      <c r="T1471">
        <v>10</v>
      </c>
      <c r="U1471">
        <v>33.8054580878363</v>
      </c>
      <c r="V1471" t="s">
        <v>55</v>
      </c>
      <c r="W1471">
        <v>1.9018479798769501</v>
      </c>
      <c r="X1471" t="s">
        <v>40</v>
      </c>
      <c r="Y1471" t="s">
        <v>60</v>
      </c>
      <c r="Z1471">
        <v>654.34552256113602</v>
      </c>
    </row>
    <row r="1472" spans="1:26" x14ac:dyDescent="0.3">
      <c r="A1472" t="s">
        <v>42</v>
      </c>
      <c r="B1472" t="s">
        <v>1528</v>
      </c>
      <c r="C1472">
        <v>15.6286585721667</v>
      </c>
      <c r="D1472">
        <v>46</v>
      </c>
      <c r="E1472">
        <v>174</v>
      </c>
      <c r="F1472">
        <v>4469.23391229761</v>
      </c>
      <c r="G1472" t="s">
        <v>26</v>
      </c>
      <c r="H1472">
        <v>80</v>
      </c>
      <c r="I1472">
        <v>28</v>
      </c>
      <c r="J1472">
        <v>76</v>
      </c>
      <c r="K1472">
        <v>6</v>
      </c>
      <c r="L1472" t="s">
        <v>44</v>
      </c>
      <c r="M1472">
        <v>13.880440953118599</v>
      </c>
      <c r="N1472" t="s">
        <v>57</v>
      </c>
      <c r="O1472" t="s">
        <v>65</v>
      </c>
      <c r="P1472">
        <f>VLOOKUP(O1472, Coordinates!$A$2:$C$6, 2, FALSE)</f>
        <v>41.878100000000003</v>
      </c>
      <c r="Q1472">
        <f>VLOOKUP(O1472, Coordinates!$A$2:$C$6, 3, FALSE)</f>
        <v>-87.629800000000003</v>
      </c>
      <c r="R1472">
        <v>28</v>
      </c>
      <c r="S1472">
        <v>634</v>
      </c>
      <c r="T1472">
        <v>6</v>
      </c>
      <c r="U1472">
        <v>23.040875199999999</v>
      </c>
      <c r="V1472" t="s">
        <v>55</v>
      </c>
      <c r="W1472">
        <v>2.3279123914220601</v>
      </c>
      <c r="X1472" t="s">
        <v>40</v>
      </c>
      <c r="Y1472" t="s">
        <v>32</v>
      </c>
      <c r="Z1472">
        <v>492.42904093424897</v>
      </c>
    </row>
    <row r="1473" spans="1:26" x14ac:dyDescent="0.3">
      <c r="A1473" t="s">
        <v>24</v>
      </c>
      <c r="B1473" t="s">
        <v>1529</v>
      </c>
      <c r="C1473">
        <v>39.467498459942703</v>
      </c>
      <c r="D1473">
        <v>31</v>
      </c>
      <c r="E1473">
        <v>209</v>
      </c>
      <c r="F1473">
        <v>7423.8364603152304</v>
      </c>
      <c r="G1473" t="s">
        <v>26</v>
      </c>
      <c r="H1473">
        <v>82</v>
      </c>
      <c r="I1473">
        <v>23</v>
      </c>
      <c r="J1473">
        <v>64</v>
      </c>
      <c r="K1473">
        <v>10</v>
      </c>
      <c r="L1473" t="s">
        <v>44</v>
      </c>
      <c r="M1473">
        <v>7.3186188191833299</v>
      </c>
      <c r="N1473" t="s">
        <v>28</v>
      </c>
      <c r="O1473" t="s">
        <v>65</v>
      </c>
      <c r="P1473">
        <f>VLOOKUP(O1473, Coordinates!$A$2:$C$6, 2, FALSE)</f>
        <v>41.878100000000003</v>
      </c>
      <c r="Q1473">
        <f>VLOOKUP(O1473, Coordinates!$A$2:$C$6, 3, FALSE)</f>
        <v>-87.629800000000003</v>
      </c>
      <c r="R1473">
        <v>16</v>
      </c>
      <c r="S1473">
        <v>609</v>
      </c>
      <c r="T1473">
        <v>4</v>
      </c>
      <c r="U1473">
        <v>88.235848604088005</v>
      </c>
      <c r="V1473" t="s">
        <v>55</v>
      </c>
      <c r="W1473">
        <v>1.78816096707142</v>
      </c>
      <c r="X1473" t="s">
        <v>52</v>
      </c>
      <c r="Y1473" t="s">
        <v>41</v>
      </c>
      <c r="Z1473">
        <v>872.47731380328298</v>
      </c>
    </row>
    <row r="1474" spans="1:26" x14ac:dyDescent="0.3">
      <c r="A1474" t="s">
        <v>49</v>
      </c>
      <c r="B1474" t="s">
        <v>1530</v>
      </c>
      <c r="C1474">
        <v>79.719626327130399</v>
      </c>
      <c r="D1474">
        <v>93</v>
      </c>
      <c r="E1474">
        <v>829</v>
      </c>
      <c r="F1474">
        <v>7258.18825658682</v>
      </c>
      <c r="G1474" t="s">
        <v>35</v>
      </c>
      <c r="H1474">
        <v>62</v>
      </c>
      <c r="I1474">
        <v>24</v>
      </c>
      <c r="J1474">
        <v>37</v>
      </c>
      <c r="K1474">
        <v>8</v>
      </c>
      <c r="L1474" t="s">
        <v>27</v>
      </c>
      <c r="M1474">
        <v>3.6511022674553901</v>
      </c>
      <c r="N1474" t="s">
        <v>51</v>
      </c>
      <c r="O1474" t="s">
        <v>29</v>
      </c>
      <c r="P1474">
        <f>VLOOKUP(O1474, Coordinates!$A$2:$C$6, 2, FALSE)</f>
        <v>29.760400000000001</v>
      </c>
      <c r="Q1474">
        <f>VLOOKUP(O1474, Coordinates!$A$2:$C$6, 3, FALSE)</f>
        <v>-95.369799999999998</v>
      </c>
      <c r="R1474">
        <v>10</v>
      </c>
      <c r="S1474">
        <v>613</v>
      </c>
      <c r="T1474">
        <v>4</v>
      </c>
      <c r="U1474">
        <v>37.028388111753401</v>
      </c>
      <c r="V1474" t="s">
        <v>30</v>
      </c>
      <c r="W1474">
        <v>2.0533739710541701</v>
      </c>
      <c r="X1474" t="s">
        <v>31</v>
      </c>
      <c r="Y1474" t="s">
        <v>41</v>
      </c>
      <c r="Z1474">
        <v>107.181229</v>
      </c>
    </row>
    <row r="1475" spans="1:26" x14ac:dyDescent="0.3">
      <c r="A1475" t="s">
        <v>72</v>
      </c>
      <c r="B1475" t="s">
        <v>1531</v>
      </c>
      <c r="C1475">
        <v>25.930751516144301</v>
      </c>
      <c r="D1475">
        <v>9</v>
      </c>
      <c r="E1475">
        <v>341</v>
      </c>
      <c r="F1475">
        <v>7958.14764030469</v>
      </c>
      <c r="G1475" t="s">
        <v>26</v>
      </c>
      <c r="H1475">
        <v>32</v>
      </c>
      <c r="I1475">
        <v>4</v>
      </c>
      <c r="J1475">
        <v>53</v>
      </c>
      <c r="K1475">
        <v>1</v>
      </c>
      <c r="L1475" t="s">
        <v>36</v>
      </c>
      <c r="M1475">
        <v>9.1869092348953192</v>
      </c>
      <c r="N1475" t="s">
        <v>37</v>
      </c>
      <c r="O1475" t="s">
        <v>29</v>
      </c>
      <c r="P1475">
        <f>VLOOKUP(O1475, Coordinates!$A$2:$C$6, 2, FALSE)</f>
        <v>29.760400000000001</v>
      </c>
      <c r="Q1475">
        <f>VLOOKUP(O1475, Coordinates!$A$2:$C$6, 3, FALSE)</f>
        <v>-95.369799999999998</v>
      </c>
      <c r="R1475">
        <v>7</v>
      </c>
      <c r="S1475">
        <v>277</v>
      </c>
      <c r="T1475">
        <v>7</v>
      </c>
      <c r="U1475">
        <v>83.933542374406102</v>
      </c>
      <c r="V1475" t="s">
        <v>30</v>
      </c>
      <c r="W1475">
        <v>1.57488272004715</v>
      </c>
      <c r="X1475" t="s">
        <v>31</v>
      </c>
      <c r="Y1475" t="s">
        <v>41</v>
      </c>
      <c r="Z1475">
        <v>997.09894783110599</v>
      </c>
    </row>
    <row r="1476" spans="1:26" x14ac:dyDescent="0.3">
      <c r="A1476" t="s">
        <v>61</v>
      </c>
      <c r="B1476" t="s">
        <v>1532</v>
      </c>
      <c r="C1476">
        <v>75.943780759999996</v>
      </c>
      <c r="D1476">
        <v>15</v>
      </c>
      <c r="E1476">
        <v>476</v>
      </c>
      <c r="F1476">
        <v>6983.2698272221996</v>
      </c>
      <c r="G1476" t="s">
        <v>48</v>
      </c>
      <c r="H1476">
        <v>14</v>
      </c>
      <c r="I1476">
        <v>25</v>
      </c>
      <c r="J1476">
        <v>90</v>
      </c>
      <c r="K1476">
        <v>2</v>
      </c>
      <c r="L1476" t="s">
        <v>44</v>
      </c>
      <c r="M1476">
        <v>3.75031306721668</v>
      </c>
      <c r="N1476" t="s">
        <v>57</v>
      </c>
      <c r="O1476" t="s">
        <v>38</v>
      </c>
      <c r="P1476">
        <f>VLOOKUP(O1476, Coordinates!$A$2:$C$6, 2, FALSE)</f>
        <v>25.761700000000001</v>
      </c>
      <c r="Q1476">
        <f>VLOOKUP(O1476, Coordinates!$A$2:$C$6, 3, FALSE)</f>
        <v>-80.191800000000001</v>
      </c>
      <c r="R1476">
        <v>16</v>
      </c>
      <c r="S1476">
        <v>428</v>
      </c>
      <c r="T1476">
        <v>16</v>
      </c>
      <c r="U1476">
        <v>18.489647193550098</v>
      </c>
      <c r="V1476" t="s">
        <v>30</v>
      </c>
      <c r="W1476">
        <v>0.38820538773010999</v>
      </c>
      <c r="X1476" t="s">
        <v>31</v>
      </c>
      <c r="Y1476" t="s">
        <v>41</v>
      </c>
      <c r="Z1476">
        <v>159.681197228679</v>
      </c>
    </row>
    <row r="1477" spans="1:26" x14ac:dyDescent="0.3">
      <c r="A1477" t="s">
        <v>33</v>
      </c>
      <c r="B1477" t="s">
        <v>1533</v>
      </c>
      <c r="C1477">
        <v>73.453727121218506</v>
      </c>
      <c r="D1477">
        <v>94</v>
      </c>
      <c r="E1477">
        <v>199</v>
      </c>
      <c r="F1477">
        <v>3575.62783718116</v>
      </c>
      <c r="G1477" t="s">
        <v>35</v>
      </c>
      <c r="H1477">
        <v>30</v>
      </c>
      <c r="I1477">
        <v>30</v>
      </c>
      <c r="J1477">
        <v>47</v>
      </c>
      <c r="K1477">
        <v>8</v>
      </c>
      <c r="L1477" t="s">
        <v>27</v>
      </c>
      <c r="M1477">
        <v>12.2621645050659</v>
      </c>
      <c r="N1477" t="s">
        <v>37</v>
      </c>
      <c r="O1477" t="s">
        <v>29</v>
      </c>
      <c r="P1477">
        <f>VLOOKUP(O1477, Coordinates!$A$2:$C$6, 2, FALSE)</f>
        <v>29.760400000000001</v>
      </c>
      <c r="Q1477">
        <f>VLOOKUP(O1477, Coordinates!$A$2:$C$6, 3, FALSE)</f>
        <v>-95.369799999999998</v>
      </c>
      <c r="R1477">
        <v>4</v>
      </c>
      <c r="S1477">
        <v>670</v>
      </c>
      <c r="T1477">
        <v>1</v>
      </c>
      <c r="U1477">
        <v>29.170197266255901</v>
      </c>
      <c r="V1477" t="s">
        <v>30</v>
      </c>
      <c r="W1477">
        <v>0.186731390815844</v>
      </c>
      <c r="X1477" t="s">
        <v>40</v>
      </c>
      <c r="Y1477" t="s">
        <v>60</v>
      </c>
      <c r="Z1477">
        <v>583.41131770000004</v>
      </c>
    </row>
    <row r="1478" spans="1:26" x14ac:dyDescent="0.3">
      <c r="A1478" t="s">
        <v>61</v>
      </c>
      <c r="B1478" t="s">
        <v>1534</v>
      </c>
      <c r="C1478">
        <v>83.5163685685974</v>
      </c>
      <c r="D1478">
        <v>26</v>
      </c>
      <c r="E1478">
        <v>674</v>
      </c>
      <c r="F1478">
        <v>2790.2513236350201</v>
      </c>
      <c r="G1478" t="s">
        <v>35</v>
      </c>
      <c r="H1478">
        <v>20</v>
      </c>
      <c r="I1478">
        <v>1</v>
      </c>
      <c r="J1478">
        <v>39</v>
      </c>
      <c r="K1478">
        <v>7</v>
      </c>
      <c r="L1478" t="s">
        <v>27</v>
      </c>
      <c r="M1478">
        <v>5.2828675363635096</v>
      </c>
      <c r="N1478" t="s">
        <v>45</v>
      </c>
      <c r="O1478" t="s">
        <v>38</v>
      </c>
      <c r="P1478">
        <f>VLOOKUP(O1478, Coordinates!$A$2:$C$6, 2, FALSE)</f>
        <v>25.761700000000001</v>
      </c>
      <c r="Q1478">
        <f>VLOOKUP(O1478, Coordinates!$A$2:$C$6, 3, FALSE)</f>
        <v>-80.191800000000001</v>
      </c>
      <c r="R1478">
        <v>30</v>
      </c>
      <c r="S1478">
        <v>900</v>
      </c>
      <c r="T1478">
        <v>9</v>
      </c>
      <c r="U1478">
        <v>34.445511917020099</v>
      </c>
      <c r="V1478" t="s">
        <v>39</v>
      </c>
      <c r="W1478">
        <v>3.8146793575161602</v>
      </c>
      <c r="X1478" t="s">
        <v>40</v>
      </c>
      <c r="Y1478" t="s">
        <v>60</v>
      </c>
      <c r="Z1478">
        <v>727.65999093872597</v>
      </c>
    </row>
    <row r="1479" spans="1:26" x14ac:dyDescent="0.3">
      <c r="A1479" t="s">
        <v>42</v>
      </c>
      <c r="B1479" t="s">
        <v>1535</v>
      </c>
      <c r="C1479">
        <v>47.3891159928666</v>
      </c>
      <c r="D1479">
        <v>10</v>
      </c>
      <c r="E1479">
        <v>657</v>
      </c>
      <c r="F1479">
        <v>9427.1730204248597</v>
      </c>
      <c r="G1479" t="s">
        <v>48</v>
      </c>
      <c r="H1479">
        <v>2</v>
      </c>
      <c r="I1479">
        <v>8</v>
      </c>
      <c r="J1479">
        <v>75</v>
      </c>
      <c r="K1479">
        <v>10</v>
      </c>
      <c r="L1479" t="s">
        <v>44</v>
      </c>
      <c r="M1479">
        <v>5.4086088600000002</v>
      </c>
      <c r="N1479" t="s">
        <v>37</v>
      </c>
      <c r="O1479" t="s">
        <v>29</v>
      </c>
      <c r="P1479">
        <f>VLOOKUP(O1479, Coordinates!$A$2:$C$6, 2, FALSE)</f>
        <v>29.760400000000001</v>
      </c>
      <c r="Q1479">
        <f>VLOOKUP(O1479, Coordinates!$A$2:$C$6, 3, FALSE)</f>
        <v>-95.369799999999998</v>
      </c>
      <c r="R1479">
        <v>12</v>
      </c>
      <c r="S1479">
        <v>787</v>
      </c>
      <c r="T1479">
        <v>26</v>
      </c>
      <c r="U1479">
        <v>65.721671602498304</v>
      </c>
      <c r="V1479" t="s">
        <v>30</v>
      </c>
      <c r="W1479">
        <v>1.25818871914365</v>
      </c>
      <c r="X1479" t="s">
        <v>52</v>
      </c>
      <c r="Y1479" t="s">
        <v>60</v>
      </c>
      <c r="Z1479">
        <v>594.84718067142205</v>
      </c>
    </row>
    <row r="1480" spans="1:26" x14ac:dyDescent="0.3">
      <c r="A1480" t="s">
        <v>82</v>
      </c>
      <c r="B1480" t="s">
        <v>1536</v>
      </c>
      <c r="C1480">
        <v>81.555230598694095</v>
      </c>
      <c r="D1480">
        <v>29</v>
      </c>
      <c r="E1480">
        <v>279</v>
      </c>
      <c r="F1480">
        <v>1166.7211907136</v>
      </c>
      <c r="G1480" t="s">
        <v>35</v>
      </c>
      <c r="H1480">
        <v>65</v>
      </c>
      <c r="I1480">
        <v>3</v>
      </c>
      <c r="J1480">
        <v>17</v>
      </c>
      <c r="K1480">
        <v>9</v>
      </c>
      <c r="L1480" t="s">
        <v>44</v>
      </c>
      <c r="M1480">
        <v>13.179313214829801</v>
      </c>
      <c r="N1480" t="s">
        <v>28</v>
      </c>
      <c r="O1480" t="s">
        <v>38</v>
      </c>
      <c r="P1480">
        <f>VLOOKUP(O1480, Coordinates!$A$2:$C$6, 2, FALSE)</f>
        <v>25.761700000000001</v>
      </c>
      <c r="Q1480">
        <f>VLOOKUP(O1480, Coordinates!$A$2:$C$6, 3, FALSE)</f>
        <v>-80.191800000000001</v>
      </c>
      <c r="R1480">
        <v>30</v>
      </c>
      <c r="S1480">
        <v>271</v>
      </c>
      <c r="T1480">
        <v>19</v>
      </c>
      <c r="U1480">
        <v>77.081112676706695</v>
      </c>
      <c r="V1480" t="s">
        <v>30</v>
      </c>
      <c r="W1480">
        <v>4.4523593029484099</v>
      </c>
      <c r="X1480" t="s">
        <v>31</v>
      </c>
      <c r="Y1480" t="s">
        <v>32</v>
      </c>
      <c r="Z1480">
        <v>370.69638320868302</v>
      </c>
    </row>
    <row r="1481" spans="1:26" x14ac:dyDescent="0.3">
      <c r="A1481" t="s">
        <v>24</v>
      </c>
      <c r="B1481" t="s">
        <v>1537</v>
      </c>
      <c r="C1481">
        <v>37.049533195390303</v>
      </c>
      <c r="D1481">
        <v>80</v>
      </c>
      <c r="E1481">
        <v>11</v>
      </c>
      <c r="F1481">
        <v>366.790378634364</v>
      </c>
      <c r="G1481" t="s">
        <v>48</v>
      </c>
      <c r="H1481">
        <v>34</v>
      </c>
      <c r="I1481">
        <v>14</v>
      </c>
      <c r="J1481">
        <v>23</v>
      </c>
      <c r="K1481">
        <v>2</v>
      </c>
      <c r="L1481" t="s">
        <v>44</v>
      </c>
      <c r="M1481">
        <v>8.8288403851032804</v>
      </c>
      <c r="N1481" t="s">
        <v>51</v>
      </c>
      <c r="O1481" t="s">
        <v>29</v>
      </c>
      <c r="P1481">
        <f>VLOOKUP(O1481, Coordinates!$A$2:$C$6, 2, FALSE)</f>
        <v>29.760400000000001</v>
      </c>
      <c r="Q1481">
        <f>VLOOKUP(O1481, Coordinates!$A$2:$C$6, 3, FALSE)</f>
        <v>-95.369799999999998</v>
      </c>
      <c r="R1481">
        <v>2</v>
      </c>
      <c r="S1481">
        <v>495</v>
      </c>
      <c r="T1481">
        <v>20</v>
      </c>
      <c r="U1481">
        <v>78.826612234494405</v>
      </c>
      <c r="V1481" t="s">
        <v>30</v>
      </c>
      <c r="W1481">
        <v>3.0562432726155202</v>
      </c>
      <c r="X1481" t="s">
        <v>31</v>
      </c>
      <c r="Y1481" t="s">
        <v>41</v>
      </c>
      <c r="Z1481">
        <v>869.88949226719706</v>
      </c>
    </row>
    <row r="1482" spans="1:26" x14ac:dyDescent="0.3">
      <c r="A1482" t="s">
        <v>82</v>
      </c>
      <c r="B1482" t="s">
        <v>1538</v>
      </c>
      <c r="C1482">
        <v>92.833300260796406</v>
      </c>
      <c r="D1482">
        <v>36</v>
      </c>
      <c r="E1482">
        <v>909</v>
      </c>
      <c r="F1482">
        <v>1194.64293215614</v>
      </c>
      <c r="G1482" t="s">
        <v>54</v>
      </c>
      <c r="H1482">
        <v>40</v>
      </c>
      <c r="I1482">
        <v>17</v>
      </c>
      <c r="J1482">
        <v>71</v>
      </c>
      <c r="K1482">
        <v>8</v>
      </c>
      <c r="L1482" t="s">
        <v>36</v>
      </c>
      <c r="M1482">
        <v>13.4222294805771</v>
      </c>
      <c r="N1482" t="s">
        <v>37</v>
      </c>
      <c r="O1482" t="s">
        <v>29</v>
      </c>
      <c r="P1482">
        <f>VLOOKUP(O1482, Coordinates!$A$2:$C$6, 2, FALSE)</f>
        <v>29.760400000000001</v>
      </c>
      <c r="Q1482">
        <f>VLOOKUP(O1482, Coordinates!$A$2:$C$6, 3, FALSE)</f>
        <v>-95.369799999999998</v>
      </c>
      <c r="R1482">
        <v>6</v>
      </c>
      <c r="S1482">
        <v>694</v>
      </c>
      <c r="T1482">
        <v>15</v>
      </c>
      <c r="U1482">
        <v>10.7772383744948</v>
      </c>
      <c r="V1482" t="s">
        <v>30</v>
      </c>
      <c r="W1482">
        <v>4.79148584811995</v>
      </c>
      <c r="X1482" t="s">
        <v>52</v>
      </c>
      <c r="Y1482" t="s">
        <v>41</v>
      </c>
      <c r="Z1482">
        <v>487.38072767528303</v>
      </c>
    </row>
    <row r="1483" spans="1:26" x14ac:dyDescent="0.3">
      <c r="A1483" t="s">
        <v>33</v>
      </c>
      <c r="B1483" t="s">
        <v>1539</v>
      </c>
      <c r="C1483">
        <v>47.114118404131602</v>
      </c>
      <c r="D1483">
        <v>84</v>
      </c>
      <c r="E1483">
        <v>983</v>
      </c>
      <c r="F1483">
        <v>5352.3374329389599</v>
      </c>
      <c r="G1483" t="s">
        <v>48</v>
      </c>
      <c r="H1483">
        <v>58</v>
      </c>
      <c r="I1483">
        <v>2</v>
      </c>
      <c r="J1483">
        <v>84</v>
      </c>
      <c r="K1483">
        <v>6</v>
      </c>
      <c r="L1483" t="s">
        <v>36</v>
      </c>
      <c r="M1483">
        <v>6.7804324181150104</v>
      </c>
      <c r="N1483" t="s">
        <v>45</v>
      </c>
      <c r="O1483" t="s">
        <v>38</v>
      </c>
      <c r="P1483">
        <f>VLOOKUP(O1483, Coordinates!$A$2:$C$6, 2, FALSE)</f>
        <v>25.761700000000001</v>
      </c>
      <c r="Q1483">
        <f>VLOOKUP(O1483, Coordinates!$A$2:$C$6, 3, FALSE)</f>
        <v>-80.191800000000001</v>
      </c>
      <c r="R1483">
        <v>26</v>
      </c>
      <c r="S1483">
        <v>834</v>
      </c>
      <c r="T1483">
        <v>9</v>
      </c>
      <c r="U1483">
        <v>68.666541291951802</v>
      </c>
      <c r="V1483" t="s">
        <v>39</v>
      </c>
      <c r="W1483">
        <v>4.2253347573643101</v>
      </c>
      <c r="X1483" t="s">
        <v>31</v>
      </c>
      <c r="Y1483" t="s">
        <v>60</v>
      </c>
      <c r="Z1483">
        <v>370.631207922903</v>
      </c>
    </row>
    <row r="1484" spans="1:26" x14ac:dyDescent="0.3">
      <c r="A1484" t="s">
        <v>82</v>
      </c>
      <c r="B1484" t="s">
        <v>1540</v>
      </c>
      <c r="C1484">
        <v>57.571117847246001</v>
      </c>
      <c r="D1484">
        <v>37</v>
      </c>
      <c r="E1484">
        <v>570</v>
      </c>
      <c r="F1484">
        <v>5509.4264001497604</v>
      </c>
      <c r="G1484" t="s">
        <v>35</v>
      </c>
      <c r="H1484">
        <v>15</v>
      </c>
      <c r="I1484">
        <v>15</v>
      </c>
      <c r="J1484">
        <v>72</v>
      </c>
      <c r="K1484">
        <v>1</v>
      </c>
      <c r="L1484" t="s">
        <v>27</v>
      </c>
      <c r="M1484">
        <v>5.8149877520000004</v>
      </c>
      <c r="N1484" t="s">
        <v>45</v>
      </c>
      <c r="O1484" t="s">
        <v>38</v>
      </c>
      <c r="P1484">
        <f>VLOOKUP(O1484, Coordinates!$A$2:$C$6, 2, FALSE)</f>
        <v>25.761700000000001</v>
      </c>
      <c r="Q1484">
        <f>VLOOKUP(O1484, Coordinates!$A$2:$C$6, 3, FALSE)</f>
        <v>-80.191800000000001</v>
      </c>
      <c r="R1484">
        <v>26</v>
      </c>
      <c r="S1484">
        <v>134</v>
      </c>
      <c r="T1484">
        <v>21</v>
      </c>
      <c r="U1484">
        <v>66.766319143039198</v>
      </c>
      <c r="V1484" t="s">
        <v>39</v>
      </c>
      <c r="W1484">
        <v>4.3838746252694003</v>
      </c>
      <c r="X1484" t="s">
        <v>46</v>
      </c>
      <c r="Y1484" t="s">
        <v>32</v>
      </c>
      <c r="Z1484">
        <v>791.50033098086794</v>
      </c>
    </row>
    <row r="1485" spans="1:26" x14ac:dyDescent="0.3">
      <c r="A1485" t="s">
        <v>82</v>
      </c>
      <c r="B1485" t="s">
        <v>1541</v>
      </c>
      <c r="C1485">
        <v>29.213813646913799</v>
      </c>
      <c r="D1485">
        <v>86</v>
      </c>
      <c r="E1485">
        <v>620</v>
      </c>
      <c r="F1485">
        <v>3894.96224255272</v>
      </c>
      <c r="G1485" t="s">
        <v>48</v>
      </c>
      <c r="H1485">
        <v>55</v>
      </c>
      <c r="I1485">
        <v>6</v>
      </c>
      <c r="J1485">
        <v>88</v>
      </c>
      <c r="K1485">
        <v>4</v>
      </c>
      <c r="L1485" t="s">
        <v>27</v>
      </c>
      <c r="M1485">
        <v>8.0868419617255096</v>
      </c>
      <c r="N1485" t="s">
        <v>51</v>
      </c>
      <c r="O1485" t="s">
        <v>38</v>
      </c>
      <c r="P1485">
        <f>VLOOKUP(O1485, Coordinates!$A$2:$C$6, 2, FALSE)</f>
        <v>25.761700000000001</v>
      </c>
      <c r="Q1485">
        <f>VLOOKUP(O1485, Coordinates!$A$2:$C$6, 3, FALSE)</f>
        <v>-80.191800000000001</v>
      </c>
      <c r="R1485">
        <v>15</v>
      </c>
      <c r="S1485">
        <v>396</v>
      </c>
      <c r="T1485">
        <v>28</v>
      </c>
      <c r="U1485">
        <v>56.588921370088897</v>
      </c>
      <c r="V1485" t="s">
        <v>39</v>
      </c>
      <c r="W1485">
        <v>3.5987661379492799</v>
      </c>
      <c r="X1485" t="s">
        <v>46</v>
      </c>
      <c r="Y1485" t="s">
        <v>60</v>
      </c>
      <c r="Z1485">
        <v>231.270281194951</v>
      </c>
    </row>
    <row r="1486" spans="1:26" x14ac:dyDescent="0.3">
      <c r="A1486" t="s">
        <v>33</v>
      </c>
      <c r="B1486" t="s">
        <v>1542</v>
      </c>
      <c r="C1486">
        <v>75.540429119839999</v>
      </c>
      <c r="D1486">
        <v>71</v>
      </c>
      <c r="E1486">
        <v>858</v>
      </c>
      <c r="F1486">
        <v>2189.4559977252102</v>
      </c>
      <c r="G1486" t="s">
        <v>54</v>
      </c>
      <c r="H1486">
        <v>44</v>
      </c>
      <c r="I1486">
        <v>5</v>
      </c>
      <c r="J1486">
        <v>75</v>
      </c>
      <c r="K1486">
        <v>2</v>
      </c>
      <c r="L1486" t="s">
        <v>44</v>
      </c>
      <c r="M1486">
        <v>1.8608833968407299</v>
      </c>
      <c r="N1486" t="s">
        <v>45</v>
      </c>
      <c r="O1486" t="s">
        <v>38</v>
      </c>
      <c r="P1486">
        <f>VLOOKUP(O1486, Coordinates!$A$2:$C$6, 2, FALSE)</f>
        <v>25.761700000000001</v>
      </c>
      <c r="Q1486">
        <f>VLOOKUP(O1486, Coordinates!$A$2:$C$6, 3, FALSE)</f>
        <v>-80.191800000000001</v>
      </c>
      <c r="R1486">
        <v>25</v>
      </c>
      <c r="S1486">
        <v>568</v>
      </c>
      <c r="T1486">
        <v>20</v>
      </c>
      <c r="U1486">
        <v>44.1287705263383</v>
      </c>
      <c r="V1486" t="s">
        <v>39</v>
      </c>
      <c r="W1486">
        <v>4.6839991926103899</v>
      </c>
      <c r="X1486" t="s">
        <v>52</v>
      </c>
      <c r="Y1486" t="s">
        <v>41</v>
      </c>
      <c r="Z1486">
        <v>284.50814376167102</v>
      </c>
    </row>
    <row r="1487" spans="1:26" x14ac:dyDescent="0.3">
      <c r="A1487" t="s">
        <v>72</v>
      </c>
      <c r="B1487" t="s">
        <v>1543</v>
      </c>
      <c r="C1487">
        <v>34.741349126990698</v>
      </c>
      <c r="D1487">
        <v>23</v>
      </c>
      <c r="E1487">
        <v>854</v>
      </c>
      <c r="F1487">
        <v>26702.200939005001</v>
      </c>
      <c r="G1487" t="s">
        <v>26</v>
      </c>
      <c r="H1487">
        <v>58</v>
      </c>
      <c r="I1487">
        <v>14</v>
      </c>
      <c r="J1487">
        <v>49</v>
      </c>
      <c r="K1487">
        <v>7</v>
      </c>
      <c r="L1487" t="s">
        <v>27</v>
      </c>
      <c r="M1487">
        <v>3.1588107969304899</v>
      </c>
      <c r="N1487" t="s">
        <v>51</v>
      </c>
      <c r="O1487" t="s">
        <v>38</v>
      </c>
      <c r="P1487">
        <f>VLOOKUP(O1487, Coordinates!$A$2:$C$6, 2, FALSE)</f>
        <v>25.761700000000001</v>
      </c>
      <c r="Q1487">
        <f>VLOOKUP(O1487, Coordinates!$A$2:$C$6, 3, FALSE)</f>
        <v>-80.191800000000001</v>
      </c>
      <c r="R1487">
        <v>16</v>
      </c>
      <c r="S1487">
        <v>594</v>
      </c>
      <c r="T1487">
        <v>28</v>
      </c>
      <c r="U1487">
        <v>75.503200411378302</v>
      </c>
      <c r="V1487" t="s">
        <v>55</v>
      </c>
      <c r="W1487">
        <v>2.63940040191049</v>
      </c>
      <c r="X1487" t="s">
        <v>31</v>
      </c>
      <c r="Y1487" t="s">
        <v>41</v>
      </c>
      <c r="Z1487">
        <v>327.49278937801898</v>
      </c>
    </row>
    <row r="1488" spans="1:26" x14ac:dyDescent="0.3">
      <c r="A1488" t="s">
        <v>72</v>
      </c>
      <c r="B1488" t="s">
        <v>1544</v>
      </c>
      <c r="C1488">
        <v>22.931753511476099</v>
      </c>
      <c r="D1488">
        <v>41</v>
      </c>
      <c r="E1488">
        <v>577</v>
      </c>
      <c r="F1488">
        <v>11908.4595985095</v>
      </c>
      <c r="G1488" t="s">
        <v>26</v>
      </c>
      <c r="H1488">
        <v>49</v>
      </c>
      <c r="I1488">
        <v>19</v>
      </c>
      <c r="J1488">
        <v>22</v>
      </c>
      <c r="K1488">
        <v>9</v>
      </c>
      <c r="L1488" t="s">
        <v>36</v>
      </c>
      <c r="M1488">
        <v>4.0733029001684402</v>
      </c>
      <c r="N1488" t="s">
        <v>28</v>
      </c>
      <c r="O1488" t="s">
        <v>29</v>
      </c>
      <c r="P1488">
        <f>VLOOKUP(O1488, Coordinates!$A$2:$C$6, 2, FALSE)</f>
        <v>29.760400000000001</v>
      </c>
      <c r="Q1488">
        <f>VLOOKUP(O1488, Coordinates!$A$2:$C$6, 3, FALSE)</f>
        <v>-95.369799999999998</v>
      </c>
      <c r="R1488">
        <v>24</v>
      </c>
      <c r="S1488">
        <v>721</v>
      </c>
      <c r="T1488">
        <v>22</v>
      </c>
      <c r="U1488">
        <v>88.037078006589496</v>
      </c>
      <c r="V1488" t="s">
        <v>39</v>
      </c>
      <c r="W1488">
        <v>2.87782020781962</v>
      </c>
      <c r="X1488" t="s">
        <v>52</v>
      </c>
      <c r="Y1488" t="s">
        <v>60</v>
      </c>
      <c r="Z1488">
        <v>491.39287976485201</v>
      </c>
    </row>
    <row r="1489" spans="1:26" x14ac:dyDescent="0.3">
      <c r="A1489" t="s">
        <v>33</v>
      </c>
      <c r="B1489" t="s">
        <v>1545</v>
      </c>
      <c r="C1489">
        <v>83.6710987556025</v>
      </c>
      <c r="D1489">
        <v>93</v>
      </c>
      <c r="E1489">
        <v>603</v>
      </c>
      <c r="F1489">
        <v>8041.5622778001298</v>
      </c>
      <c r="G1489" t="s">
        <v>26</v>
      </c>
      <c r="H1489">
        <v>84</v>
      </c>
      <c r="I1489">
        <v>9</v>
      </c>
      <c r="J1489">
        <v>26</v>
      </c>
      <c r="K1489">
        <v>6</v>
      </c>
      <c r="L1489" t="s">
        <v>27</v>
      </c>
      <c r="M1489">
        <v>12.4334819576104</v>
      </c>
      <c r="N1489" t="s">
        <v>51</v>
      </c>
      <c r="O1489" t="s">
        <v>29</v>
      </c>
      <c r="P1489">
        <f>VLOOKUP(O1489, Coordinates!$A$2:$C$6, 2, FALSE)</f>
        <v>29.760400000000001</v>
      </c>
      <c r="Q1489">
        <f>VLOOKUP(O1489, Coordinates!$A$2:$C$6, 3, FALSE)</f>
        <v>-95.369799999999998</v>
      </c>
      <c r="R1489">
        <v>3</v>
      </c>
      <c r="S1489">
        <v>334</v>
      </c>
      <c r="T1489">
        <v>1</v>
      </c>
      <c r="U1489">
        <v>30.701104489594101</v>
      </c>
      <c r="V1489" t="s">
        <v>55</v>
      </c>
      <c r="W1489">
        <v>2.9206765613822898</v>
      </c>
      <c r="X1489" t="s">
        <v>52</v>
      </c>
      <c r="Y1489" t="s">
        <v>41</v>
      </c>
      <c r="Z1489">
        <v>118.302676262651</v>
      </c>
    </row>
    <row r="1490" spans="1:26" x14ac:dyDescent="0.3">
      <c r="A1490" t="s">
        <v>24</v>
      </c>
      <c r="B1490" t="s">
        <v>1546</v>
      </c>
      <c r="C1490">
        <v>20.4778568335493</v>
      </c>
      <c r="D1490">
        <v>80</v>
      </c>
      <c r="E1490">
        <v>774</v>
      </c>
      <c r="F1490">
        <v>14264.8750702504</v>
      </c>
      <c r="G1490" t="s">
        <v>35</v>
      </c>
      <c r="H1490">
        <v>11</v>
      </c>
      <c r="I1490">
        <v>8</v>
      </c>
      <c r="J1490">
        <v>24</v>
      </c>
      <c r="K1490">
        <v>4</v>
      </c>
      <c r="L1490" t="s">
        <v>27</v>
      </c>
      <c r="M1490">
        <v>11.273182596750599</v>
      </c>
      <c r="N1490" t="s">
        <v>57</v>
      </c>
      <c r="O1490" t="s">
        <v>38</v>
      </c>
      <c r="P1490">
        <f>VLOOKUP(O1490, Coordinates!$A$2:$C$6, 2, FALSE)</f>
        <v>25.761700000000001</v>
      </c>
      <c r="Q1490">
        <f>VLOOKUP(O1490, Coordinates!$A$2:$C$6, 3, FALSE)</f>
        <v>-80.191800000000001</v>
      </c>
      <c r="R1490">
        <v>1</v>
      </c>
      <c r="S1490">
        <v>138</v>
      </c>
      <c r="T1490">
        <v>26</v>
      </c>
      <c r="U1490">
        <v>84.554097359360597</v>
      </c>
      <c r="V1490" t="s">
        <v>55</v>
      </c>
      <c r="W1490">
        <v>3.82870212102265</v>
      </c>
      <c r="X1490" t="s">
        <v>52</v>
      </c>
      <c r="Y1490" t="s">
        <v>60</v>
      </c>
      <c r="Z1490">
        <v>992.59808689762201</v>
      </c>
    </row>
    <row r="1491" spans="1:26" x14ac:dyDescent="0.3">
      <c r="A1491" t="s">
        <v>42</v>
      </c>
      <c r="B1491" t="s">
        <v>1547</v>
      </c>
      <c r="C1491">
        <v>81.885817837099907</v>
      </c>
      <c r="D1491">
        <v>28</v>
      </c>
      <c r="E1491">
        <v>182</v>
      </c>
      <c r="F1491">
        <v>6308.5095499999998</v>
      </c>
      <c r="G1491" t="s">
        <v>54</v>
      </c>
      <c r="H1491">
        <v>91</v>
      </c>
      <c r="I1491">
        <v>29</v>
      </c>
      <c r="J1491">
        <v>42</v>
      </c>
      <c r="K1491">
        <v>5</v>
      </c>
      <c r="L1491" t="s">
        <v>44</v>
      </c>
      <c r="M1491">
        <v>3.70630190297521</v>
      </c>
      <c r="N1491" t="s">
        <v>45</v>
      </c>
      <c r="O1491" t="s">
        <v>38</v>
      </c>
      <c r="P1491">
        <f>VLOOKUP(O1491, Coordinates!$A$2:$C$6, 2, FALSE)</f>
        <v>25.761700000000001</v>
      </c>
      <c r="Q1491">
        <f>VLOOKUP(O1491, Coordinates!$A$2:$C$6, 3, FALSE)</f>
        <v>-80.191800000000001</v>
      </c>
      <c r="R1491">
        <v>28</v>
      </c>
      <c r="S1491">
        <v>318</v>
      </c>
      <c r="T1491">
        <v>1</v>
      </c>
      <c r="U1491">
        <v>49.5683125410849</v>
      </c>
      <c r="V1491" t="s">
        <v>39</v>
      </c>
      <c r="W1491">
        <v>3.8245131492984101</v>
      </c>
      <c r="X1491" t="s">
        <v>31</v>
      </c>
      <c r="Y1491" t="s">
        <v>60</v>
      </c>
      <c r="Z1491">
        <v>640.13585758745103</v>
      </c>
    </row>
    <row r="1492" spans="1:26" x14ac:dyDescent="0.3">
      <c r="A1492" t="s">
        <v>82</v>
      </c>
      <c r="B1492" t="s">
        <v>1548</v>
      </c>
      <c r="C1492">
        <v>79.703984640840702</v>
      </c>
      <c r="D1492">
        <v>48</v>
      </c>
      <c r="E1492">
        <v>246</v>
      </c>
      <c r="F1492">
        <v>2805.5473401218701</v>
      </c>
      <c r="G1492" t="s">
        <v>48</v>
      </c>
      <c r="H1492">
        <v>11</v>
      </c>
      <c r="I1492">
        <v>3</v>
      </c>
      <c r="J1492">
        <v>25</v>
      </c>
      <c r="K1492">
        <v>1</v>
      </c>
      <c r="L1492" t="s">
        <v>44</v>
      </c>
      <c r="M1492">
        <v>4.8744659012293603</v>
      </c>
      <c r="N1492" t="s">
        <v>45</v>
      </c>
      <c r="O1492" t="s">
        <v>38</v>
      </c>
      <c r="P1492">
        <f>VLOOKUP(O1492, Coordinates!$A$2:$C$6, 2, FALSE)</f>
        <v>25.761700000000001</v>
      </c>
      <c r="Q1492">
        <f>VLOOKUP(O1492, Coordinates!$A$2:$C$6, 3, FALSE)</f>
        <v>-80.191800000000001</v>
      </c>
      <c r="R1492">
        <v>30</v>
      </c>
      <c r="S1492">
        <v>316</v>
      </c>
      <c r="T1492">
        <v>16</v>
      </c>
      <c r="U1492">
        <v>29.265164920246502</v>
      </c>
      <c r="V1492" t="s">
        <v>39</v>
      </c>
      <c r="W1492">
        <v>4.9671379007747296</v>
      </c>
      <c r="X1492" t="s">
        <v>52</v>
      </c>
      <c r="Y1492" t="s">
        <v>60</v>
      </c>
      <c r="Z1492">
        <v>973.64749618966596</v>
      </c>
    </row>
    <row r="1493" spans="1:26" x14ac:dyDescent="0.3">
      <c r="A1493" t="s">
        <v>24</v>
      </c>
      <c r="B1493" t="s">
        <v>1549</v>
      </c>
      <c r="C1493">
        <v>20.281482922205999</v>
      </c>
      <c r="D1493">
        <v>38</v>
      </c>
      <c r="E1493">
        <v>207</v>
      </c>
      <c r="F1493">
        <v>3778.4402684069901</v>
      </c>
      <c r="G1493" t="s">
        <v>48</v>
      </c>
      <c r="H1493">
        <v>32</v>
      </c>
      <c r="I1493">
        <v>18</v>
      </c>
      <c r="J1493">
        <v>22</v>
      </c>
      <c r="K1493">
        <v>4</v>
      </c>
      <c r="L1493" t="s">
        <v>36</v>
      </c>
      <c r="M1493">
        <v>14.2196660885397</v>
      </c>
      <c r="N1493" t="s">
        <v>37</v>
      </c>
      <c r="O1493" t="s">
        <v>67</v>
      </c>
      <c r="P1493">
        <f>VLOOKUP(O1493, Coordinates!$A$2:$C$6, 2, FALSE)</f>
        <v>40.712800000000001</v>
      </c>
      <c r="Q1493">
        <f>VLOOKUP(O1493, Coordinates!$A$2:$C$6, 3, FALSE)</f>
        <v>-74.006</v>
      </c>
      <c r="R1493">
        <v>15</v>
      </c>
      <c r="S1493">
        <v>805</v>
      </c>
      <c r="T1493">
        <v>5</v>
      </c>
      <c r="U1493">
        <v>94.310495150987293</v>
      </c>
      <c r="V1493" t="s">
        <v>30</v>
      </c>
      <c r="W1493">
        <v>4.7398150902821596</v>
      </c>
      <c r="X1493" t="s">
        <v>31</v>
      </c>
      <c r="Y1493" t="s">
        <v>60</v>
      </c>
      <c r="Z1493">
        <v>826.70793850925202</v>
      </c>
    </row>
    <row r="1494" spans="1:26" x14ac:dyDescent="0.3">
      <c r="A1494" t="s">
        <v>82</v>
      </c>
      <c r="B1494" t="s">
        <v>1550</v>
      </c>
      <c r="C1494">
        <v>40.484416805470303</v>
      </c>
      <c r="D1494">
        <v>31</v>
      </c>
      <c r="E1494">
        <v>547</v>
      </c>
      <c r="F1494">
        <v>2457.06049047122</v>
      </c>
      <c r="G1494" t="s">
        <v>48</v>
      </c>
      <c r="H1494">
        <v>83</v>
      </c>
      <c r="I1494">
        <v>8</v>
      </c>
      <c r="J1494">
        <v>95</v>
      </c>
      <c r="K1494">
        <v>10</v>
      </c>
      <c r="L1494" t="s">
        <v>27</v>
      </c>
      <c r="M1494">
        <v>2.2012414711643302</v>
      </c>
      <c r="N1494" t="s">
        <v>57</v>
      </c>
      <c r="O1494" t="s">
        <v>29</v>
      </c>
      <c r="P1494">
        <f>VLOOKUP(O1494, Coordinates!$A$2:$C$6, 2, FALSE)</f>
        <v>29.760400000000001</v>
      </c>
      <c r="Q1494">
        <f>VLOOKUP(O1494, Coordinates!$A$2:$C$6, 3, FALSE)</f>
        <v>-95.369799999999998</v>
      </c>
      <c r="R1494">
        <v>19</v>
      </c>
      <c r="S1494">
        <v>774</v>
      </c>
      <c r="T1494">
        <v>21</v>
      </c>
      <c r="U1494">
        <v>89.578828226070598</v>
      </c>
      <c r="V1494" t="s">
        <v>30</v>
      </c>
      <c r="W1494">
        <v>2.1096142483911402</v>
      </c>
      <c r="X1494" t="s">
        <v>46</v>
      </c>
      <c r="Y1494" t="s">
        <v>41</v>
      </c>
      <c r="Z1494">
        <v>220.87899680000001</v>
      </c>
    </row>
    <row r="1495" spans="1:26" x14ac:dyDescent="0.3">
      <c r="A1495" t="s">
        <v>42</v>
      </c>
      <c r="B1495" t="s">
        <v>1551</v>
      </c>
      <c r="C1495">
        <v>30.792381647277399</v>
      </c>
      <c r="D1495">
        <v>14</v>
      </c>
      <c r="E1495">
        <v>931</v>
      </c>
      <c r="F1495">
        <v>3243.6581500415</v>
      </c>
      <c r="G1495" t="s">
        <v>48</v>
      </c>
      <c r="H1495">
        <v>5</v>
      </c>
      <c r="I1495">
        <v>26</v>
      </c>
      <c r="J1495">
        <v>32</v>
      </c>
      <c r="K1495">
        <v>3</v>
      </c>
      <c r="L1495" t="s">
        <v>27</v>
      </c>
      <c r="M1495">
        <v>8.6643713740728394</v>
      </c>
      <c r="N1495" t="s">
        <v>37</v>
      </c>
      <c r="O1495" t="s">
        <v>67</v>
      </c>
      <c r="P1495">
        <f>VLOOKUP(O1495, Coordinates!$A$2:$C$6, 2, FALSE)</f>
        <v>40.712800000000001</v>
      </c>
      <c r="Q1495">
        <f>VLOOKUP(O1495, Coordinates!$A$2:$C$6, 3, FALSE)</f>
        <v>-74.006</v>
      </c>
      <c r="R1495">
        <v>6</v>
      </c>
      <c r="S1495">
        <v>727</v>
      </c>
      <c r="T1495">
        <v>27</v>
      </c>
      <c r="U1495">
        <v>63.591411174586703</v>
      </c>
      <c r="V1495" t="s">
        <v>30</v>
      </c>
      <c r="W1495">
        <v>0.17861304755955201</v>
      </c>
      <c r="X1495" t="s">
        <v>52</v>
      </c>
      <c r="Y1495" t="s">
        <v>32</v>
      </c>
      <c r="Z1495">
        <v>288.16124959625</v>
      </c>
    </row>
    <row r="1496" spans="1:26" x14ac:dyDescent="0.3">
      <c r="A1496" t="s">
        <v>72</v>
      </c>
      <c r="B1496" t="s">
        <v>1552</v>
      </c>
      <c r="C1496">
        <v>21.314440600815502</v>
      </c>
      <c r="D1496">
        <v>97</v>
      </c>
      <c r="E1496">
        <v>466</v>
      </c>
      <c r="F1496">
        <v>8939.2763879820304</v>
      </c>
      <c r="G1496" t="s">
        <v>35</v>
      </c>
      <c r="H1496">
        <v>20</v>
      </c>
      <c r="I1496">
        <v>30</v>
      </c>
      <c r="J1496">
        <v>45</v>
      </c>
      <c r="K1496">
        <v>9</v>
      </c>
      <c r="L1496" t="s">
        <v>27</v>
      </c>
      <c r="M1496">
        <v>8.3080978882029797</v>
      </c>
      <c r="N1496" t="s">
        <v>51</v>
      </c>
      <c r="O1496" t="s">
        <v>38</v>
      </c>
      <c r="P1496">
        <f>VLOOKUP(O1496, Coordinates!$A$2:$C$6, 2, FALSE)</f>
        <v>25.761700000000001</v>
      </c>
      <c r="Q1496">
        <f>VLOOKUP(O1496, Coordinates!$A$2:$C$6, 3, FALSE)</f>
        <v>-80.191800000000001</v>
      </c>
      <c r="R1496">
        <v>19</v>
      </c>
      <c r="S1496">
        <v>939</v>
      </c>
      <c r="T1496">
        <v>9</v>
      </c>
      <c r="U1496">
        <v>76.966337316733799</v>
      </c>
      <c r="V1496" t="s">
        <v>55</v>
      </c>
      <c r="W1496">
        <v>5.5373910999999998E-2</v>
      </c>
      <c r="X1496" t="s">
        <v>52</v>
      </c>
      <c r="Y1496" t="s">
        <v>41</v>
      </c>
      <c r="Z1496">
        <v>131.00435084808001</v>
      </c>
    </row>
    <row r="1497" spans="1:26" x14ac:dyDescent="0.3">
      <c r="A1497" t="s">
        <v>24</v>
      </c>
      <c r="B1497" t="s">
        <v>1553</v>
      </c>
      <c r="C1497">
        <v>32.547836762520703</v>
      </c>
      <c r="D1497">
        <v>73</v>
      </c>
      <c r="E1497">
        <v>84</v>
      </c>
      <c r="F1497">
        <v>2460.6164592465602</v>
      </c>
      <c r="G1497" t="s">
        <v>35</v>
      </c>
      <c r="H1497">
        <v>59</v>
      </c>
      <c r="I1497">
        <v>15</v>
      </c>
      <c r="J1497">
        <v>52</v>
      </c>
      <c r="K1497">
        <v>6</v>
      </c>
      <c r="L1497" t="s">
        <v>44</v>
      </c>
      <c r="M1497">
        <v>11.159909440207599</v>
      </c>
      <c r="N1497" t="s">
        <v>28</v>
      </c>
      <c r="O1497" t="s">
        <v>29</v>
      </c>
      <c r="P1497">
        <f>VLOOKUP(O1497, Coordinates!$A$2:$C$6, 2, FALSE)</f>
        <v>29.760400000000001</v>
      </c>
      <c r="Q1497">
        <f>VLOOKUP(O1497, Coordinates!$A$2:$C$6, 3, FALSE)</f>
        <v>-95.369799999999998</v>
      </c>
      <c r="R1497">
        <v>17</v>
      </c>
      <c r="S1497">
        <v>772</v>
      </c>
      <c r="T1497">
        <v>1</v>
      </c>
      <c r="U1497">
        <v>76.452463981999202</v>
      </c>
      <c r="V1497" t="s">
        <v>30</v>
      </c>
      <c r="W1497">
        <v>0.615967024439388</v>
      </c>
      <c r="X1497" t="s">
        <v>31</v>
      </c>
      <c r="Y1497" t="s">
        <v>60</v>
      </c>
      <c r="Z1497">
        <v>850.41142969999999</v>
      </c>
    </row>
    <row r="1498" spans="1:26" x14ac:dyDescent="0.3">
      <c r="A1498" t="s">
        <v>49</v>
      </c>
      <c r="B1498" t="s">
        <v>1554</v>
      </c>
      <c r="C1498">
        <v>90.838052126090304</v>
      </c>
      <c r="D1498">
        <v>91</v>
      </c>
      <c r="E1498">
        <v>527</v>
      </c>
      <c r="F1498">
        <v>6064.1988021165598</v>
      </c>
      <c r="G1498" t="s">
        <v>54</v>
      </c>
      <c r="H1498">
        <v>51</v>
      </c>
      <c r="I1498">
        <v>21</v>
      </c>
      <c r="J1498">
        <v>59</v>
      </c>
      <c r="K1498">
        <v>4</v>
      </c>
      <c r="L1498" t="s">
        <v>36</v>
      </c>
      <c r="M1498">
        <v>4.6600952689490303</v>
      </c>
      <c r="N1498" t="s">
        <v>45</v>
      </c>
      <c r="O1498" t="s">
        <v>38</v>
      </c>
      <c r="P1498">
        <f>VLOOKUP(O1498, Coordinates!$A$2:$C$6, 2, FALSE)</f>
        <v>25.761700000000001</v>
      </c>
      <c r="Q1498">
        <f>VLOOKUP(O1498, Coordinates!$A$2:$C$6, 3, FALSE)</f>
        <v>-80.191800000000001</v>
      </c>
      <c r="R1498">
        <v>28</v>
      </c>
      <c r="S1498">
        <v>700</v>
      </c>
      <c r="T1498">
        <v>19</v>
      </c>
      <c r="U1498">
        <v>77.323476058707499</v>
      </c>
      <c r="V1498" t="s">
        <v>55</v>
      </c>
      <c r="W1498">
        <v>4.9511395238017304</v>
      </c>
      <c r="X1498" t="s">
        <v>46</v>
      </c>
      <c r="Y1498" t="s">
        <v>41</v>
      </c>
      <c r="Z1498">
        <v>634.11185268531005</v>
      </c>
    </row>
    <row r="1499" spans="1:26" x14ac:dyDescent="0.3">
      <c r="A1499" t="s">
        <v>49</v>
      </c>
      <c r="B1499" t="s">
        <v>1555</v>
      </c>
      <c r="C1499">
        <v>12.3758737189342</v>
      </c>
      <c r="D1499">
        <v>88</v>
      </c>
      <c r="E1499">
        <v>421</v>
      </c>
      <c r="F1499">
        <v>9504.5267870000007</v>
      </c>
      <c r="G1499" t="s">
        <v>48</v>
      </c>
      <c r="H1499">
        <v>53</v>
      </c>
      <c r="I1499">
        <v>15</v>
      </c>
      <c r="J1499">
        <v>83</v>
      </c>
      <c r="K1499">
        <v>3</v>
      </c>
      <c r="L1499" t="s">
        <v>27</v>
      </c>
      <c r="M1499">
        <v>14.0868171111706</v>
      </c>
      <c r="N1499" t="s">
        <v>28</v>
      </c>
      <c r="O1499" t="s">
        <v>58</v>
      </c>
      <c r="P1499">
        <f>VLOOKUP(O1499, Coordinates!$A$2:$C$6, 2, FALSE)</f>
        <v>34.052199999999999</v>
      </c>
      <c r="Q1499">
        <f>VLOOKUP(O1499, Coordinates!$A$2:$C$6, 3, FALSE)</f>
        <v>-118.2437</v>
      </c>
      <c r="R1499">
        <v>21</v>
      </c>
      <c r="S1499">
        <v>519</v>
      </c>
      <c r="T1499">
        <v>16</v>
      </c>
      <c r="U1499">
        <v>43.035230937762599</v>
      </c>
      <c r="V1499" t="s">
        <v>55</v>
      </c>
      <c r="W1499">
        <v>1.8668302448543399</v>
      </c>
      <c r="X1499" t="s">
        <v>31</v>
      </c>
      <c r="Y1499" t="s">
        <v>32</v>
      </c>
      <c r="Z1499">
        <v>293.55854521562702</v>
      </c>
    </row>
    <row r="1500" spans="1:26" x14ac:dyDescent="0.3">
      <c r="A1500" t="s">
        <v>49</v>
      </c>
      <c r="B1500" t="s">
        <v>1556</v>
      </c>
      <c r="C1500">
        <v>83.742771244031005</v>
      </c>
      <c r="D1500">
        <v>77</v>
      </c>
      <c r="E1500">
        <v>770</v>
      </c>
      <c r="F1500">
        <v>2760.1358239136998</v>
      </c>
      <c r="G1500" t="s">
        <v>26</v>
      </c>
      <c r="H1500">
        <v>38</v>
      </c>
      <c r="I1500">
        <v>16</v>
      </c>
      <c r="J1500">
        <v>90</v>
      </c>
      <c r="K1500">
        <v>4</v>
      </c>
      <c r="L1500" t="s">
        <v>27</v>
      </c>
      <c r="M1500">
        <v>6.7481603428017198</v>
      </c>
      <c r="N1500" t="s">
        <v>51</v>
      </c>
      <c r="O1500" t="s">
        <v>67</v>
      </c>
      <c r="P1500">
        <f>VLOOKUP(O1500, Coordinates!$A$2:$C$6, 2, FALSE)</f>
        <v>40.712800000000001</v>
      </c>
      <c r="Q1500">
        <f>VLOOKUP(O1500, Coordinates!$A$2:$C$6, 3, FALSE)</f>
        <v>-74.006</v>
      </c>
      <c r="R1500">
        <v>13</v>
      </c>
      <c r="S1500">
        <v>752</v>
      </c>
      <c r="T1500">
        <v>3</v>
      </c>
      <c r="U1500">
        <v>64.373812359882507</v>
      </c>
      <c r="V1500" t="s">
        <v>39</v>
      </c>
      <c r="W1500">
        <v>0.264372994420014</v>
      </c>
      <c r="X1500" t="s">
        <v>40</v>
      </c>
      <c r="Y1500" t="s">
        <v>41</v>
      </c>
      <c r="Z1500">
        <v>973.07631971488695</v>
      </c>
    </row>
    <row r="1501" spans="1:26" x14ac:dyDescent="0.3">
      <c r="A1501" t="s">
        <v>72</v>
      </c>
      <c r="B1501" t="s">
        <v>1557</v>
      </c>
      <c r="C1501">
        <v>29.843402962876802</v>
      </c>
      <c r="D1501">
        <v>90</v>
      </c>
      <c r="E1501">
        <v>388</v>
      </c>
      <c r="F1501">
        <v>10421.3163146365</v>
      </c>
      <c r="G1501" t="s">
        <v>35</v>
      </c>
      <c r="H1501">
        <v>48</v>
      </c>
      <c r="I1501">
        <v>25</v>
      </c>
      <c r="J1501">
        <v>22</v>
      </c>
      <c r="K1501">
        <v>8</v>
      </c>
      <c r="L1501" t="s">
        <v>27</v>
      </c>
      <c r="M1501">
        <v>5.0000745012788599</v>
      </c>
      <c r="N1501" t="s">
        <v>51</v>
      </c>
      <c r="O1501" t="s">
        <v>38</v>
      </c>
      <c r="P1501">
        <f>VLOOKUP(O1501, Coordinates!$A$2:$C$6, 2, FALSE)</f>
        <v>25.761700000000001</v>
      </c>
      <c r="Q1501">
        <f>VLOOKUP(O1501, Coordinates!$A$2:$C$6, 3, FALSE)</f>
        <v>-80.191800000000001</v>
      </c>
      <c r="R1501">
        <v>15</v>
      </c>
      <c r="S1501">
        <v>923</v>
      </c>
      <c r="T1501">
        <v>4</v>
      </c>
      <c r="U1501">
        <v>78.625569557307102</v>
      </c>
      <c r="V1501" t="s">
        <v>30</v>
      </c>
      <c r="W1501">
        <v>3.1245701806855899</v>
      </c>
      <c r="X1501" t="s">
        <v>31</v>
      </c>
      <c r="Y1501" t="s">
        <v>60</v>
      </c>
      <c r="Z1501">
        <v>763.06507741611802</v>
      </c>
    </row>
    <row r="1502" spans="1:26" x14ac:dyDescent="0.3">
      <c r="A1502" t="s">
        <v>72</v>
      </c>
      <c r="B1502" t="s">
        <v>1558</v>
      </c>
      <c r="C1502">
        <v>39.9351111654573</v>
      </c>
      <c r="D1502">
        <v>29</v>
      </c>
      <c r="E1502">
        <v>395</v>
      </c>
      <c r="F1502">
        <v>14196.93201932</v>
      </c>
      <c r="G1502" t="s">
        <v>54</v>
      </c>
      <c r="H1502">
        <v>63</v>
      </c>
      <c r="I1502">
        <v>1</v>
      </c>
      <c r="J1502">
        <v>39</v>
      </c>
      <c r="K1502">
        <v>5</v>
      </c>
      <c r="L1502" t="s">
        <v>27</v>
      </c>
      <c r="M1502">
        <v>5.7161718358420996</v>
      </c>
      <c r="N1502" t="s">
        <v>57</v>
      </c>
      <c r="O1502" t="s">
        <v>67</v>
      </c>
      <c r="P1502">
        <f>VLOOKUP(O1502, Coordinates!$A$2:$C$6, 2, FALSE)</f>
        <v>40.712800000000001</v>
      </c>
      <c r="Q1502">
        <f>VLOOKUP(O1502, Coordinates!$A$2:$C$6, 3, FALSE)</f>
        <v>-74.006</v>
      </c>
      <c r="R1502">
        <v>16</v>
      </c>
      <c r="S1502">
        <v>273</v>
      </c>
      <c r="T1502">
        <v>12</v>
      </c>
      <c r="U1502">
        <v>82.536677539999999</v>
      </c>
      <c r="V1502" t="s">
        <v>39</v>
      </c>
      <c r="W1502">
        <v>0.95087112997638601</v>
      </c>
      <c r="X1502" t="s">
        <v>46</v>
      </c>
      <c r="Y1502" t="s">
        <v>32</v>
      </c>
      <c r="Z1502">
        <v>734.96694288828098</v>
      </c>
    </row>
    <row r="1503" spans="1:26" x14ac:dyDescent="0.3">
      <c r="A1503" t="s">
        <v>42</v>
      </c>
      <c r="B1503" t="s">
        <v>1559</v>
      </c>
      <c r="D1503">
        <v>51</v>
      </c>
      <c r="E1503">
        <v>900</v>
      </c>
      <c r="F1503">
        <v>6042.1731740474697</v>
      </c>
      <c r="G1503" t="s">
        <v>54</v>
      </c>
      <c r="H1503">
        <v>99</v>
      </c>
      <c r="I1503">
        <v>10</v>
      </c>
      <c r="J1503">
        <v>66</v>
      </c>
      <c r="K1503">
        <v>1</v>
      </c>
      <c r="L1503" t="s">
        <v>36</v>
      </c>
      <c r="M1503">
        <v>5.8821128832039902</v>
      </c>
      <c r="N1503" t="s">
        <v>37</v>
      </c>
      <c r="O1503" t="s">
        <v>65</v>
      </c>
      <c r="P1503">
        <f>VLOOKUP(O1503, Coordinates!$A$2:$C$6, 2, FALSE)</f>
        <v>41.878100000000003</v>
      </c>
      <c r="Q1503">
        <f>VLOOKUP(O1503, Coordinates!$A$2:$C$6, 3, FALSE)</f>
        <v>-87.629800000000003</v>
      </c>
      <c r="R1503">
        <v>13</v>
      </c>
      <c r="S1503">
        <v>812</v>
      </c>
      <c r="T1503">
        <v>29</v>
      </c>
      <c r="U1503">
        <v>42.964649117576997</v>
      </c>
      <c r="V1503" t="s">
        <v>30</v>
      </c>
      <c r="W1503">
        <v>2.5698265928479298</v>
      </c>
      <c r="X1503" t="s">
        <v>46</v>
      </c>
      <c r="Y1503" t="s">
        <v>41</v>
      </c>
      <c r="Z1503">
        <v>340.29450637956899</v>
      </c>
    </row>
    <row r="1504" spans="1:26" x14ac:dyDescent="0.3">
      <c r="A1504" t="s">
        <v>82</v>
      </c>
      <c r="B1504" t="s">
        <v>1560</v>
      </c>
      <c r="C1504">
        <v>89.015771967182204</v>
      </c>
      <c r="D1504">
        <v>49</v>
      </c>
      <c r="E1504">
        <v>803</v>
      </c>
      <c r="G1504" t="s">
        <v>35</v>
      </c>
      <c r="H1504">
        <v>85</v>
      </c>
      <c r="I1504">
        <v>19</v>
      </c>
      <c r="J1504">
        <v>39</v>
      </c>
      <c r="K1504">
        <v>5</v>
      </c>
      <c r="L1504" t="s">
        <v>36</v>
      </c>
      <c r="M1504">
        <v>3.7849977913139101</v>
      </c>
      <c r="N1504" t="s">
        <v>45</v>
      </c>
      <c r="O1504" t="s">
        <v>38</v>
      </c>
      <c r="P1504">
        <f>VLOOKUP(O1504, Coordinates!$A$2:$C$6, 2, FALSE)</f>
        <v>25.761700000000001</v>
      </c>
      <c r="Q1504">
        <f>VLOOKUP(O1504, Coordinates!$A$2:$C$6, 3, FALSE)</f>
        <v>-80.191800000000001</v>
      </c>
      <c r="R1504">
        <v>27</v>
      </c>
      <c r="S1504">
        <v>966</v>
      </c>
      <c r="T1504">
        <v>7</v>
      </c>
      <c r="U1504">
        <v>19.5198463494973</v>
      </c>
      <c r="V1504" t="s">
        <v>39</v>
      </c>
      <c r="W1504">
        <v>3.5184402805771802</v>
      </c>
      <c r="X1504" t="s">
        <v>52</v>
      </c>
      <c r="Y1504" t="s">
        <v>32</v>
      </c>
      <c r="Z1504">
        <v>382.036267504585</v>
      </c>
    </row>
    <row r="1505" spans="1:26" x14ac:dyDescent="0.3">
      <c r="A1505" t="s">
        <v>42</v>
      </c>
      <c r="B1505" t="s">
        <v>1561</v>
      </c>
      <c r="C1505">
        <v>37.754234906901402</v>
      </c>
      <c r="D1505">
        <v>43</v>
      </c>
      <c r="E1505">
        <v>692</v>
      </c>
      <c r="F1505">
        <v>3362.9520701800002</v>
      </c>
      <c r="G1505" t="s">
        <v>26</v>
      </c>
      <c r="H1505">
        <v>25</v>
      </c>
      <c r="I1505">
        <v>5</v>
      </c>
      <c r="J1505">
        <v>80</v>
      </c>
      <c r="K1505">
        <v>8</v>
      </c>
      <c r="L1505" t="s">
        <v>36</v>
      </c>
      <c r="M1505">
        <v>13.992754877308601</v>
      </c>
      <c r="N1505" t="s">
        <v>45</v>
      </c>
      <c r="O1505" t="s">
        <v>38</v>
      </c>
      <c r="P1505">
        <f>VLOOKUP(O1505, Coordinates!$A$2:$C$6, 2, FALSE)</f>
        <v>25.761700000000001</v>
      </c>
      <c r="Q1505">
        <f>VLOOKUP(O1505, Coordinates!$A$2:$C$6, 3, FALSE)</f>
        <v>-80.191800000000001</v>
      </c>
      <c r="R1505">
        <v>26</v>
      </c>
      <c r="S1505">
        <v>913</v>
      </c>
      <c r="T1505">
        <v>15</v>
      </c>
      <c r="U1505">
        <v>98.891225047614995</v>
      </c>
      <c r="V1505" t="s">
        <v>39</v>
      </c>
      <c r="W1505">
        <v>4.0519662839999997</v>
      </c>
      <c r="X1505" t="s">
        <v>31</v>
      </c>
      <c r="Y1505" t="s">
        <v>41</v>
      </c>
      <c r="Z1505">
        <v>701.18095747525899</v>
      </c>
    </row>
    <row r="1506" spans="1:26" x14ac:dyDescent="0.3">
      <c r="A1506" t="s">
        <v>42</v>
      </c>
      <c r="B1506" t="s">
        <v>1562</v>
      </c>
      <c r="D1506">
        <v>92</v>
      </c>
      <c r="E1506">
        <v>130</v>
      </c>
      <c r="F1506">
        <v>1353.2774776389899</v>
      </c>
      <c r="G1506" t="s">
        <v>26</v>
      </c>
      <c r="H1506">
        <v>70</v>
      </c>
      <c r="I1506">
        <v>18</v>
      </c>
      <c r="J1506">
        <v>19</v>
      </c>
      <c r="K1506">
        <v>4</v>
      </c>
      <c r="L1506" t="s">
        <v>44</v>
      </c>
      <c r="M1506">
        <v>3.4482525845306702</v>
      </c>
      <c r="N1506" t="s">
        <v>28</v>
      </c>
      <c r="O1506" t="s">
        <v>65</v>
      </c>
      <c r="P1506">
        <f>VLOOKUP(O1506, Coordinates!$A$2:$C$6, 2, FALSE)</f>
        <v>41.878100000000003</v>
      </c>
      <c r="Q1506">
        <f>VLOOKUP(O1506, Coordinates!$A$2:$C$6, 3, FALSE)</f>
        <v>-87.629800000000003</v>
      </c>
      <c r="R1506">
        <v>11</v>
      </c>
      <c r="S1506">
        <v>967</v>
      </c>
      <c r="T1506">
        <v>23</v>
      </c>
      <c r="U1506">
        <v>17.728988538082199</v>
      </c>
      <c r="V1506" t="s">
        <v>30</v>
      </c>
      <c r="W1506">
        <v>3.89979414096657</v>
      </c>
      <c r="X1506" t="s">
        <v>31</v>
      </c>
      <c r="Y1506" t="s">
        <v>32</v>
      </c>
      <c r="Z1506">
        <v>634.19648355899801</v>
      </c>
    </row>
    <row r="1507" spans="1:26" x14ac:dyDescent="0.3">
      <c r="A1507" t="s">
        <v>72</v>
      </c>
      <c r="B1507" t="s">
        <v>1563</v>
      </c>
      <c r="C1507">
        <v>25.7307526071151</v>
      </c>
      <c r="D1507">
        <v>92</v>
      </c>
      <c r="E1507">
        <v>498</v>
      </c>
      <c r="F1507">
        <v>11532.523318509</v>
      </c>
      <c r="G1507" t="s">
        <v>48</v>
      </c>
      <c r="H1507">
        <v>6</v>
      </c>
      <c r="I1507">
        <v>3</v>
      </c>
      <c r="J1507">
        <v>75</v>
      </c>
      <c r="K1507">
        <v>2</v>
      </c>
      <c r="L1507" t="s">
        <v>27</v>
      </c>
      <c r="M1507">
        <v>13.3596568807511</v>
      </c>
      <c r="N1507" t="s">
        <v>57</v>
      </c>
      <c r="O1507" t="s">
        <v>38</v>
      </c>
      <c r="P1507">
        <f>VLOOKUP(O1507, Coordinates!$A$2:$C$6, 2, FALSE)</f>
        <v>25.761700000000001</v>
      </c>
      <c r="Q1507">
        <f>VLOOKUP(O1507, Coordinates!$A$2:$C$6, 3, FALSE)</f>
        <v>-80.191800000000001</v>
      </c>
      <c r="R1507">
        <v>30</v>
      </c>
      <c r="S1507">
        <v>212</v>
      </c>
      <c r="T1507">
        <v>15</v>
      </c>
      <c r="U1507">
        <v>78.5034934630593</v>
      </c>
      <c r="V1507" t="s">
        <v>30</v>
      </c>
      <c r="W1507">
        <v>1.9324361052569701</v>
      </c>
      <c r="X1507" t="s">
        <v>40</v>
      </c>
      <c r="Y1507" t="s">
        <v>60</v>
      </c>
      <c r="Z1507">
        <v>682.55518882167303</v>
      </c>
    </row>
    <row r="1508" spans="1:26" x14ac:dyDescent="0.3">
      <c r="A1508" t="s">
        <v>49</v>
      </c>
      <c r="B1508" t="s">
        <v>1564</v>
      </c>
      <c r="C1508">
        <v>6.2588481828714997</v>
      </c>
      <c r="D1508">
        <v>72</v>
      </c>
      <c r="E1508">
        <v>51</v>
      </c>
      <c r="F1508">
        <v>7701.4331110304202</v>
      </c>
      <c r="G1508" t="s">
        <v>35</v>
      </c>
      <c r="H1508">
        <v>71</v>
      </c>
      <c r="I1508">
        <v>4</v>
      </c>
      <c r="J1508">
        <v>92</v>
      </c>
      <c r="K1508">
        <v>3</v>
      </c>
      <c r="L1508" t="s">
        <v>27</v>
      </c>
      <c r="M1508">
        <v>6.6690090791659804</v>
      </c>
      <c r="N1508" t="s">
        <v>51</v>
      </c>
      <c r="O1508" t="s">
        <v>58</v>
      </c>
      <c r="P1508">
        <f>VLOOKUP(O1508, Coordinates!$A$2:$C$6, 2, FALSE)</f>
        <v>34.052199999999999</v>
      </c>
      <c r="Q1508">
        <f>VLOOKUP(O1508, Coordinates!$A$2:$C$6, 3, FALSE)</f>
        <v>-118.2437</v>
      </c>
      <c r="R1508">
        <v>25</v>
      </c>
      <c r="S1508">
        <v>978</v>
      </c>
      <c r="T1508">
        <v>26</v>
      </c>
      <c r="U1508">
        <v>53.1848754697725</v>
      </c>
      <c r="V1508" t="s">
        <v>55</v>
      </c>
      <c r="W1508">
        <v>4.5529666630000003</v>
      </c>
      <c r="X1508" t="s">
        <v>46</v>
      </c>
      <c r="Y1508" t="s">
        <v>60</v>
      </c>
      <c r="Z1508">
        <v>890.94050393160899</v>
      </c>
    </row>
    <row r="1509" spans="1:26" x14ac:dyDescent="0.3">
      <c r="A1509" t="s">
        <v>61</v>
      </c>
      <c r="B1509" t="s">
        <v>1565</v>
      </c>
      <c r="C1509">
        <v>33.114574441572302</v>
      </c>
      <c r="D1509">
        <v>87</v>
      </c>
      <c r="E1509">
        <v>722</v>
      </c>
      <c r="F1509">
        <v>1427.6598148639901</v>
      </c>
      <c r="G1509" t="s">
        <v>26</v>
      </c>
      <c r="H1509">
        <v>61</v>
      </c>
      <c r="I1509">
        <v>4</v>
      </c>
      <c r="J1509">
        <v>48</v>
      </c>
      <c r="K1509">
        <v>9</v>
      </c>
      <c r="L1509" t="s">
        <v>27</v>
      </c>
      <c r="M1509">
        <v>4.7698707691505202</v>
      </c>
      <c r="N1509" t="s">
        <v>57</v>
      </c>
      <c r="O1509" t="s">
        <v>58</v>
      </c>
      <c r="P1509">
        <f>VLOOKUP(O1509, Coordinates!$A$2:$C$6, 2, FALSE)</f>
        <v>34.052199999999999</v>
      </c>
      <c r="Q1509">
        <f>VLOOKUP(O1509, Coordinates!$A$2:$C$6, 3, FALSE)</f>
        <v>-118.2437</v>
      </c>
      <c r="R1509">
        <v>28</v>
      </c>
      <c r="S1509">
        <v>273</v>
      </c>
      <c r="T1509">
        <v>5</v>
      </c>
      <c r="U1509">
        <v>87.874465019008497</v>
      </c>
      <c r="V1509" t="s">
        <v>30</v>
      </c>
      <c r="W1509">
        <v>0.92850323092688503</v>
      </c>
      <c r="X1509" t="s">
        <v>31</v>
      </c>
      <c r="Y1509" t="s">
        <v>32</v>
      </c>
      <c r="Z1509">
        <v>244.360830853077</v>
      </c>
    </row>
    <row r="1510" spans="1:26" x14ac:dyDescent="0.3">
      <c r="A1510" t="s">
        <v>82</v>
      </c>
      <c r="B1510" t="s">
        <v>1566</v>
      </c>
      <c r="C1510">
        <v>48.622977204593298</v>
      </c>
      <c r="D1510">
        <v>93</v>
      </c>
      <c r="E1510">
        <v>480</v>
      </c>
      <c r="F1510">
        <v>2973.6575425434698</v>
      </c>
      <c r="G1510" t="s">
        <v>35</v>
      </c>
      <c r="H1510">
        <v>89</v>
      </c>
      <c r="I1510">
        <v>11</v>
      </c>
      <c r="J1510">
        <v>46</v>
      </c>
      <c r="K1510">
        <v>7</v>
      </c>
      <c r="L1510" t="s">
        <v>27</v>
      </c>
      <c r="M1510">
        <v>3.7791253397412499</v>
      </c>
      <c r="N1510" t="s">
        <v>45</v>
      </c>
      <c r="O1510" t="s">
        <v>38</v>
      </c>
      <c r="P1510">
        <f>VLOOKUP(O1510, Coordinates!$A$2:$C$6, 2, FALSE)</f>
        <v>25.761700000000001</v>
      </c>
      <c r="Q1510">
        <f>VLOOKUP(O1510, Coordinates!$A$2:$C$6, 3, FALSE)</f>
        <v>-80.191800000000001</v>
      </c>
      <c r="R1510">
        <v>28</v>
      </c>
      <c r="S1510">
        <v>173</v>
      </c>
      <c r="T1510">
        <v>30</v>
      </c>
      <c r="U1510">
        <v>42.029382065316298</v>
      </c>
      <c r="V1510" t="s">
        <v>39</v>
      </c>
      <c r="W1510">
        <v>3.6017592746785398</v>
      </c>
      <c r="X1510" t="s">
        <v>40</v>
      </c>
      <c r="Y1510" t="s">
        <v>41</v>
      </c>
      <c r="Z1510">
        <v>204.70007559733801</v>
      </c>
    </row>
    <row r="1511" spans="1:26" x14ac:dyDescent="0.3">
      <c r="A1511" t="s">
        <v>72</v>
      </c>
      <c r="B1511" t="s">
        <v>1567</v>
      </c>
      <c r="C1511">
        <v>34.513995125493999</v>
      </c>
      <c r="D1511">
        <v>5</v>
      </c>
      <c r="E1511">
        <v>953</v>
      </c>
      <c r="F1511">
        <v>29602.653619136199</v>
      </c>
      <c r="G1511" t="s">
        <v>54</v>
      </c>
      <c r="H1511">
        <v>87</v>
      </c>
      <c r="I1511">
        <v>9</v>
      </c>
      <c r="J1511">
        <v>12</v>
      </c>
      <c r="K1511">
        <v>3</v>
      </c>
      <c r="L1511" t="s">
        <v>36</v>
      </c>
      <c r="M1511">
        <v>8.0607926187157801</v>
      </c>
      <c r="N1511" t="s">
        <v>37</v>
      </c>
      <c r="O1511" t="s">
        <v>29</v>
      </c>
      <c r="P1511">
        <f>VLOOKUP(O1511, Coordinates!$A$2:$C$6, 2, FALSE)</f>
        <v>29.760400000000001</v>
      </c>
      <c r="Q1511">
        <f>VLOOKUP(O1511, Coordinates!$A$2:$C$6, 3, FALSE)</f>
        <v>-95.369799999999998</v>
      </c>
      <c r="R1511">
        <v>17</v>
      </c>
      <c r="S1511">
        <v>936</v>
      </c>
      <c r="T1511">
        <v>25</v>
      </c>
      <c r="U1511">
        <v>84.276921754052594</v>
      </c>
      <c r="V1511" t="s">
        <v>39</v>
      </c>
      <c r="W1511">
        <v>2.7292771720000002</v>
      </c>
      <c r="X1511" t="s">
        <v>31</v>
      </c>
      <c r="Y1511" t="s">
        <v>60</v>
      </c>
      <c r="Z1511">
        <v>608.16984310266696</v>
      </c>
    </row>
    <row r="1512" spans="1:26" x14ac:dyDescent="0.3">
      <c r="A1512" t="s">
        <v>49</v>
      </c>
      <c r="B1512" t="s">
        <v>1568</v>
      </c>
      <c r="C1512">
        <v>73.583276613989497</v>
      </c>
      <c r="D1512">
        <v>42</v>
      </c>
      <c r="E1512">
        <v>623</v>
      </c>
      <c r="F1512">
        <v>8043.8640649999998</v>
      </c>
      <c r="G1512" t="s">
        <v>54</v>
      </c>
      <c r="H1512">
        <v>23</v>
      </c>
      <c r="I1512">
        <v>1</v>
      </c>
      <c r="J1512">
        <v>98</v>
      </c>
      <c r="K1512">
        <v>9</v>
      </c>
      <c r="L1512" t="s">
        <v>44</v>
      </c>
      <c r="M1512">
        <v>10.3696196018539</v>
      </c>
      <c r="N1512" t="s">
        <v>28</v>
      </c>
      <c r="O1512" t="s">
        <v>65</v>
      </c>
      <c r="P1512">
        <f>VLOOKUP(O1512, Coordinates!$A$2:$C$6, 2, FALSE)</f>
        <v>41.878100000000003</v>
      </c>
      <c r="Q1512">
        <f>VLOOKUP(O1512, Coordinates!$A$2:$C$6, 3, FALSE)</f>
        <v>-87.629800000000003</v>
      </c>
      <c r="R1512">
        <v>26</v>
      </c>
      <c r="S1512">
        <v>898</v>
      </c>
      <c r="T1512">
        <v>23</v>
      </c>
      <c r="U1512">
        <v>70.843066598461206</v>
      </c>
      <c r="V1512" t="s">
        <v>30</v>
      </c>
      <c r="W1512">
        <v>1.6479003414936999</v>
      </c>
      <c r="X1512" t="s">
        <v>46</v>
      </c>
      <c r="Y1512" t="s">
        <v>41</v>
      </c>
      <c r="Z1512">
        <v>955.86785554115204</v>
      </c>
    </row>
    <row r="1513" spans="1:26" x14ac:dyDescent="0.3">
      <c r="A1513" t="s">
        <v>24</v>
      </c>
      <c r="B1513" t="s">
        <v>1569</v>
      </c>
      <c r="C1513">
        <v>27.7420375685933</v>
      </c>
      <c r="D1513">
        <v>7</v>
      </c>
      <c r="E1513">
        <v>468</v>
      </c>
      <c r="F1513">
        <v>11684.9462238915</v>
      </c>
      <c r="G1513" t="s">
        <v>54</v>
      </c>
      <c r="H1513">
        <v>39</v>
      </c>
      <c r="I1513">
        <v>28</v>
      </c>
      <c r="J1513">
        <v>43</v>
      </c>
      <c r="K1513">
        <v>3</v>
      </c>
      <c r="L1513" t="s">
        <v>44</v>
      </c>
      <c r="M1513">
        <v>13.5750944264467</v>
      </c>
      <c r="N1513" t="s">
        <v>51</v>
      </c>
      <c r="O1513" t="s">
        <v>38</v>
      </c>
      <c r="P1513">
        <f>VLOOKUP(O1513, Coordinates!$A$2:$C$6, 2, FALSE)</f>
        <v>25.761700000000001</v>
      </c>
      <c r="Q1513">
        <f>VLOOKUP(O1513, Coordinates!$A$2:$C$6, 3, FALSE)</f>
        <v>-80.191800000000001</v>
      </c>
      <c r="R1513">
        <v>3</v>
      </c>
      <c r="S1513">
        <v>736</v>
      </c>
      <c r="T1513">
        <v>2</v>
      </c>
      <c r="U1513">
        <v>81.794158513648597</v>
      </c>
      <c r="V1513" t="s">
        <v>55</v>
      </c>
      <c r="W1513">
        <v>0.421804674588038</v>
      </c>
      <c r="X1513" t="s">
        <v>52</v>
      </c>
      <c r="Y1513" t="s">
        <v>32</v>
      </c>
      <c r="Z1513">
        <v>462.582898510267</v>
      </c>
    </row>
    <row r="1514" spans="1:26" x14ac:dyDescent="0.3">
      <c r="A1514" t="s">
        <v>61</v>
      </c>
      <c r="B1514" t="s">
        <v>1570</v>
      </c>
      <c r="C1514">
        <v>51.490762652213597</v>
      </c>
      <c r="D1514">
        <v>42</v>
      </c>
      <c r="E1514">
        <v>791</v>
      </c>
      <c r="F1514">
        <v>7282.6690463078303</v>
      </c>
      <c r="G1514" t="s">
        <v>35</v>
      </c>
      <c r="H1514">
        <v>75</v>
      </c>
      <c r="I1514">
        <v>25</v>
      </c>
      <c r="J1514">
        <v>95</v>
      </c>
      <c r="K1514">
        <v>10</v>
      </c>
      <c r="L1514" t="s">
        <v>27</v>
      </c>
      <c r="M1514">
        <v>10.1342521719418</v>
      </c>
      <c r="N1514" t="s">
        <v>51</v>
      </c>
      <c r="O1514" t="s">
        <v>65</v>
      </c>
      <c r="P1514">
        <f>VLOOKUP(O1514, Coordinates!$A$2:$C$6, 2, FALSE)</f>
        <v>41.878100000000003</v>
      </c>
      <c r="Q1514">
        <f>VLOOKUP(O1514, Coordinates!$A$2:$C$6, 3, FALSE)</f>
        <v>-87.629800000000003</v>
      </c>
      <c r="R1514">
        <v>28</v>
      </c>
      <c r="S1514">
        <v>635</v>
      </c>
      <c r="T1514">
        <v>12</v>
      </c>
      <c r="U1514">
        <v>86.05155259</v>
      </c>
      <c r="V1514" t="s">
        <v>55</v>
      </c>
      <c r="W1514">
        <v>0.85655563203875396</v>
      </c>
      <c r="X1514" t="s">
        <v>31</v>
      </c>
      <c r="Y1514" t="s">
        <v>41</v>
      </c>
      <c r="Z1514">
        <v>914.24148158022399</v>
      </c>
    </row>
    <row r="1515" spans="1:26" x14ac:dyDescent="0.3">
      <c r="A1515" t="s">
        <v>61</v>
      </c>
      <c r="B1515" t="s">
        <v>1571</v>
      </c>
      <c r="C1515">
        <v>45.8128162525745</v>
      </c>
      <c r="D1515">
        <v>36</v>
      </c>
      <c r="E1515">
        <v>853</v>
      </c>
      <c r="F1515">
        <v>4491.5695178940196</v>
      </c>
      <c r="G1515" t="s">
        <v>48</v>
      </c>
      <c r="H1515">
        <v>46</v>
      </c>
      <c r="I1515">
        <v>16</v>
      </c>
      <c r="J1515">
        <v>47</v>
      </c>
      <c r="K1515">
        <v>4</v>
      </c>
      <c r="L1515" t="s">
        <v>36</v>
      </c>
      <c r="M1515">
        <v>7.7712748638187801</v>
      </c>
      <c r="N1515" t="s">
        <v>51</v>
      </c>
      <c r="O1515" t="s">
        <v>38</v>
      </c>
      <c r="P1515">
        <f>VLOOKUP(O1515, Coordinates!$A$2:$C$6, 2, FALSE)</f>
        <v>25.761700000000001</v>
      </c>
      <c r="Q1515">
        <f>VLOOKUP(O1515, Coordinates!$A$2:$C$6, 3, FALSE)</f>
        <v>-80.191800000000001</v>
      </c>
      <c r="R1515">
        <v>29</v>
      </c>
      <c r="S1515">
        <v>131</v>
      </c>
      <c r="T1515">
        <v>19</v>
      </c>
      <c r="U1515">
        <v>11.2753260665763</v>
      </c>
      <c r="V1515" t="s">
        <v>30</v>
      </c>
      <c r="W1515">
        <v>4.3143130267784304</v>
      </c>
      <c r="X1515" t="s">
        <v>46</v>
      </c>
      <c r="Y1515" t="s">
        <v>32</v>
      </c>
      <c r="Z1515">
        <v>602.5422307</v>
      </c>
    </row>
    <row r="1516" spans="1:26" x14ac:dyDescent="0.3">
      <c r="A1516" t="s">
        <v>72</v>
      </c>
      <c r="B1516" t="s">
        <v>1572</v>
      </c>
      <c r="D1516">
        <v>27</v>
      </c>
      <c r="E1516">
        <v>127</v>
      </c>
      <c r="F1516">
        <v>2510.7598747151101</v>
      </c>
      <c r="G1516" t="s">
        <v>48</v>
      </c>
      <c r="H1516">
        <v>7</v>
      </c>
      <c r="I1516">
        <v>9</v>
      </c>
      <c r="J1516">
        <v>23</v>
      </c>
      <c r="K1516">
        <v>9</v>
      </c>
      <c r="L1516" t="s">
        <v>44</v>
      </c>
      <c r="M1516">
        <v>1.46866490409516</v>
      </c>
      <c r="N1516" t="s">
        <v>37</v>
      </c>
      <c r="O1516" t="s">
        <v>38</v>
      </c>
      <c r="P1516">
        <f>VLOOKUP(O1516, Coordinates!$A$2:$C$6, 2, FALSE)</f>
        <v>25.761700000000001</v>
      </c>
      <c r="Q1516">
        <f>VLOOKUP(O1516, Coordinates!$A$2:$C$6, 3, FALSE)</f>
        <v>-80.191800000000001</v>
      </c>
      <c r="R1516">
        <v>29</v>
      </c>
      <c r="S1516">
        <v>353</v>
      </c>
      <c r="T1516">
        <v>27</v>
      </c>
      <c r="U1516">
        <v>94.989859640000006</v>
      </c>
      <c r="V1516" t="s">
        <v>30</v>
      </c>
      <c r="W1516">
        <v>3.03443037595857</v>
      </c>
      <c r="X1516" t="s">
        <v>46</v>
      </c>
      <c r="Y1516" t="s">
        <v>41</v>
      </c>
      <c r="Z1516">
        <v>860.23864503997197</v>
      </c>
    </row>
    <row r="1517" spans="1:26" x14ac:dyDescent="0.3">
      <c r="A1517" t="s">
        <v>33</v>
      </c>
      <c r="B1517" t="s">
        <v>1573</v>
      </c>
      <c r="C1517">
        <v>86.982377903761403</v>
      </c>
      <c r="D1517">
        <v>58</v>
      </c>
      <c r="E1517">
        <v>478</v>
      </c>
      <c r="F1517">
        <v>4583.3454417061503</v>
      </c>
      <c r="G1517" t="s">
        <v>26</v>
      </c>
      <c r="H1517">
        <v>53</v>
      </c>
      <c r="I1517">
        <v>11</v>
      </c>
      <c r="J1517">
        <v>73</v>
      </c>
      <c r="K1517">
        <v>3</v>
      </c>
      <c r="L1517" t="s">
        <v>44</v>
      </c>
      <c r="M1517">
        <v>13.815976679458601</v>
      </c>
      <c r="N1517" t="s">
        <v>45</v>
      </c>
      <c r="O1517" t="s">
        <v>38</v>
      </c>
      <c r="P1517">
        <f>VLOOKUP(O1517, Coordinates!$A$2:$C$6, 2, FALSE)</f>
        <v>25.761700000000001</v>
      </c>
      <c r="Q1517">
        <f>VLOOKUP(O1517, Coordinates!$A$2:$C$6, 3, FALSE)</f>
        <v>-80.191800000000001</v>
      </c>
      <c r="R1517">
        <v>25</v>
      </c>
      <c r="S1517">
        <v>596</v>
      </c>
      <c r="T1517">
        <v>23</v>
      </c>
      <c r="U1517">
        <v>84.630356230266301</v>
      </c>
      <c r="V1517" t="s">
        <v>39</v>
      </c>
      <c r="W1517">
        <v>3.9758698949594402</v>
      </c>
      <c r="X1517" t="s">
        <v>46</v>
      </c>
      <c r="Y1517" t="s">
        <v>32</v>
      </c>
      <c r="Z1517">
        <v>429.78638547671602</v>
      </c>
    </row>
    <row r="1518" spans="1:26" x14ac:dyDescent="0.3">
      <c r="A1518" t="s">
        <v>82</v>
      </c>
      <c r="B1518" t="s">
        <v>1574</v>
      </c>
      <c r="C1518">
        <v>55.529462505713802</v>
      </c>
      <c r="D1518">
        <v>46</v>
      </c>
      <c r="E1518">
        <v>138</v>
      </c>
      <c r="F1518">
        <v>6219.7103818282803</v>
      </c>
      <c r="G1518" t="s">
        <v>35</v>
      </c>
      <c r="H1518">
        <v>8</v>
      </c>
      <c r="I1518">
        <v>6</v>
      </c>
      <c r="J1518">
        <v>48</v>
      </c>
      <c r="K1518">
        <v>3</v>
      </c>
      <c r="L1518" t="s">
        <v>27</v>
      </c>
      <c r="M1518">
        <v>13.633169401754101</v>
      </c>
      <c r="N1518" t="s">
        <v>45</v>
      </c>
      <c r="O1518" t="s">
        <v>38</v>
      </c>
      <c r="P1518">
        <f>VLOOKUP(O1518, Coordinates!$A$2:$C$6, 2, FALSE)</f>
        <v>25.761700000000001</v>
      </c>
      <c r="Q1518">
        <f>VLOOKUP(O1518, Coordinates!$A$2:$C$6, 3, FALSE)</f>
        <v>-80.191800000000001</v>
      </c>
      <c r="R1518">
        <v>30</v>
      </c>
      <c r="S1518">
        <v>212</v>
      </c>
      <c r="T1518">
        <v>5</v>
      </c>
      <c r="U1518">
        <v>94.408049768664398</v>
      </c>
      <c r="V1518" t="s">
        <v>39</v>
      </c>
      <c r="W1518">
        <v>4.4105943290192897</v>
      </c>
      <c r="X1518" t="s">
        <v>40</v>
      </c>
      <c r="Y1518" t="s">
        <v>32</v>
      </c>
      <c r="Z1518">
        <v>409.66465239987701</v>
      </c>
    </row>
    <row r="1519" spans="1:26" x14ac:dyDescent="0.3">
      <c r="A1519" t="s">
        <v>61</v>
      </c>
      <c r="B1519" t="s">
        <v>1575</v>
      </c>
      <c r="C1519">
        <v>79.996058448543096</v>
      </c>
      <c r="D1519">
        <v>66</v>
      </c>
      <c r="E1519">
        <v>623</v>
      </c>
      <c r="F1519">
        <v>9532.47953667601</v>
      </c>
      <c r="G1519" t="s">
        <v>48</v>
      </c>
      <c r="H1519">
        <v>2</v>
      </c>
      <c r="I1519">
        <v>27</v>
      </c>
      <c r="J1519">
        <v>63</v>
      </c>
      <c r="K1519">
        <v>8</v>
      </c>
      <c r="L1519" t="s">
        <v>44</v>
      </c>
      <c r="M1519">
        <v>6.30203754249154</v>
      </c>
      <c r="N1519" t="s">
        <v>57</v>
      </c>
      <c r="O1519" t="s">
        <v>67</v>
      </c>
      <c r="P1519">
        <f>VLOOKUP(O1519, Coordinates!$A$2:$C$6, 2, FALSE)</f>
        <v>40.712800000000001</v>
      </c>
      <c r="Q1519">
        <f>VLOOKUP(O1519, Coordinates!$A$2:$C$6, 3, FALSE)</f>
        <v>-74.006</v>
      </c>
      <c r="R1519">
        <v>23</v>
      </c>
      <c r="S1519">
        <v>294</v>
      </c>
      <c r="T1519">
        <v>23</v>
      </c>
      <c r="U1519">
        <v>81.422909547101796</v>
      </c>
      <c r="V1519" t="s">
        <v>39</v>
      </c>
      <c r="W1519">
        <v>0.53918334912620902</v>
      </c>
      <c r="X1519" t="s">
        <v>40</v>
      </c>
      <c r="Y1519" t="s">
        <v>32</v>
      </c>
      <c r="Z1519">
        <v>988.84400073756603</v>
      </c>
    </row>
    <row r="1520" spans="1:26" x14ac:dyDescent="0.3">
      <c r="A1520" t="s">
        <v>72</v>
      </c>
      <c r="B1520" t="s">
        <v>1576</v>
      </c>
      <c r="C1520">
        <v>37.542911029999999</v>
      </c>
      <c r="D1520">
        <v>25</v>
      </c>
      <c r="E1520">
        <v>821</v>
      </c>
      <c r="F1520">
        <v>27740.456959263</v>
      </c>
      <c r="G1520" t="s">
        <v>35</v>
      </c>
      <c r="H1520">
        <v>53</v>
      </c>
      <c r="I1520">
        <v>17</v>
      </c>
      <c r="J1520">
        <v>11</v>
      </c>
      <c r="K1520">
        <v>10</v>
      </c>
      <c r="L1520" t="s">
        <v>27</v>
      </c>
      <c r="M1520">
        <v>1.4064852774585701</v>
      </c>
      <c r="N1520" t="s">
        <v>57</v>
      </c>
      <c r="O1520" t="s">
        <v>38</v>
      </c>
      <c r="P1520">
        <f>VLOOKUP(O1520, Coordinates!$A$2:$C$6, 2, FALSE)</f>
        <v>25.761700000000001</v>
      </c>
      <c r="Q1520">
        <f>VLOOKUP(O1520, Coordinates!$A$2:$C$6, 3, FALSE)</f>
        <v>-80.191800000000001</v>
      </c>
      <c r="R1520">
        <v>30</v>
      </c>
      <c r="S1520">
        <v>627</v>
      </c>
      <c r="T1520">
        <v>25</v>
      </c>
      <c r="U1520">
        <v>94.334063124003904</v>
      </c>
      <c r="V1520" t="s">
        <v>30</v>
      </c>
      <c r="W1520">
        <v>0.49421245834296301</v>
      </c>
      <c r="X1520" t="s">
        <v>52</v>
      </c>
      <c r="Y1520" t="s">
        <v>32</v>
      </c>
      <c r="Z1520">
        <v>660.76549047209505</v>
      </c>
    </row>
    <row r="1521" spans="1:26" x14ac:dyDescent="0.3">
      <c r="A1521" t="s">
        <v>72</v>
      </c>
      <c r="B1521" t="s">
        <v>1577</v>
      </c>
      <c r="C1521">
        <v>28.000039297911002</v>
      </c>
      <c r="D1521">
        <v>73</v>
      </c>
      <c r="E1521">
        <v>845</v>
      </c>
      <c r="F1521">
        <v>21294.0298860613</v>
      </c>
      <c r="G1521" t="s">
        <v>48</v>
      </c>
      <c r="H1521">
        <v>20</v>
      </c>
      <c r="I1521">
        <v>27</v>
      </c>
      <c r="J1521">
        <v>52</v>
      </c>
      <c r="K1521">
        <v>10</v>
      </c>
      <c r="L1521" t="s">
        <v>36</v>
      </c>
      <c r="M1521">
        <v>11.267173721106399</v>
      </c>
      <c r="N1521" t="s">
        <v>45</v>
      </c>
      <c r="O1521" t="s">
        <v>38</v>
      </c>
      <c r="P1521">
        <f>VLOOKUP(O1521, Coordinates!$A$2:$C$6, 2, FALSE)</f>
        <v>25.761700000000001</v>
      </c>
      <c r="Q1521">
        <f>VLOOKUP(O1521, Coordinates!$A$2:$C$6, 3, FALSE)</f>
        <v>-80.191800000000001</v>
      </c>
      <c r="R1521">
        <v>29</v>
      </c>
      <c r="S1521">
        <v>540</v>
      </c>
      <c r="T1521">
        <v>25</v>
      </c>
      <c r="U1521">
        <v>82.296317787363193</v>
      </c>
      <c r="V1521" t="s">
        <v>39</v>
      </c>
      <c r="W1521">
        <v>4.4131047917178101</v>
      </c>
      <c r="X1521" t="s">
        <v>31</v>
      </c>
      <c r="Y1521" t="s">
        <v>41</v>
      </c>
      <c r="Z1521">
        <v>842.60410899098497</v>
      </c>
    </row>
    <row r="1522" spans="1:26" x14ac:dyDescent="0.3">
      <c r="A1522" t="s">
        <v>49</v>
      </c>
      <c r="B1522" t="s">
        <v>1578</v>
      </c>
      <c r="C1522">
        <v>37.796845598647302</v>
      </c>
      <c r="D1522">
        <v>27</v>
      </c>
      <c r="E1522">
        <v>566</v>
      </c>
      <c r="F1522">
        <v>3960.2780038965102</v>
      </c>
      <c r="G1522" t="s">
        <v>54</v>
      </c>
      <c r="H1522">
        <v>94</v>
      </c>
      <c r="I1522">
        <v>29</v>
      </c>
      <c r="J1522">
        <v>62</v>
      </c>
      <c r="K1522">
        <v>7</v>
      </c>
      <c r="L1522" t="s">
        <v>27</v>
      </c>
      <c r="M1522">
        <v>12.083532275999801</v>
      </c>
      <c r="N1522" t="s">
        <v>51</v>
      </c>
      <c r="O1522" t="s">
        <v>65</v>
      </c>
      <c r="P1522">
        <f>VLOOKUP(O1522, Coordinates!$A$2:$C$6, 2, FALSE)</f>
        <v>41.878100000000003</v>
      </c>
      <c r="Q1522">
        <f>VLOOKUP(O1522, Coordinates!$A$2:$C$6, 3, FALSE)</f>
        <v>-87.629800000000003</v>
      </c>
      <c r="R1522">
        <v>18</v>
      </c>
      <c r="S1522">
        <v>588</v>
      </c>
      <c r="T1522">
        <v>3</v>
      </c>
      <c r="U1522">
        <v>38.730616018934498</v>
      </c>
      <c r="V1522" t="s">
        <v>55</v>
      </c>
      <c r="W1522">
        <v>2.2892814463145399</v>
      </c>
      <c r="X1522" t="s">
        <v>40</v>
      </c>
      <c r="Y1522" t="s">
        <v>60</v>
      </c>
      <c r="Z1522">
        <v>502.712337913917</v>
      </c>
    </row>
    <row r="1523" spans="1:26" x14ac:dyDescent="0.3">
      <c r="A1523" t="s">
        <v>24</v>
      </c>
      <c r="B1523" t="s">
        <v>1579</v>
      </c>
      <c r="C1523">
        <v>38.338401813938802</v>
      </c>
      <c r="D1523">
        <v>1</v>
      </c>
      <c r="E1523">
        <v>853</v>
      </c>
      <c r="F1523">
        <v>29432.3910725608</v>
      </c>
      <c r="G1523" t="s">
        <v>54</v>
      </c>
      <c r="H1523">
        <v>47</v>
      </c>
      <c r="I1523">
        <v>12</v>
      </c>
      <c r="J1523">
        <v>12</v>
      </c>
      <c r="K1523">
        <v>7</v>
      </c>
      <c r="L1523" t="s">
        <v>44</v>
      </c>
      <c r="M1523">
        <v>8.5945216137748499</v>
      </c>
      <c r="N1523" t="s">
        <v>37</v>
      </c>
      <c r="O1523" t="s">
        <v>38</v>
      </c>
      <c r="P1523">
        <f>VLOOKUP(O1523, Coordinates!$A$2:$C$6, 2, FALSE)</f>
        <v>25.761700000000001</v>
      </c>
      <c r="Q1523">
        <f>VLOOKUP(O1523, Coordinates!$A$2:$C$6, 3, FALSE)</f>
        <v>-80.191800000000001</v>
      </c>
      <c r="R1523">
        <v>14</v>
      </c>
      <c r="S1523">
        <v>596</v>
      </c>
      <c r="T1523">
        <v>24</v>
      </c>
      <c r="U1523">
        <v>90.841989098465405</v>
      </c>
      <c r="V1523" t="s">
        <v>30</v>
      </c>
      <c r="W1523">
        <v>1.8078357697556799</v>
      </c>
      <c r="X1523" t="s">
        <v>40</v>
      </c>
      <c r="Y1523" t="s">
        <v>32</v>
      </c>
      <c r="Z1523">
        <v>272.66887455427798</v>
      </c>
    </row>
    <row r="1524" spans="1:26" x14ac:dyDescent="0.3">
      <c r="A1524" t="s">
        <v>33</v>
      </c>
      <c r="B1524" t="s">
        <v>1580</v>
      </c>
      <c r="C1524">
        <v>74.579317157203505</v>
      </c>
      <c r="D1524">
        <v>87</v>
      </c>
      <c r="E1524">
        <v>611</v>
      </c>
      <c r="F1524">
        <v>1215.77902638878</v>
      </c>
      <c r="G1524" t="s">
        <v>26</v>
      </c>
      <c r="H1524">
        <v>46</v>
      </c>
      <c r="I1524">
        <v>22</v>
      </c>
      <c r="J1524">
        <v>50</v>
      </c>
      <c r="K1524">
        <v>10</v>
      </c>
      <c r="L1524" t="s">
        <v>27</v>
      </c>
      <c r="M1524">
        <v>6.6402497939999998</v>
      </c>
      <c r="N1524" t="s">
        <v>45</v>
      </c>
      <c r="O1524" t="s">
        <v>38</v>
      </c>
      <c r="P1524">
        <f>VLOOKUP(O1524, Coordinates!$A$2:$C$6, 2, FALSE)</f>
        <v>25.761700000000001</v>
      </c>
      <c r="Q1524">
        <f>VLOOKUP(O1524, Coordinates!$A$2:$C$6, 3, FALSE)</f>
        <v>-80.191800000000001</v>
      </c>
      <c r="R1524">
        <v>30</v>
      </c>
      <c r="S1524">
        <v>823</v>
      </c>
      <c r="T1524">
        <v>29</v>
      </c>
      <c r="U1524">
        <v>19.825007129025099</v>
      </c>
      <c r="V1524" t="s">
        <v>39</v>
      </c>
      <c r="W1524">
        <v>3.6449956423242602</v>
      </c>
      <c r="X1524" t="s">
        <v>40</v>
      </c>
      <c r="Y1524" t="s">
        <v>32</v>
      </c>
      <c r="Z1524">
        <v>392.35689384083003</v>
      </c>
    </row>
    <row r="1525" spans="1:26" x14ac:dyDescent="0.3">
      <c r="A1525" t="s">
        <v>82</v>
      </c>
      <c r="B1525" t="s">
        <v>1581</v>
      </c>
      <c r="C1525">
        <v>88.75793582</v>
      </c>
      <c r="D1525">
        <v>74</v>
      </c>
      <c r="E1525">
        <v>784</v>
      </c>
      <c r="F1525">
        <v>3817.22819231423</v>
      </c>
      <c r="G1525" t="s">
        <v>54</v>
      </c>
      <c r="H1525">
        <v>87</v>
      </c>
      <c r="I1525">
        <v>8</v>
      </c>
      <c r="J1525">
        <v>17</v>
      </c>
      <c r="K1525">
        <v>2</v>
      </c>
      <c r="L1525" t="s">
        <v>27</v>
      </c>
      <c r="M1525">
        <v>12.9158597292419</v>
      </c>
      <c r="N1525" t="s">
        <v>37</v>
      </c>
      <c r="O1525" t="s">
        <v>29</v>
      </c>
      <c r="P1525">
        <f>VLOOKUP(O1525, Coordinates!$A$2:$C$6, 2, FALSE)</f>
        <v>29.760400000000001</v>
      </c>
      <c r="Q1525">
        <f>VLOOKUP(O1525, Coordinates!$A$2:$C$6, 3, FALSE)</f>
        <v>-95.369799999999998</v>
      </c>
      <c r="R1525">
        <v>9</v>
      </c>
      <c r="S1525">
        <v>719</v>
      </c>
      <c r="T1525">
        <v>6</v>
      </c>
      <c r="U1525">
        <v>75.662132975613105</v>
      </c>
      <c r="V1525" t="s">
        <v>55</v>
      </c>
      <c r="W1525">
        <v>1.99500339303584</v>
      </c>
      <c r="X1525" t="s">
        <v>31</v>
      </c>
      <c r="Y1525" t="s">
        <v>60</v>
      </c>
      <c r="Z1525">
        <v>411.514540418313</v>
      </c>
    </row>
    <row r="1526" spans="1:26" x14ac:dyDescent="0.3">
      <c r="A1526" t="s">
        <v>42</v>
      </c>
      <c r="B1526" t="s">
        <v>1582</v>
      </c>
      <c r="C1526">
        <v>16.542062153337699</v>
      </c>
      <c r="D1526">
        <v>42</v>
      </c>
      <c r="E1526">
        <v>27</v>
      </c>
      <c r="F1526">
        <v>8378.8133277430406</v>
      </c>
      <c r="G1526" t="s">
        <v>48</v>
      </c>
      <c r="H1526">
        <v>67</v>
      </c>
      <c r="I1526">
        <v>16</v>
      </c>
      <c r="J1526">
        <v>99</v>
      </c>
      <c r="K1526">
        <v>7</v>
      </c>
      <c r="L1526" t="s">
        <v>27</v>
      </c>
      <c r="M1526">
        <v>3.6952298336145901</v>
      </c>
      <c r="N1526" t="s">
        <v>28</v>
      </c>
      <c r="O1526" t="s">
        <v>65</v>
      </c>
      <c r="P1526">
        <f>VLOOKUP(O1526, Coordinates!$A$2:$C$6, 2, FALSE)</f>
        <v>41.878100000000003</v>
      </c>
      <c r="Q1526">
        <f>VLOOKUP(O1526, Coordinates!$A$2:$C$6, 3, FALSE)</f>
        <v>-87.629800000000003</v>
      </c>
      <c r="R1526">
        <v>28</v>
      </c>
      <c r="S1526">
        <v>123</v>
      </c>
      <c r="T1526">
        <v>13</v>
      </c>
      <c r="U1526">
        <v>22.255380341836499</v>
      </c>
      <c r="V1526" t="s">
        <v>30</v>
      </c>
      <c r="W1526">
        <v>1.6812106402678999</v>
      </c>
      <c r="X1526" t="s">
        <v>52</v>
      </c>
      <c r="Y1526" t="s">
        <v>60</v>
      </c>
      <c r="Z1526">
        <v>608.42127243565699</v>
      </c>
    </row>
    <row r="1527" spans="1:26" x14ac:dyDescent="0.3">
      <c r="A1527" t="s">
        <v>24</v>
      </c>
      <c r="B1527" t="s">
        <v>1583</v>
      </c>
      <c r="C1527">
        <v>38.738548017559502</v>
      </c>
      <c r="D1527">
        <v>52</v>
      </c>
      <c r="E1527">
        <v>570</v>
      </c>
      <c r="F1527">
        <v>19872.875133008001</v>
      </c>
      <c r="G1527" t="s">
        <v>26</v>
      </c>
      <c r="H1527">
        <v>83</v>
      </c>
      <c r="I1527">
        <v>5</v>
      </c>
      <c r="J1527">
        <v>84</v>
      </c>
      <c r="K1527">
        <v>10</v>
      </c>
      <c r="L1527" t="s">
        <v>27</v>
      </c>
      <c r="M1527">
        <v>7.1538146490214896</v>
      </c>
      <c r="N1527" t="s">
        <v>51</v>
      </c>
      <c r="O1527" t="s">
        <v>29</v>
      </c>
      <c r="P1527">
        <f>VLOOKUP(O1527, Coordinates!$A$2:$C$6, 2, FALSE)</f>
        <v>29.760400000000001</v>
      </c>
      <c r="Q1527">
        <f>VLOOKUP(O1527, Coordinates!$A$2:$C$6, 3, FALSE)</f>
        <v>-95.369799999999998</v>
      </c>
      <c r="R1527">
        <v>9</v>
      </c>
      <c r="S1527">
        <v>389</v>
      </c>
      <c r="T1527">
        <v>20</v>
      </c>
      <c r="U1527">
        <v>79.832953274412105</v>
      </c>
      <c r="V1527" t="s">
        <v>39</v>
      </c>
      <c r="W1527">
        <v>1.3649308557892099</v>
      </c>
      <c r="X1527" t="s">
        <v>52</v>
      </c>
      <c r="Y1527" t="s">
        <v>32</v>
      </c>
      <c r="Z1527">
        <v>239.15411532952101</v>
      </c>
    </row>
    <row r="1528" spans="1:26" x14ac:dyDescent="0.3">
      <c r="A1528" t="s">
        <v>24</v>
      </c>
      <c r="B1528" t="s">
        <v>1584</v>
      </c>
      <c r="C1528">
        <v>36.402891253743803</v>
      </c>
      <c r="D1528">
        <v>25</v>
      </c>
      <c r="E1528">
        <v>890</v>
      </c>
      <c r="F1528">
        <v>29158.715894248799</v>
      </c>
      <c r="H1528">
        <v>62</v>
      </c>
      <c r="I1528">
        <v>21</v>
      </c>
      <c r="J1528">
        <v>72</v>
      </c>
      <c r="K1528">
        <v>10</v>
      </c>
      <c r="L1528" t="s">
        <v>27</v>
      </c>
      <c r="M1528">
        <v>1.34280555006166</v>
      </c>
      <c r="N1528" t="s">
        <v>28</v>
      </c>
      <c r="O1528" t="s">
        <v>67</v>
      </c>
      <c r="P1528">
        <f>VLOOKUP(O1528, Coordinates!$A$2:$C$6, 2, FALSE)</f>
        <v>40.712800000000001</v>
      </c>
      <c r="Q1528">
        <f>VLOOKUP(O1528, Coordinates!$A$2:$C$6, 3, FALSE)</f>
        <v>-74.006</v>
      </c>
      <c r="R1528">
        <v>12</v>
      </c>
      <c r="S1528">
        <v>995</v>
      </c>
      <c r="T1528">
        <v>15</v>
      </c>
      <c r="U1528">
        <v>76.154932806639493</v>
      </c>
      <c r="V1528" t="s">
        <v>30</v>
      </c>
      <c r="W1528">
        <v>2.8253141037354701</v>
      </c>
      <c r="X1528" t="s">
        <v>52</v>
      </c>
      <c r="Y1528" t="s">
        <v>32</v>
      </c>
      <c r="Z1528">
        <v>448.31630907086998</v>
      </c>
    </row>
    <row r="1529" spans="1:26" x14ac:dyDescent="0.3">
      <c r="A1529" t="s">
        <v>49</v>
      </c>
      <c r="B1529" t="s">
        <v>1585</v>
      </c>
      <c r="C1529">
        <v>16.2494287217135</v>
      </c>
      <c r="D1529">
        <v>54</v>
      </c>
      <c r="E1529">
        <v>770</v>
      </c>
      <c r="F1529">
        <v>3569.7256454380499</v>
      </c>
      <c r="G1529" t="s">
        <v>54</v>
      </c>
      <c r="H1529">
        <v>15</v>
      </c>
      <c r="I1529">
        <v>1</v>
      </c>
      <c r="J1529">
        <v>74</v>
      </c>
      <c r="K1529">
        <v>3</v>
      </c>
      <c r="L1529" t="s">
        <v>27</v>
      </c>
      <c r="M1529">
        <v>3.2961473916848001</v>
      </c>
      <c r="N1529" t="s">
        <v>45</v>
      </c>
      <c r="O1529" t="s">
        <v>38</v>
      </c>
      <c r="P1529">
        <f>VLOOKUP(O1529, Coordinates!$A$2:$C$6, 2, FALSE)</f>
        <v>25.761700000000001</v>
      </c>
      <c r="Q1529">
        <f>VLOOKUP(O1529, Coordinates!$A$2:$C$6, 3, FALSE)</f>
        <v>-80.191800000000001</v>
      </c>
      <c r="R1529">
        <v>29</v>
      </c>
      <c r="S1529">
        <v>407</v>
      </c>
      <c r="T1529">
        <v>4</v>
      </c>
      <c r="U1529">
        <v>91.419685275873604</v>
      </c>
      <c r="V1529" t="s">
        <v>39</v>
      </c>
      <c r="W1529">
        <v>4.5156775045562201</v>
      </c>
      <c r="X1529" t="s">
        <v>31</v>
      </c>
      <c r="Y1529" t="s">
        <v>41</v>
      </c>
      <c r="Z1529">
        <v>190.51945805883</v>
      </c>
    </row>
    <row r="1530" spans="1:26" x14ac:dyDescent="0.3">
      <c r="A1530" t="s">
        <v>61</v>
      </c>
      <c r="B1530" t="s">
        <v>1586</v>
      </c>
      <c r="C1530">
        <v>25.129961391810301</v>
      </c>
      <c r="D1530">
        <v>67</v>
      </c>
      <c r="E1530">
        <v>969</v>
      </c>
      <c r="F1530">
        <v>3682.3827051222002</v>
      </c>
      <c r="G1530" t="s">
        <v>35</v>
      </c>
      <c r="H1530">
        <v>73</v>
      </c>
      <c r="I1530">
        <v>17</v>
      </c>
      <c r="J1530">
        <v>88</v>
      </c>
      <c r="K1530">
        <v>7</v>
      </c>
      <c r="L1530" t="s">
        <v>44</v>
      </c>
      <c r="M1530">
        <v>14.1716372854921</v>
      </c>
      <c r="N1530" t="s">
        <v>57</v>
      </c>
      <c r="O1530" t="s">
        <v>58</v>
      </c>
      <c r="P1530">
        <f>VLOOKUP(O1530, Coordinates!$A$2:$C$6, 2, FALSE)</f>
        <v>34.052199999999999</v>
      </c>
      <c r="Q1530">
        <f>VLOOKUP(O1530, Coordinates!$A$2:$C$6, 3, FALSE)</f>
        <v>-118.2437</v>
      </c>
      <c r="R1530">
        <v>30</v>
      </c>
      <c r="S1530">
        <v>403</v>
      </c>
      <c r="T1530">
        <v>20</v>
      </c>
      <c r="U1530">
        <v>78.771101316861902</v>
      </c>
      <c r="V1530" t="s">
        <v>30</v>
      </c>
      <c r="W1530">
        <v>8.0970879999999995E-2</v>
      </c>
      <c r="X1530" t="s">
        <v>31</v>
      </c>
      <c r="Y1530" t="s">
        <v>60</v>
      </c>
      <c r="Z1530">
        <v>546.87734965225297</v>
      </c>
    </row>
    <row r="1531" spans="1:26" x14ac:dyDescent="0.3">
      <c r="A1531" t="s">
        <v>61</v>
      </c>
      <c r="B1531" t="s">
        <v>1587</v>
      </c>
      <c r="C1531">
        <v>34.545236999604597</v>
      </c>
      <c r="D1531">
        <v>6</v>
      </c>
      <c r="E1531">
        <v>239</v>
      </c>
      <c r="F1531">
        <v>4447.912902</v>
      </c>
      <c r="G1531" t="s">
        <v>54</v>
      </c>
      <c r="H1531">
        <v>89</v>
      </c>
      <c r="I1531">
        <v>24</v>
      </c>
      <c r="J1531">
        <v>13</v>
      </c>
      <c r="K1531">
        <v>4</v>
      </c>
      <c r="L1531" t="s">
        <v>27</v>
      </c>
      <c r="M1531">
        <v>9.0931655051065992</v>
      </c>
      <c r="N1531" t="s">
        <v>45</v>
      </c>
      <c r="O1531" t="s">
        <v>38</v>
      </c>
      <c r="P1531">
        <f>VLOOKUP(O1531, Coordinates!$A$2:$C$6, 2, FALSE)</f>
        <v>25.761700000000001</v>
      </c>
      <c r="Q1531">
        <f>VLOOKUP(O1531, Coordinates!$A$2:$C$6, 3, FALSE)</f>
        <v>-80.191800000000001</v>
      </c>
      <c r="R1531">
        <v>26</v>
      </c>
      <c r="S1531">
        <v>954</v>
      </c>
      <c r="T1531">
        <v>7</v>
      </c>
      <c r="U1531">
        <v>84.281699154877799</v>
      </c>
      <c r="V1531" t="s">
        <v>55</v>
      </c>
      <c r="W1531">
        <v>4.7695082353040297</v>
      </c>
      <c r="X1531" t="s">
        <v>52</v>
      </c>
      <c r="Y1531" t="s">
        <v>41</v>
      </c>
      <c r="Z1531">
        <v>952.68198405387398</v>
      </c>
    </row>
    <row r="1532" spans="1:26" x14ac:dyDescent="0.3">
      <c r="A1532" t="s">
        <v>49</v>
      </c>
      <c r="B1532" t="s">
        <v>1588</v>
      </c>
      <c r="C1532">
        <v>20.858451727662601</v>
      </c>
      <c r="D1532">
        <v>58</v>
      </c>
      <c r="E1532">
        <v>63</v>
      </c>
      <c r="F1532">
        <v>8520.1363896810399</v>
      </c>
      <c r="G1532" t="s">
        <v>54</v>
      </c>
      <c r="H1532">
        <v>92</v>
      </c>
      <c r="I1532">
        <v>29</v>
      </c>
      <c r="J1532">
        <v>77</v>
      </c>
      <c r="K1532">
        <v>8</v>
      </c>
      <c r="L1532" t="s">
        <v>44</v>
      </c>
      <c r="M1532">
        <v>12.2782926133894</v>
      </c>
      <c r="N1532" t="s">
        <v>28</v>
      </c>
      <c r="O1532" t="s">
        <v>38</v>
      </c>
      <c r="P1532">
        <f>VLOOKUP(O1532, Coordinates!$A$2:$C$6, 2, FALSE)</f>
        <v>25.761700000000001</v>
      </c>
      <c r="Q1532">
        <f>VLOOKUP(O1532, Coordinates!$A$2:$C$6, 3, FALSE)</f>
        <v>-80.191800000000001</v>
      </c>
      <c r="R1532">
        <v>2</v>
      </c>
      <c r="S1532">
        <v>730</v>
      </c>
      <c r="T1532">
        <v>22</v>
      </c>
      <c r="U1532">
        <v>63.605951004769402</v>
      </c>
      <c r="V1532" t="s">
        <v>39</v>
      </c>
      <c r="W1532">
        <v>3.94153551513226</v>
      </c>
      <c r="X1532" t="s">
        <v>46</v>
      </c>
      <c r="Y1532" t="s">
        <v>32</v>
      </c>
      <c r="Z1532">
        <v>405.04030740655702</v>
      </c>
    </row>
    <row r="1533" spans="1:26" x14ac:dyDescent="0.3">
      <c r="A1533" t="s">
        <v>72</v>
      </c>
      <c r="B1533" t="s">
        <v>1589</v>
      </c>
      <c r="C1533">
        <v>20.553574552260901</v>
      </c>
      <c r="D1533">
        <v>70</v>
      </c>
      <c r="E1533">
        <v>168</v>
      </c>
      <c r="F1533">
        <v>3107.7004723018499</v>
      </c>
      <c r="G1533" t="s">
        <v>26</v>
      </c>
      <c r="H1533">
        <v>4</v>
      </c>
      <c r="I1533">
        <v>21</v>
      </c>
      <c r="J1533">
        <v>19</v>
      </c>
      <c r="K1533">
        <v>8</v>
      </c>
      <c r="L1533" t="s">
        <v>27</v>
      </c>
      <c r="M1533">
        <v>7.8110057974379803</v>
      </c>
      <c r="N1533" t="s">
        <v>37</v>
      </c>
      <c r="O1533" t="s">
        <v>38</v>
      </c>
      <c r="P1533">
        <f>VLOOKUP(O1533, Coordinates!$A$2:$C$6, 2, FALSE)</f>
        <v>25.761700000000001</v>
      </c>
      <c r="Q1533">
        <f>VLOOKUP(O1533, Coordinates!$A$2:$C$6, 3, FALSE)</f>
        <v>-80.191800000000001</v>
      </c>
      <c r="R1533">
        <v>1</v>
      </c>
      <c r="S1533">
        <v>792</v>
      </c>
      <c r="T1533">
        <v>18</v>
      </c>
      <c r="U1533">
        <v>75.809760933707906</v>
      </c>
      <c r="V1533" t="s">
        <v>55</v>
      </c>
      <c r="W1533">
        <v>3.0798227121519401</v>
      </c>
      <c r="X1533" t="s">
        <v>31</v>
      </c>
      <c r="Y1533" t="s">
        <v>32</v>
      </c>
      <c r="Z1533">
        <v>144.74120538458101</v>
      </c>
    </row>
    <row r="1534" spans="1:26" x14ac:dyDescent="0.3">
      <c r="A1534" t="s">
        <v>61</v>
      </c>
      <c r="B1534" t="s">
        <v>1590</v>
      </c>
      <c r="C1534">
        <v>30.4220758918622</v>
      </c>
      <c r="D1534">
        <v>53</v>
      </c>
      <c r="E1534">
        <v>775</v>
      </c>
      <c r="F1534">
        <v>4947.8984321533699</v>
      </c>
      <c r="G1534" t="s">
        <v>54</v>
      </c>
      <c r="H1534">
        <v>10</v>
      </c>
      <c r="I1534">
        <v>8</v>
      </c>
      <c r="J1534">
        <v>84</v>
      </c>
      <c r="K1534">
        <v>6</v>
      </c>
      <c r="L1534" t="s">
        <v>36</v>
      </c>
      <c r="M1534">
        <v>12.687579372119499</v>
      </c>
      <c r="N1534" t="s">
        <v>45</v>
      </c>
      <c r="O1534" t="s">
        <v>38</v>
      </c>
      <c r="P1534">
        <f>VLOOKUP(O1534, Coordinates!$A$2:$C$6, 2, FALSE)</f>
        <v>25.761700000000001</v>
      </c>
      <c r="Q1534">
        <f>VLOOKUP(O1534, Coordinates!$A$2:$C$6, 3, FALSE)</f>
        <v>-80.191800000000001</v>
      </c>
      <c r="R1534">
        <v>30</v>
      </c>
      <c r="S1534">
        <v>137</v>
      </c>
      <c r="T1534">
        <v>21</v>
      </c>
      <c r="U1534">
        <v>54.703313412206903</v>
      </c>
      <c r="V1534" t="s">
        <v>55</v>
      </c>
      <c r="W1534">
        <v>4.446746793</v>
      </c>
      <c r="X1534" t="s">
        <v>31</v>
      </c>
      <c r="Y1534" t="s">
        <v>32</v>
      </c>
      <c r="Z1534">
        <v>647.88446802763997</v>
      </c>
    </row>
    <row r="1535" spans="1:26" x14ac:dyDescent="0.3">
      <c r="A1535" t="s">
        <v>33</v>
      </c>
      <c r="B1535" t="s">
        <v>1591</v>
      </c>
      <c r="C1535">
        <v>36.8890141387106</v>
      </c>
      <c r="D1535">
        <v>66</v>
      </c>
      <c r="E1535">
        <v>830</v>
      </c>
      <c r="F1535">
        <v>4540.1755487298497</v>
      </c>
      <c r="G1535" t="s">
        <v>48</v>
      </c>
      <c r="H1535">
        <v>28</v>
      </c>
      <c r="I1535">
        <v>10</v>
      </c>
      <c r="J1535">
        <v>59</v>
      </c>
      <c r="K1535">
        <v>3</v>
      </c>
      <c r="L1535" t="s">
        <v>27</v>
      </c>
      <c r="M1535">
        <v>8.5453071517784593</v>
      </c>
      <c r="N1535" t="s">
        <v>57</v>
      </c>
      <c r="O1535" t="s">
        <v>58</v>
      </c>
      <c r="P1535">
        <f>VLOOKUP(O1535, Coordinates!$A$2:$C$6, 2, FALSE)</f>
        <v>34.052199999999999</v>
      </c>
      <c r="Q1535">
        <f>VLOOKUP(O1535, Coordinates!$A$2:$C$6, 3, FALSE)</f>
        <v>-118.2437</v>
      </c>
      <c r="R1535">
        <v>27</v>
      </c>
      <c r="S1535">
        <v>485</v>
      </c>
      <c r="T1535">
        <v>21</v>
      </c>
      <c r="U1535">
        <v>98.949035663871797</v>
      </c>
      <c r="V1535" t="s">
        <v>30</v>
      </c>
      <c r="W1535">
        <v>1.3820818051833701</v>
      </c>
      <c r="X1535" t="s">
        <v>52</v>
      </c>
      <c r="Y1535" t="s">
        <v>32</v>
      </c>
      <c r="Z1535">
        <v>671.25670268842396</v>
      </c>
    </row>
    <row r="1536" spans="1:26" x14ac:dyDescent="0.3">
      <c r="A1536" t="s">
        <v>82</v>
      </c>
      <c r="B1536" t="s">
        <v>1592</v>
      </c>
      <c r="C1536">
        <v>76.192093020000002</v>
      </c>
      <c r="D1536">
        <v>58</v>
      </c>
      <c r="E1536">
        <v>220</v>
      </c>
      <c r="F1536">
        <v>8618.9569823787606</v>
      </c>
      <c r="G1536" t="s">
        <v>26</v>
      </c>
      <c r="H1536">
        <v>78</v>
      </c>
      <c r="I1536">
        <v>18</v>
      </c>
      <c r="J1536">
        <v>32</v>
      </c>
      <c r="K1536">
        <v>6</v>
      </c>
      <c r="L1536" t="s">
        <v>44</v>
      </c>
      <c r="M1536">
        <v>1.06352798775379</v>
      </c>
      <c r="N1536" t="s">
        <v>28</v>
      </c>
      <c r="O1536" t="s">
        <v>38</v>
      </c>
      <c r="P1536">
        <f>VLOOKUP(O1536, Coordinates!$A$2:$C$6, 2, FALSE)</f>
        <v>25.761700000000001</v>
      </c>
      <c r="Q1536">
        <f>VLOOKUP(O1536, Coordinates!$A$2:$C$6, 3, FALSE)</f>
        <v>-80.191800000000001</v>
      </c>
      <c r="R1536">
        <v>9</v>
      </c>
      <c r="S1536">
        <v>844</v>
      </c>
      <c r="T1536">
        <v>22</v>
      </c>
      <c r="U1536">
        <v>19.307353849999998</v>
      </c>
      <c r="V1536" t="s">
        <v>30</v>
      </c>
      <c r="W1536">
        <v>0.95989701384371195</v>
      </c>
      <c r="X1536" t="s">
        <v>52</v>
      </c>
      <c r="Y1536" t="s">
        <v>60</v>
      </c>
      <c r="Z1536">
        <v>531.61273813170203</v>
      </c>
    </row>
    <row r="1537" spans="1:26" x14ac:dyDescent="0.3">
      <c r="A1537" t="s">
        <v>24</v>
      </c>
      <c r="B1537" t="s">
        <v>1593</v>
      </c>
      <c r="C1537">
        <v>39.320527131650103</v>
      </c>
      <c r="D1537">
        <v>82</v>
      </c>
      <c r="E1537">
        <v>187</v>
      </c>
      <c r="F1537">
        <v>6617.6447162567201</v>
      </c>
      <c r="G1537" t="s">
        <v>54</v>
      </c>
      <c r="H1537">
        <v>69</v>
      </c>
      <c r="I1537">
        <v>15</v>
      </c>
      <c r="J1537">
        <v>70</v>
      </c>
      <c r="K1537">
        <v>10</v>
      </c>
      <c r="L1537" t="s">
        <v>44</v>
      </c>
      <c r="M1537">
        <v>13.5957860984315</v>
      </c>
      <c r="N1537" t="s">
        <v>45</v>
      </c>
      <c r="O1537" t="s">
        <v>38</v>
      </c>
      <c r="P1537">
        <f>VLOOKUP(O1537, Coordinates!$A$2:$C$6, 2, FALSE)</f>
        <v>25.761700000000001</v>
      </c>
      <c r="Q1537">
        <f>VLOOKUP(O1537, Coordinates!$A$2:$C$6, 3, FALSE)</f>
        <v>-80.191800000000001</v>
      </c>
      <c r="R1537">
        <v>26</v>
      </c>
      <c r="S1537">
        <v>680</v>
      </c>
      <c r="T1537">
        <v>7</v>
      </c>
      <c r="U1537">
        <v>75.583541736316704</v>
      </c>
      <c r="V1537" t="s">
        <v>39</v>
      </c>
      <c r="W1537">
        <v>3.9649489137519298</v>
      </c>
      <c r="X1537" t="s">
        <v>46</v>
      </c>
      <c r="Y1537" t="s">
        <v>41</v>
      </c>
      <c r="Z1537">
        <v>851.19251240000006</v>
      </c>
    </row>
    <row r="1538" spans="1:26" x14ac:dyDescent="0.3">
      <c r="A1538" t="s">
        <v>24</v>
      </c>
      <c r="B1538" t="s">
        <v>1594</v>
      </c>
      <c r="C1538">
        <v>22.483287871556701</v>
      </c>
      <c r="D1538">
        <v>87</v>
      </c>
      <c r="E1538">
        <v>573</v>
      </c>
      <c r="F1538">
        <v>11594.631555361801</v>
      </c>
      <c r="G1538" t="s">
        <v>35</v>
      </c>
      <c r="H1538">
        <v>47</v>
      </c>
      <c r="I1538">
        <v>20</v>
      </c>
      <c r="J1538">
        <v>56</v>
      </c>
      <c r="K1538">
        <v>3</v>
      </c>
      <c r="L1538" t="s">
        <v>36</v>
      </c>
      <c r="M1538">
        <v>3.0799256777027701</v>
      </c>
      <c r="N1538" t="s">
        <v>28</v>
      </c>
      <c r="O1538" t="s">
        <v>58</v>
      </c>
      <c r="P1538">
        <f>VLOOKUP(O1538, Coordinates!$A$2:$C$6, 2, FALSE)</f>
        <v>34.052199999999999</v>
      </c>
      <c r="Q1538">
        <f>VLOOKUP(O1538, Coordinates!$A$2:$C$6, 3, FALSE)</f>
        <v>-118.2437</v>
      </c>
      <c r="R1538">
        <v>30</v>
      </c>
      <c r="S1538">
        <v>181</v>
      </c>
      <c r="T1538">
        <v>12</v>
      </c>
      <c r="U1538">
        <v>89.718702829487498</v>
      </c>
      <c r="V1538" t="s">
        <v>55</v>
      </c>
      <c r="W1538">
        <v>0.94279551100163606</v>
      </c>
      <c r="X1538" t="s">
        <v>46</v>
      </c>
      <c r="Y1538" t="s">
        <v>60</v>
      </c>
      <c r="Z1538">
        <v>903.39814053124496</v>
      </c>
    </row>
    <row r="1539" spans="1:26" x14ac:dyDescent="0.3">
      <c r="A1539" t="s">
        <v>33</v>
      </c>
      <c r="B1539" t="s">
        <v>1595</v>
      </c>
      <c r="C1539">
        <v>44.399903561909703</v>
      </c>
      <c r="D1539">
        <v>2</v>
      </c>
      <c r="E1539">
        <v>661</v>
      </c>
      <c r="F1539">
        <v>3078.4749813886901</v>
      </c>
      <c r="G1539" t="s">
        <v>48</v>
      </c>
      <c r="H1539">
        <v>14</v>
      </c>
      <c r="I1539">
        <v>13</v>
      </c>
      <c r="J1539">
        <v>12</v>
      </c>
      <c r="K1539">
        <v>4</v>
      </c>
      <c r="L1539" t="s">
        <v>27</v>
      </c>
      <c r="M1539">
        <v>7.3077666583087897</v>
      </c>
      <c r="N1539" t="s">
        <v>28</v>
      </c>
      <c r="O1539" t="s">
        <v>58</v>
      </c>
      <c r="P1539">
        <f>VLOOKUP(O1539, Coordinates!$A$2:$C$6, 2, FALSE)</f>
        <v>34.052199999999999</v>
      </c>
      <c r="Q1539">
        <f>VLOOKUP(O1539, Coordinates!$A$2:$C$6, 3, FALSE)</f>
        <v>-118.2437</v>
      </c>
      <c r="R1539">
        <v>21</v>
      </c>
      <c r="S1539">
        <v>217</v>
      </c>
      <c r="T1539">
        <v>11</v>
      </c>
      <c r="U1539">
        <v>62.258146139907502</v>
      </c>
      <c r="V1539" t="s">
        <v>30</v>
      </c>
      <c r="W1539">
        <v>0.45552439687631502</v>
      </c>
      <c r="X1539" t="s">
        <v>40</v>
      </c>
      <c r="Y1539" t="s">
        <v>32</v>
      </c>
      <c r="Z1539">
        <v>944.59346493773705</v>
      </c>
    </row>
    <row r="1540" spans="1:26" x14ac:dyDescent="0.3">
      <c r="A1540" t="s">
        <v>61</v>
      </c>
      <c r="B1540" t="s">
        <v>1596</v>
      </c>
      <c r="C1540">
        <v>76.617182014507804</v>
      </c>
      <c r="D1540">
        <v>76</v>
      </c>
      <c r="E1540">
        <v>939</v>
      </c>
      <c r="F1540">
        <v>7691.5228220116696</v>
      </c>
      <c r="G1540" t="s">
        <v>35</v>
      </c>
      <c r="H1540">
        <v>83</v>
      </c>
      <c r="I1540">
        <v>27</v>
      </c>
      <c r="J1540">
        <v>26</v>
      </c>
      <c r="K1540">
        <v>2</v>
      </c>
      <c r="L1540" t="s">
        <v>36</v>
      </c>
      <c r="M1540">
        <v>7.6734406038821401</v>
      </c>
      <c r="N1540" t="s">
        <v>51</v>
      </c>
      <c r="O1540" t="s">
        <v>67</v>
      </c>
      <c r="P1540">
        <f>VLOOKUP(O1540, Coordinates!$A$2:$C$6, 2, FALSE)</f>
        <v>40.712800000000001</v>
      </c>
      <c r="Q1540">
        <f>VLOOKUP(O1540, Coordinates!$A$2:$C$6, 3, FALSE)</f>
        <v>-74.006</v>
      </c>
      <c r="R1540">
        <v>28</v>
      </c>
      <c r="S1540">
        <v>920</v>
      </c>
      <c r="T1540">
        <v>24</v>
      </c>
      <c r="U1540">
        <v>75.3229477775009</v>
      </c>
      <c r="V1540" t="s">
        <v>55</v>
      </c>
      <c r="W1540">
        <v>0.48307534269830898</v>
      </c>
      <c r="X1540" t="s">
        <v>40</v>
      </c>
      <c r="Y1540" t="s">
        <v>41</v>
      </c>
      <c r="Z1540">
        <v>705.84542442921202</v>
      </c>
    </row>
    <row r="1541" spans="1:26" x14ac:dyDescent="0.3">
      <c r="A1541" t="s">
        <v>24</v>
      </c>
      <c r="B1541" t="s">
        <v>1597</v>
      </c>
      <c r="C1541">
        <v>38.6261868285102</v>
      </c>
      <c r="D1541">
        <v>22</v>
      </c>
      <c r="E1541">
        <v>94</v>
      </c>
      <c r="F1541">
        <v>3267.7754056919598</v>
      </c>
      <c r="G1541" t="s">
        <v>48</v>
      </c>
      <c r="H1541">
        <v>33</v>
      </c>
      <c r="I1541">
        <v>30</v>
      </c>
      <c r="J1541">
        <v>31</v>
      </c>
      <c r="K1541">
        <v>1</v>
      </c>
      <c r="L1541" t="s">
        <v>27</v>
      </c>
      <c r="M1541">
        <v>1.6613078316559899</v>
      </c>
      <c r="N1541" t="s">
        <v>37</v>
      </c>
      <c r="O1541" t="s">
        <v>29</v>
      </c>
      <c r="P1541">
        <f>VLOOKUP(O1541, Coordinates!$A$2:$C$6, 2, FALSE)</f>
        <v>29.760400000000001</v>
      </c>
      <c r="Q1541">
        <f>VLOOKUP(O1541, Coordinates!$A$2:$C$6, 3, FALSE)</f>
        <v>-95.369799999999998</v>
      </c>
      <c r="R1541">
        <v>16</v>
      </c>
      <c r="S1541">
        <v>149</v>
      </c>
      <c r="T1541">
        <v>12</v>
      </c>
      <c r="U1541">
        <v>81.844453485701095</v>
      </c>
      <c r="V1541" t="s">
        <v>55</v>
      </c>
      <c r="W1541">
        <v>3.8419674661285899</v>
      </c>
      <c r="X1541" t="s">
        <v>52</v>
      </c>
      <c r="Y1541" t="s">
        <v>32</v>
      </c>
      <c r="Z1541">
        <v>551.10247707983206</v>
      </c>
    </row>
    <row r="1542" spans="1:26" x14ac:dyDescent="0.3">
      <c r="A1542" t="s">
        <v>42</v>
      </c>
      <c r="B1542" t="s">
        <v>1598</v>
      </c>
      <c r="C1542">
        <v>69.502956838613898</v>
      </c>
      <c r="D1542">
        <v>37</v>
      </c>
      <c r="E1542">
        <v>968</v>
      </c>
      <c r="F1542">
        <v>8281.3109521630704</v>
      </c>
      <c r="G1542" t="s">
        <v>35</v>
      </c>
      <c r="H1542">
        <v>59</v>
      </c>
      <c r="I1542">
        <v>10</v>
      </c>
      <c r="J1542">
        <v>100</v>
      </c>
      <c r="K1542">
        <v>2</v>
      </c>
      <c r="L1542" t="s">
        <v>27</v>
      </c>
      <c r="M1542">
        <v>1.7429853961494199</v>
      </c>
      <c r="N1542" t="s">
        <v>51</v>
      </c>
      <c r="O1542" t="s">
        <v>58</v>
      </c>
      <c r="P1542">
        <f>VLOOKUP(O1542, Coordinates!$A$2:$C$6, 2, FALSE)</f>
        <v>34.052199999999999</v>
      </c>
      <c r="Q1542">
        <f>VLOOKUP(O1542, Coordinates!$A$2:$C$6, 3, FALSE)</f>
        <v>-118.2437</v>
      </c>
      <c r="R1542">
        <v>19</v>
      </c>
      <c r="S1542">
        <v>768</v>
      </c>
      <c r="T1542">
        <v>26</v>
      </c>
      <c r="U1542">
        <v>87.65956602</v>
      </c>
      <c r="V1542" t="s">
        <v>55</v>
      </c>
      <c r="W1542">
        <v>0.14368650799999999</v>
      </c>
      <c r="X1542" t="s">
        <v>40</v>
      </c>
      <c r="Y1542" t="s">
        <v>60</v>
      </c>
      <c r="Z1542">
        <v>160.79293189016701</v>
      </c>
    </row>
    <row r="1543" spans="1:26" x14ac:dyDescent="0.3">
      <c r="A1543" t="s">
        <v>82</v>
      </c>
      <c r="B1543" t="s">
        <v>1599</v>
      </c>
      <c r="C1543">
        <v>44.127150339662101</v>
      </c>
      <c r="D1543">
        <v>20</v>
      </c>
      <c r="E1543">
        <v>315</v>
      </c>
      <c r="F1543">
        <v>8026.5945702580202</v>
      </c>
      <c r="G1543" t="s">
        <v>54</v>
      </c>
      <c r="H1543">
        <v>61</v>
      </c>
      <c r="I1543">
        <v>9</v>
      </c>
      <c r="J1543">
        <v>25</v>
      </c>
      <c r="K1543">
        <v>7</v>
      </c>
      <c r="L1543" t="s">
        <v>44</v>
      </c>
      <c r="M1543">
        <v>11.675725332225801</v>
      </c>
      <c r="N1543" t="s">
        <v>28</v>
      </c>
      <c r="O1543" t="s">
        <v>67</v>
      </c>
      <c r="P1543">
        <f>VLOOKUP(O1543, Coordinates!$A$2:$C$6, 2, FALSE)</f>
        <v>40.712800000000001</v>
      </c>
      <c r="Q1543">
        <f>VLOOKUP(O1543, Coordinates!$A$2:$C$6, 3, FALSE)</f>
        <v>-74.006</v>
      </c>
      <c r="R1543">
        <v>10</v>
      </c>
      <c r="S1543">
        <v>173</v>
      </c>
      <c r="T1543">
        <v>30</v>
      </c>
      <c r="U1543">
        <v>25.7842866649586</v>
      </c>
      <c r="V1543" t="s">
        <v>39</v>
      </c>
      <c r="W1543">
        <v>1.44728352419599</v>
      </c>
      <c r="X1543" t="s">
        <v>31</v>
      </c>
      <c r="Y1543" t="s">
        <v>32</v>
      </c>
      <c r="Z1543">
        <v>370.934338158071</v>
      </c>
    </row>
    <row r="1544" spans="1:26" x14ac:dyDescent="0.3">
      <c r="A1544" t="s">
        <v>82</v>
      </c>
      <c r="B1544" t="s">
        <v>1600</v>
      </c>
      <c r="C1544">
        <v>76.591489920846499</v>
      </c>
      <c r="D1544">
        <v>24</v>
      </c>
      <c r="E1544">
        <v>561</v>
      </c>
      <c r="F1544">
        <v>2935.0429144302502</v>
      </c>
      <c r="G1544" t="s">
        <v>48</v>
      </c>
      <c r="H1544">
        <v>1</v>
      </c>
      <c r="I1544">
        <v>13</v>
      </c>
      <c r="J1544">
        <v>89</v>
      </c>
      <c r="K1544">
        <v>10</v>
      </c>
      <c r="L1544" t="s">
        <v>36</v>
      </c>
      <c r="M1544">
        <v>5.2063110607097203</v>
      </c>
      <c r="N1544" t="s">
        <v>57</v>
      </c>
      <c r="O1544" t="s">
        <v>58</v>
      </c>
      <c r="P1544">
        <f>VLOOKUP(O1544, Coordinates!$A$2:$C$6, 2, FALSE)</f>
        <v>34.052199999999999</v>
      </c>
      <c r="Q1544">
        <f>VLOOKUP(O1544, Coordinates!$A$2:$C$6, 3, FALSE)</f>
        <v>-118.2437</v>
      </c>
      <c r="R1544">
        <v>26</v>
      </c>
      <c r="S1544">
        <v>794</v>
      </c>
      <c r="T1544">
        <v>15</v>
      </c>
      <c r="U1544">
        <v>27.733233677767199</v>
      </c>
      <c r="V1544" t="s">
        <v>30</v>
      </c>
      <c r="W1544">
        <v>0.64593204972038398</v>
      </c>
      <c r="X1544" t="s">
        <v>46</v>
      </c>
      <c r="Y1544" t="s">
        <v>60</v>
      </c>
      <c r="Z1544">
        <v>356.58257019163</v>
      </c>
    </row>
    <row r="1545" spans="1:26" x14ac:dyDescent="0.3">
      <c r="A1545" t="s">
        <v>24</v>
      </c>
      <c r="B1545" t="s">
        <v>1601</v>
      </c>
      <c r="C1545">
        <v>32.130875665301602</v>
      </c>
      <c r="D1545">
        <v>84</v>
      </c>
      <c r="E1545">
        <v>976</v>
      </c>
      <c r="F1545">
        <v>28223.761184400901</v>
      </c>
      <c r="G1545" t="s">
        <v>26</v>
      </c>
      <c r="H1545">
        <v>79</v>
      </c>
      <c r="I1545">
        <v>3</v>
      </c>
      <c r="J1545">
        <v>12</v>
      </c>
      <c r="K1545">
        <v>5</v>
      </c>
      <c r="L1545" t="s">
        <v>36</v>
      </c>
      <c r="M1545">
        <v>6.7347943273583697</v>
      </c>
      <c r="N1545" t="s">
        <v>57</v>
      </c>
      <c r="O1545" t="s">
        <v>65</v>
      </c>
      <c r="P1545">
        <f>VLOOKUP(O1545, Coordinates!$A$2:$C$6, 2, FALSE)</f>
        <v>41.878100000000003</v>
      </c>
      <c r="Q1545">
        <f>VLOOKUP(O1545, Coordinates!$A$2:$C$6, 3, FALSE)</f>
        <v>-87.629800000000003</v>
      </c>
      <c r="R1545">
        <v>27</v>
      </c>
      <c r="S1545">
        <v>205</v>
      </c>
      <c r="T1545">
        <v>8</v>
      </c>
      <c r="U1545">
        <v>91.476698130948705</v>
      </c>
      <c r="V1545" t="s">
        <v>30</v>
      </c>
      <c r="W1545">
        <v>3.7745507339975202</v>
      </c>
      <c r="X1545" t="s">
        <v>40</v>
      </c>
      <c r="Y1545" t="s">
        <v>60</v>
      </c>
      <c r="Z1545">
        <v>152.41824660004701</v>
      </c>
    </row>
    <row r="1546" spans="1:26" x14ac:dyDescent="0.3">
      <c r="A1546" t="s">
        <v>49</v>
      </c>
      <c r="B1546" t="s">
        <v>1602</v>
      </c>
      <c r="C1546">
        <v>36.1174556921125</v>
      </c>
      <c r="D1546">
        <v>65</v>
      </c>
      <c r="E1546">
        <v>261</v>
      </c>
      <c r="F1546">
        <v>8200.4896715623399</v>
      </c>
      <c r="G1546" t="s">
        <v>26</v>
      </c>
      <c r="H1546">
        <v>18</v>
      </c>
      <c r="I1546">
        <v>22</v>
      </c>
      <c r="J1546">
        <v>61</v>
      </c>
      <c r="K1546">
        <v>9</v>
      </c>
      <c r="L1546" t="s">
        <v>44</v>
      </c>
      <c r="M1546">
        <v>8.8975752165133493</v>
      </c>
      <c r="N1546" t="s">
        <v>51</v>
      </c>
      <c r="O1546" t="s">
        <v>65</v>
      </c>
      <c r="P1546">
        <f>VLOOKUP(O1546, Coordinates!$A$2:$C$6, 2, FALSE)</f>
        <v>41.878100000000003</v>
      </c>
      <c r="Q1546">
        <f>VLOOKUP(O1546, Coordinates!$A$2:$C$6, 3, FALSE)</f>
        <v>-87.629800000000003</v>
      </c>
      <c r="R1546">
        <v>5</v>
      </c>
      <c r="S1546">
        <v>800</v>
      </c>
      <c r="T1546">
        <v>11</v>
      </c>
      <c r="U1546">
        <v>21.865821201304499</v>
      </c>
      <c r="V1546" t="s">
        <v>55</v>
      </c>
      <c r="W1546">
        <v>2.5174654279999999</v>
      </c>
      <c r="X1546" t="s">
        <v>40</v>
      </c>
      <c r="Y1546" t="s">
        <v>32</v>
      </c>
      <c r="Z1546">
        <v>859.02678699968396</v>
      </c>
    </row>
    <row r="1547" spans="1:26" x14ac:dyDescent="0.3">
      <c r="A1547" t="s">
        <v>24</v>
      </c>
      <c r="B1547" t="s">
        <v>1603</v>
      </c>
      <c r="C1547">
        <v>27.549201053449899</v>
      </c>
      <c r="D1547">
        <v>65</v>
      </c>
      <c r="E1547">
        <v>537</v>
      </c>
      <c r="F1547">
        <v>13314.5288691323</v>
      </c>
      <c r="G1547" t="s">
        <v>35</v>
      </c>
      <c r="H1547">
        <v>97</v>
      </c>
      <c r="I1547">
        <v>27</v>
      </c>
      <c r="J1547">
        <v>42</v>
      </c>
      <c r="K1547">
        <v>3</v>
      </c>
      <c r="L1547" t="s">
        <v>44</v>
      </c>
      <c r="M1547">
        <v>6.2274054636627802</v>
      </c>
      <c r="N1547" t="s">
        <v>57</v>
      </c>
      <c r="O1547" t="s">
        <v>65</v>
      </c>
      <c r="P1547">
        <f>VLOOKUP(O1547, Coordinates!$A$2:$C$6, 2, FALSE)</f>
        <v>41.878100000000003</v>
      </c>
      <c r="Q1547">
        <f>VLOOKUP(O1547, Coordinates!$A$2:$C$6, 3, FALSE)</f>
        <v>-87.629800000000003</v>
      </c>
      <c r="R1547">
        <v>14</v>
      </c>
      <c r="S1547">
        <v>917</v>
      </c>
      <c r="T1547">
        <v>21</v>
      </c>
      <c r="U1547">
        <v>92.476678724836503</v>
      </c>
      <c r="V1547" t="s">
        <v>55</v>
      </c>
      <c r="W1547">
        <v>1.0274620724883301</v>
      </c>
      <c r="X1547" t="s">
        <v>52</v>
      </c>
      <c r="Y1547" t="s">
        <v>32</v>
      </c>
      <c r="Z1547">
        <v>880.34284572454999</v>
      </c>
    </row>
    <row r="1548" spans="1:26" x14ac:dyDescent="0.3">
      <c r="A1548" t="s">
        <v>49</v>
      </c>
      <c r="B1548" t="s">
        <v>1604</v>
      </c>
      <c r="C1548">
        <v>59.663891792184003</v>
      </c>
      <c r="D1548">
        <v>81</v>
      </c>
      <c r="E1548">
        <v>983</v>
      </c>
      <c r="F1548">
        <v>2553.4820161204698</v>
      </c>
      <c r="G1548" t="s">
        <v>35</v>
      </c>
      <c r="H1548">
        <v>48</v>
      </c>
      <c r="I1548">
        <v>23</v>
      </c>
      <c r="J1548">
        <v>51</v>
      </c>
      <c r="K1548">
        <v>2</v>
      </c>
      <c r="L1548" t="s">
        <v>36</v>
      </c>
      <c r="M1548">
        <v>11.8505239716047</v>
      </c>
      <c r="N1548" t="s">
        <v>28</v>
      </c>
      <c r="O1548" t="s">
        <v>58</v>
      </c>
      <c r="P1548">
        <f>VLOOKUP(O1548, Coordinates!$A$2:$C$6, 2, FALSE)</f>
        <v>34.052199999999999</v>
      </c>
      <c r="Q1548">
        <f>VLOOKUP(O1548, Coordinates!$A$2:$C$6, 3, FALSE)</f>
        <v>-118.2437</v>
      </c>
      <c r="R1548">
        <v>27</v>
      </c>
      <c r="S1548">
        <v>883</v>
      </c>
      <c r="T1548">
        <v>18</v>
      </c>
      <c r="U1548">
        <v>74.893224029525399</v>
      </c>
      <c r="V1548" t="s">
        <v>30</v>
      </c>
      <c r="W1548">
        <v>3.7520544932563298</v>
      </c>
      <c r="X1548" t="s">
        <v>46</v>
      </c>
      <c r="Y1548" t="s">
        <v>60</v>
      </c>
      <c r="Z1548">
        <v>921.13379510335096</v>
      </c>
    </row>
    <row r="1549" spans="1:26" x14ac:dyDescent="0.3">
      <c r="A1549" t="s">
        <v>24</v>
      </c>
      <c r="B1549" t="s">
        <v>1605</v>
      </c>
      <c r="C1549">
        <v>34.426293713815703</v>
      </c>
      <c r="D1549">
        <v>1</v>
      </c>
      <c r="E1549">
        <v>537</v>
      </c>
      <c r="F1549">
        <v>16638.227751887101</v>
      </c>
      <c r="G1549" t="s">
        <v>35</v>
      </c>
      <c r="H1549">
        <v>77</v>
      </c>
      <c r="I1549">
        <v>3</v>
      </c>
      <c r="J1549">
        <v>11</v>
      </c>
      <c r="K1549">
        <v>8</v>
      </c>
      <c r="L1549" t="s">
        <v>44</v>
      </c>
      <c r="M1549">
        <v>13.382505150668299</v>
      </c>
      <c r="N1549" t="s">
        <v>45</v>
      </c>
      <c r="O1549" t="s">
        <v>38</v>
      </c>
      <c r="P1549">
        <f>VLOOKUP(O1549, Coordinates!$A$2:$C$6, 2, FALSE)</f>
        <v>25.761700000000001</v>
      </c>
      <c r="Q1549">
        <f>VLOOKUP(O1549, Coordinates!$A$2:$C$6, 3, FALSE)</f>
        <v>-80.191800000000001</v>
      </c>
      <c r="R1549">
        <v>27</v>
      </c>
      <c r="S1549">
        <v>698</v>
      </c>
      <c r="T1549">
        <v>10</v>
      </c>
      <c r="U1549">
        <v>81.110105810750596</v>
      </c>
      <c r="V1549" t="s">
        <v>39</v>
      </c>
      <c r="W1549">
        <v>3.5037425866225198</v>
      </c>
      <c r="X1549" t="s">
        <v>46</v>
      </c>
      <c r="Y1549" t="s">
        <v>41</v>
      </c>
      <c r="Z1549">
        <v>854.89520294920897</v>
      </c>
    </row>
    <row r="1550" spans="1:26" x14ac:dyDescent="0.3">
      <c r="A1550" t="s">
        <v>42</v>
      </c>
      <c r="B1550" t="s">
        <v>1606</v>
      </c>
      <c r="C1550">
        <v>94.785847931820797</v>
      </c>
      <c r="D1550">
        <v>94</v>
      </c>
      <c r="E1550">
        <v>56</v>
      </c>
      <c r="F1550">
        <v>5058.1328778383304</v>
      </c>
      <c r="G1550" t="s">
        <v>48</v>
      </c>
      <c r="H1550">
        <v>87</v>
      </c>
      <c r="I1550">
        <v>1</v>
      </c>
      <c r="J1550">
        <v>48</v>
      </c>
      <c r="K1550">
        <v>2</v>
      </c>
      <c r="L1550" t="s">
        <v>27</v>
      </c>
      <c r="M1550">
        <v>1.8360503776780099</v>
      </c>
      <c r="N1550" t="s">
        <v>28</v>
      </c>
      <c r="O1550" t="s">
        <v>38</v>
      </c>
      <c r="P1550">
        <f>VLOOKUP(O1550, Coordinates!$A$2:$C$6, 2, FALSE)</f>
        <v>25.761700000000001</v>
      </c>
      <c r="Q1550">
        <f>VLOOKUP(O1550, Coordinates!$A$2:$C$6, 3, FALSE)</f>
        <v>-80.191800000000001</v>
      </c>
      <c r="R1550">
        <v>28</v>
      </c>
      <c r="S1550">
        <v>961</v>
      </c>
      <c r="T1550">
        <v>8</v>
      </c>
      <c r="U1550">
        <v>78.2113182025615</v>
      </c>
      <c r="V1550" t="s">
        <v>55</v>
      </c>
      <c r="W1550">
        <v>2.6151132353432498</v>
      </c>
      <c r="X1550" t="s">
        <v>40</v>
      </c>
      <c r="Y1550" t="s">
        <v>60</v>
      </c>
      <c r="Z1550">
        <v>739.46257303060202</v>
      </c>
    </row>
    <row r="1551" spans="1:26" x14ac:dyDescent="0.3">
      <c r="A1551" t="s">
        <v>72</v>
      </c>
      <c r="B1551" t="s">
        <v>1607</v>
      </c>
      <c r="C1551">
        <v>30.137219466224298</v>
      </c>
      <c r="D1551">
        <v>3</v>
      </c>
      <c r="E1551">
        <v>342</v>
      </c>
      <c r="F1551">
        <v>9276.2361517038607</v>
      </c>
      <c r="G1551" t="s">
        <v>26</v>
      </c>
      <c r="H1551">
        <v>27</v>
      </c>
      <c r="I1551">
        <v>2</v>
      </c>
      <c r="J1551">
        <v>55</v>
      </c>
      <c r="K1551">
        <v>7</v>
      </c>
      <c r="L1551" t="s">
        <v>36</v>
      </c>
      <c r="M1551">
        <v>9.8956473746645202</v>
      </c>
      <c r="N1551" t="s">
        <v>45</v>
      </c>
      <c r="O1551" t="s">
        <v>38</v>
      </c>
      <c r="P1551">
        <f>VLOOKUP(O1551, Coordinates!$A$2:$C$6, 2, FALSE)</f>
        <v>25.761700000000001</v>
      </c>
      <c r="Q1551">
        <f>VLOOKUP(O1551, Coordinates!$A$2:$C$6, 3, FALSE)</f>
        <v>-80.191800000000001</v>
      </c>
      <c r="R1551">
        <v>26</v>
      </c>
      <c r="S1551">
        <v>425</v>
      </c>
      <c r="T1551">
        <v>6</v>
      </c>
      <c r="U1551">
        <v>80.782872135126993</v>
      </c>
      <c r="V1551" t="s">
        <v>55</v>
      </c>
      <c r="W1551">
        <v>4.4726128012577799</v>
      </c>
      <c r="X1551" t="s">
        <v>31</v>
      </c>
      <c r="Y1551" t="s">
        <v>41</v>
      </c>
      <c r="Z1551">
        <v>530.04385853396298</v>
      </c>
    </row>
    <row r="1552" spans="1:26" x14ac:dyDescent="0.3">
      <c r="A1552" t="s">
        <v>82</v>
      </c>
      <c r="B1552" t="s">
        <v>1608</v>
      </c>
      <c r="C1552">
        <v>52.091856272029602</v>
      </c>
      <c r="D1552">
        <v>46</v>
      </c>
      <c r="E1552">
        <v>175</v>
      </c>
      <c r="F1552">
        <v>5994.1885039999997</v>
      </c>
      <c r="G1552" t="s">
        <v>54</v>
      </c>
      <c r="H1552">
        <v>47</v>
      </c>
      <c r="I1552">
        <v>11</v>
      </c>
      <c r="J1552">
        <v>57</v>
      </c>
      <c r="K1552">
        <v>10</v>
      </c>
      <c r="L1552" t="s">
        <v>36</v>
      </c>
      <c r="M1552">
        <v>5.4472401044000698</v>
      </c>
      <c r="N1552" t="s">
        <v>57</v>
      </c>
      <c r="O1552" t="s">
        <v>29</v>
      </c>
      <c r="P1552">
        <f>VLOOKUP(O1552, Coordinates!$A$2:$C$6, 2, FALSE)</f>
        <v>29.760400000000001</v>
      </c>
      <c r="Q1552">
        <f>VLOOKUP(O1552, Coordinates!$A$2:$C$6, 3, FALSE)</f>
        <v>-95.369799999999998</v>
      </c>
      <c r="R1552">
        <v>9</v>
      </c>
      <c r="S1552">
        <v>783</v>
      </c>
      <c r="T1552">
        <v>3</v>
      </c>
      <c r="U1552">
        <v>60.003770761897101</v>
      </c>
      <c r="V1552" t="s">
        <v>39</v>
      </c>
      <c r="W1552">
        <v>2.9313854963110999</v>
      </c>
      <c r="X1552" t="s">
        <v>31</v>
      </c>
      <c r="Y1552" t="s">
        <v>60</v>
      </c>
      <c r="Z1552">
        <v>871.65814387774606</v>
      </c>
    </row>
    <row r="1553" spans="1:26" x14ac:dyDescent="0.3">
      <c r="A1553" t="s">
        <v>24</v>
      </c>
      <c r="B1553" t="s">
        <v>1609</v>
      </c>
      <c r="C1553">
        <v>35.889616550347597</v>
      </c>
      <c r="D1553">
        <v>55</v>
      </c>
      <c r="E1553">
        <v>952</v>
      </c>
      <c r="F1553">
        <v>30750.223460337798</v>
      </c>
      <c r="G1553" t="s">
        <v>48</v>
      </c>
      <c r="H1553">
        <v>95</v>
      </c>
      <c r="I1553">
        <v>14</v>
      </c>
      <c r="J1553">
        <v>36</v>
      </c>
      <c r="K1553">
        <v>6</v>
      </c>
      <c r="L1553" t="s">
        <v>44</v>
      </c>
      <c r="M1553">
        <v>9.1658538978350901</v>
      </c>
      <c r="N1553" t="s">
        <v>37</v>
      </c>
      <c r="O1553" t="s">
        <v>67</v>
      </c>
      <c r="P1553">
        <f>VLOOKUP(O1553, Coordinates!$A$2:$C$6, 2, FALSE)</f>
        <v>40.712800000000001</v>
      </c>
      <c r="Q1553">
        <f>VLOOKUP(O1553, Coordinates!$A$2:$C$6, 3, FALSE)</f>
        <v>-74.006</v>
      </c>
      <c r="R1553">
        <v>29</v>
      </c>
      <c r="S1553">
        <v>863</v>
      </c>
      <c r="T1553">
        <v>20</v>
      </c>
      <c r="U1553">
        <v>81.158561037337293</v>
      </c>
      <c r="V1553" t="s">
        <v>55</v>
      </c>
      <c r="W1553">
        <v>4.6676505037709504</v>
      </c>
      <c r="X1553" t="s">
        <v>31</v>
      </c>
      <c r="Y1553" t="s">
        <v>32</v>
      </c>
      <c r="Z1553">
        <v>559.12110919499798</v>
      </c>
    </row>
    <row r="1554" spans="1:26" x14ac:dyDescent="0.3">
      <c r="A1554" t="s">
        <v>42</v>
      </c>
      <c r="B1554" t="s">
        <v>1610</v>
      </c>
      <c r="C1554">
        <v>46.7140786988287</v>
      </c>
      <c r="D1554">
        <v>75</v>
      </c>
      <c r="E1554">
        <v>71</v>
      </c>
      <c r="F1554">
        <v>8736.9899289982695</v>
      </c>
      <c r="G1554" t="s">
        <v>35</v>
      </c>
      <c r="H1554">
        <v>36</v>
      </c>
      <c r="I1554">
        <v>10</v>
      </c>
      <c r="J1554">
        <v>24</v>
      </c>
      <c r="K1554">
        <v>8</v>
      </c>
      <c r="L1554" t="s">
        <v>27</v>
      </c>
      <c r="M1554">
        <v>7.7747024538521696</v>
      </c>
      <c r="N1554" t="s">
        <v>37</v>
      </c>
      <c r="O1554" t="s">
        <v>65</v>
      </c>
      <c r="P1554">
        <f>VLOOKUP(O1554, Coordinates!$A$2:$C$6, 2, FALSE)</f>
        <v>41.878100000000003</v>
      </c>
      <c r="Q1554">
        <f>VLOOKUP(O1554, Coordinates!$A$2:$C$6, 3, FALSE)</f>
        <v>-87.629800000000003</v>
      </c>
      <c r="R1554">
        <v>1</v>
      </c>
      <c r="S1554">
        <v>455</v>
      </c>
      <c r="T1554">
        <v>12</v>
      </c>
      <c r="U1554">
        <v>79.890245620842904</v>
      </c>
      <c r="V1554" t="s">
        <v>55</v>
      </c>
      <c r="W1554">
        <v>0.258181938</v>
      </c>
      <c r="X1554" t="s">
        <v>31</v>
      </c>
      <c r="Y1554" t="s">
        <v>60</v>
      </c>
      <c r="Z1554">
        <v>126.676997862985</v>
      </c>
    </row>
    <row r="1555" spans="1:26" x14ac:dyDescent="0.3">
      <c r="A1555" t="s">
        <v>49</v>
      </c>
      <c r="B1555" t="s">
        <v>1611</v>
      </c>
      <c r="C1555">
        <v>98.141379175685302</v>
      </c>
      <c r="D1555">
        <v>88</v>
      </c>
      <c r="E1555">
        <v>629</v>
      </c>
      <c r="F1555">
        <v>3319.7969406529801</v>
      </c>
      <c r="G1555" t="s">
        <v>26</v>
      </c>
      <c r="H1555">
        <v>73</v>
      </c>
      <c r="I1555">
        <v>7</v>
      </c>
      <c r="J1555">
        <v>16</v>
      </c>
      <c r="K1555">
        <v>5</v>
      </c>
      <c r="L1555" t="s">
        <v>36</v>
      </c>
      <c r="M1555">
        <v>5.6714992941719498</v>
      </c>
      <c r="N1555" t="s">
        <v>28</v>
      </c>
      <c r="O1555" t="s">
        <v>67</v>
      </c>
      <c r="P1555">
        <f>VLOOKUP(O1555, Coordinates!$A$2:$C$6, 2, FALSE)</f>
        <v>40.712800000000001</v>
      </c>
      <c r="Q1555">
        <f>VLOOKUP(O1555, Coordinates!$A$2:$C$6, 3, FALSE)</f>
        <v>-74.006</v>
      </c>
      <c r="R1555">
        <v>1</v>
      </c>
      <c r="S1555">
        <v>567</v>
      </c>
      <c r="T1555">
        <v>17</v>
      </c>
      <c r="U1555">
        <v>78.231387897959905</v>
      </c>
      <c r="V1555" t="s">
        <v>30</v>
      </c>
      <c r="W1555">
        <v>1.3347492331089601</v>
      </c>
      <c r="X1555" t="s">
        <v>31</v>
      </c>
      <c r="Y1555" t="s">
        <v>41</v>
      </c>
      <c r="Z1555">
        <v>626.41933370000004</v>
      </c>
    </row>
    <row r="1556" spans="1:26" x14ac:dyDescent="0.3">
      <c r="A1556" t="s">
        <v>49</v>
      </c>
      <c r="B1556" t="s">
        <v>1612</v>
      </c>
      <c r="C1556">
        <v>53.667051938131003</v>
      </c>
      <c r="D1556">
        <v>86</v>
      </c>
      <c r="E1556">
        <v>304</v>
      </c>
      <c r="F1556">
        <v>3037.866446</v>
      </c>
      <c r="G1556" t="s">
        <v>35</v>
      </c>
      <c r="H1556">
        <v>48</v>
      </c>
      <c r="I1556">
        <v>23</v>
      </c>
      <c r="J1556">
        <v>66</v>
      </c>
      <c r="K1556">
        <v>2</v>
      </c>
      <c r="L1556" t="s">
        <v>36</v>
      </c>
      <c r="M1556">
        <v>2.3274190486289901</v>
      </c>
      <c r="N1556" t="s">
        <v>28</v>
      </c>
      <c r="O1556" t="s">
        <v>67</v>
      </c>
      <c r="P1556">
        <f>VLOOKUP(O1556, Coordinates!$A$2:$C$6, 2, FALSE)</f>
        <v>40.712800000000001</v>
      </c>
      <c r="Q1556">
        <f>VLOOKUP(O1556, Coordinates!$A$2:$C$6, 3, FALSE)</f>
        <v>-74.006</v>
      </c>
      <c r="R1556">
        <v>19</v>
      </c>
      <c r="S1556">
        <v>755</v>
      </c>
      <c r="T1556">
        <v>3</v>
      </c>
      <c r="U1556">
        <v>37.680543251255699</v>
      </c>
      <c r="V1556" t="s">
        <v>55</v>
      </c>
      <c r="W1556">
        <v>1.4248459769633901</v>
      </c>
      <c r="X1556" t="s">
        <v>40</v>
      </c>
      <c r="Y1556" t="s">
        <v>41</v>
      </c>
      <c r="Z1556">
        <v>451.41183202910702</v>
      </c>
    </row>
    <row r="1557" spans="1:26" x14ac:dyDescent="0.3">
      <c r="A1557" t="s">
        <v>82</v>
      </c>
      <c r="B1557" t="s">
        <v>1613</v>
      </c>
      <c r="C1557">
        <v>15.857148149807999</v>
      </c>
      <c r="D1557">
        <v>64</v>
      </c>
      <c r="E1557">
        <v>676</v>
      </c>
      <c r="F1557">
        <v>5326.4265083591999</v>
      </c>
      <c r="G1557" t="s">
        <v>54</v>
      </c>
      <c r="H1557">
        <v>47</v>
      </c>
      <c r="I1557">
        <v>28</v>
      </c>
      <c r="J1557">
        <v>51</v>
      </c>
      <c r="K1557">
        <v>4</v>
      </c>
      <c r="L1557" t="s">
        <v>27</v>
      </c>
      <c r="M1557">
        <v>8.8321587610405601</v>
      </c>
      <c r="N1557" t="s">
        <v>57</v>
      </c>
      <c r="O1557" t="s">
        <v>65</v>
      </c>
      <c r="P1557">
        <f>VLOOKUP(O1557, Coordinates!$A$2:$C$6, 2, FALSE)</f>
        <v>41.878100000000003</v>
      </c>
      <c r="Q1557">
        <f>VLOOKUP(O1557, Coordinates!$A$2:$C$6, 3, FALSE)</f>
        <v>-87.629800000000003</v>
      </c>
      <c r="R1557">
        <v>6</v>
      </c>
      <c r="S1557">
        <v>383</v>
      </c>
      <c r="T1557">
        <v>20</v>
      </c>
      <c r="U1557">
        <v>39.572027002036101</v>
      </c>
      <c r="V1557" t="s">
        <v>30</v>
      </c>
      <c r="W1557">
        <v>3.1590583179244098</v>
      </c>
      <c r="X1557" t="s">
        <v>31</v>
      </c>
      <c r="Y1557" t="s">
        <v>41</v>
      </c>
      <c r="Z1557">
        <v>569.168153871031</v>
      </c>
    </row>
    <row r="1558" spans="1:26" x14ac:dyDescent="0.3">
      <c r="A1558" t="s">
        <v>33</v>
      </c>
      <c r="B1558" t="s">
        <v>1614</v>
      </c>
      <c r="C1558">
        <v>77.656092383631304</v>
      </c>
      <c r="D1558">
        <v>45</v>
      </c>
      <c r="E1558">
        <v>782</v>
      </c>
      <c r="F1558">
        <v>5489.65921369846</v>
      </c>
      <c r="G1558" t="s">
        <v>54</v>
      </c>
      <c r="H1558">
        <v>72</v>
      </c>
      <c r="I1558">
        <v>1</v>
      </c>
      <c r="J1558">
        <v>18</v>
      </c>
      <c r="K1558">
        <v>1</v>
      </c>
      <c r="L1558" t="s">
        <v>44</v>
      </c>
      <c r="M1558">
        <v>2.5790959299749199</v>
      </c>
      <c r="N1558" t="s">
        <v>37</v>
      </c>
      <c r="O1558" t="s">
        <v>38</v>
      </c>
      <c r="P1558">
        <f>VLOOKUP(O1558, Coordinates!$A$2:$C$6, 2, FALSE)</f>
        <v>25.761700000000001</v>
      </c>
      <c r="Q1558">
        <f>VLOOKUP(O1558, Coordinates!$A$2:$C$6, 3, FALSE)</f>
        <v>-80.191800000000001</v>
      </c>
      <c r="R1558">
        <v>11</v>
      </c>
      <c r="S1558">
        <v>284</v>
      </c>
      <c r="T1558">
        <v>18</v>
      </c>
      <c r="U1558">
        <v>29.7713305515821</v>
      </c>
      <c r="V1558" t="s">
        <v>30</v>
      </c>
      <c r="W1558">
        <v>3.2558219833097302</v>
      </c>
      <c r="X1558" t="s">
        <v>40</v>
      </c>
      <c r="Y1558" t="s">
        <v>41</v>
      </c>
      <c r="Z1558">
        <v>496.635486562685</v>
      </c>
    </row>
    <row r="1559" spans="1:26" x14ac:dyDescent="0.3">
      <c r="A1559" t="s">
        <v>24</v>
      </c>
      <c r="B1559" t="s">
        <v>1615</v>
      </c>
      <c r="C1559">
        <v>30.275485923082702</v>
      </c>
      <c r="D1559">
        <v>26</v>
      </c>
      <c r="E1559">
        <v>836</v>
      </c>
      <c r="F1559">
        <v>22779.275608527401</v>
      </c>
      <c r="G1559" t="s">
        <v>26</v>
      </c>
      <c r="H1559">
        <v>87</v>
      </c>
      <c r="I1559">
        <v>26</v>
      </c>
      <c r="J1559">
        <v>15</v>
      </c>
      <c r="K1559">
        <v>2</v>
      </c>
      <c r="L1559" t="s">
        <v>44</v>
      </c>
      <c r="M1559">
        <v>3.18568123447373</v>
      </c>
      <c r="N1559" t="s">
        <v>37</v>
      </c>
      <c r="O1559" t="s">
        <v>29</v>
      </c>
      <c r="P1559">
        <f>VLOOKUP(O1559, Coordinates!$A$2:$C$6, 2, FALSE)</f>
        <v>29.760400000000001</v>
      </c>
      <c r="Q1559">
        <f>VLOOKUP(O1559, Coordinates!$A$2:$C$6, 3, FALSE)</f>
        <v>-95.369799999999998</v>
      </c>
      <c r="R1559">
        <v>30</v>
      </c>
      <c r="S1559">
        <v>253</v>
      </c>
      <c r="T1559">
        <v>30</v>
      </c>
      <c r="U1559">
        <v>84.508973970434198</v>
      </c>
      <c r="V1559" t="s">
        <v>55</v>
      </c>
      <c r="W1559">
        <v>1.0315769747185599</v>
      </c>
      <c r="X1559" t="s">
        <v>52</v>
      </c>
      <c r="Y1559" t="s">
        <v>41</v>
      </c>
      <c r="Z1559">
        <v>547.11837470019202</v>
      </c>
    </row>
    <row r="1560" spans="1:26" x14ac:dyDescent="0.3">
      <c r="A1560" t="s">
        <v>61</v>
      </c>
      <c r="B1560" t="s">
        <v>1616</v>
      </c>
      <c r="C1560">
        <v>78.433738524030701</v>
      </c>
      <c r="D1560">
        <v>77</v>
      </c>
      <c r="E1560">
        <v>236</v>
      </c>
      <c r="F1560">
        <v>3446.74654053324</v>
      </c>
      <c r="G1560" t="s">
        <v>48</v>
      </c>
      <c r="H1560">
        <v>99</v>
      </c>
      <c r="I1560">
        <v>7</v>
      </c>
      <c r="J1560">
        <v>66</v>
      </c>
      <c r="K1560">
        <v>4</v>
      </c>
      <c r="L1560" t="s">
        <v>44</v>
      </c>
      <c r="M1560">
        <v>14.7504535690327</v>
      </c>
      <c r="N1560" t="s">
        <v>28</v>
      </c>
      <c r="O1560" t="s">
        <v>65</v>
      </c>
      <c r="P1560">
        <f>VLOOKUP(O1560, Coordinates!$A$2:$C$6, 2, FALSE)</f>
        <v>41.878100000000003</v>
      </c>
      <c r="Q1560">
        <f>VLOOKUP(O1560, Coordinates!$A$2:$C$6, 3, FALSE)</f>
        <v>-87.629800000000003</v>
      </c>
      <c r="R1560">
        <v>18</v>
      </c>
      <c r="S1560">
        <v>953</v>
      </c>
      <c r="T1560">
        <v>12</v>
      </c>
      <c r="U1560">
        <v>77.2306121765602</v>
      </c>
      <c r="V1560" t="s">
        <v>39</v>
      </c>
      <c r="W1560">
        <v>1.0805029883125501</v>
      </c>
      <c r="X1560" t="s">
        <v>40</v>
      </c>
      <c r="Y1560" t="s">
        <v>60</v>
      </c>
      <c r="Z1560">
        <v>197.71545413620501</v>
      </c>
    </row>
    <row r="1561" spans="1:26" x14ac:dyDescent="0.3">
      <c r="A1561" t="s">
        <v>49</v>
      </c>
      <c r="B1561" t="s">
        <v>1617</v>
      </c>
      <c r="C1561">
        <v>95.386992730000003</v>
      </c>
      <c r="D1561">
        <v>65</v>
      </c>
      <c r="E1561">
        <v>979</v>
      </c>
      <c r="F1561">
        <v>2527.3471523971998</v>
      </c>
      <c r="G1561" t="s">
        <v>54</v>
      </c>
      <c r="H1561">
        <v>28</v>
      </c>
      <c r="I1561">
        <v>15</v>
      </c>
      <c r="J1561">
        <v>85</v>
      </c>
      <c r="K1561">
        <v>6</v>
      </c>
      <c r="L1561" t="s">
        <v>44</v>
      </c>
      <c r="M1561">
        <v>5.4338726648591003</v>
      </c>
      <c r="N1561" t="s">
        <v>37</v>
      </c>
      <c r="O1561" t="s">
        <v>67</v>
      </c>
      <c r="P1561">
        <f>VLOOKUP(O1561, Coordinates!$A$2:$C$6, 2, FALSE)</f>
        <v>40.712800000000001</v>
      </c>
      <c r="Q1561">
        <f>VLOOKUP(O1561, Coordinates!$A$2:$C$6, 3, FALSE)</f>
        <v>-74.006</v>
      </c>
      <c r="R1561">
        <v>14</v>
      </c>
      <c r="S1561">
        <v>217</v>
      </c>
      <c r="T1561">
        <v>22</v>
      </c>
      <c r="U1561">
        <v>64.823296436582694</v>
      </c>
      <c r="V1561" t="s">
        <v>55</v>
      </c>
      <c r="W1561">
        <v>4.64106342259584</v>
      </c>
      <c r="X1561" t="s">
        <v>31</v>
      </c>
      <c r="Y1561" t="s">
        <v>32</v>
      </c>
      <c r="Z1561">
        <v>113.07988162317</v>
      </c>
    </row>
    <row r="1562" spans="1:26" x14ac:dyDescent="0.3">
      <c r="A1562" t="s">
        <v>72</v>
      </c>
      <c r="B1562" t="s">
        <v>1618</v>
      </c>
      <c r="C1562">
        <v>27.378182619383999</v>
      </c>
      <c r="D1562">
        <v>24</v>
      </c>
      <c r="E1562">
        <v>841</v>
      </c>
      <c r="F1562">
        <v>20722.546424611701</v>
      </c>
      <c r="G1562" t="s">
        <v>54</v>
      </c>
      <c r="H1562">
        <v>59</v>
      </c>
      <c r="I1562">
        <v>26</v>
      </c>
      <c r="J1562">
        <v>39</v>
      </c>
      <c r="K1562">
        <v>4</v>
      </c>
      <c r="L1562" t="s">
        <v>27</v>
      </c>
      <c r="M1562">
        <v>9.1821066547005898</v>
      </c>
      <c r="N1562" t="s">
        <v>28</v>
      </c>
      <c r="O1562" t="s">
        <v>58</v>
      </c>
      <c r="P1562">
        <f>VLOOKUP(O1562, Coordinates!$A$2:$C$6, 2, FALSE)</f>
        <v>34.052199999999999</v>
      </c>
      <c r="Q1562">
        <f>VLOOKUP(O1562, Coordinates!$A$2:$C$6, 3, FALSE)</f>
        <v>-118.2437</v>
      </c>
      <c r="R1562">
        <v>16</v>
      </c>
      <c r="S1562">
        <v>366</v>
      </c>
      <c r="T1562">
        <v>24</v>
      </c>
      <c r="U1562">
        <v>75.318895086747702</v>
      </c>
      <c r="V1562" t="s">
        <v>30</v>
      </c>
      <c r="W1562">
        <v>3.7814940883140502</v>
      </c>
      <c r="X1562" t="s">
        <v>40</v>
      </c>
      <c r="Y1562" t="s">
        <v>32</v>
      </c>
      <c r="Z1562">
        <v>406.16866239853999</v>
      </c>
    </row>
    <row r="1563" spans="1:26" x14ac:dyDescent="0.3">
      <c r="A1563" t="s">
        <v>72</v>
      </c>
      <c r="B1563" t="s">
        <v>1619</v>
      </c>
      <c r="C1563">
        <v>27.216837167783201</v>
      </c>
      <c r="D1563">
        <v>74</v>
      </c>
      <c r="E1563">
        <v>72</v>
      </c>
      <c r="F1563">
        <v>1763.6510484723501</v>
      </c>
      <c r="G1563" t="s">
        <v>54</v>
      </c>
      <c r="H1563">
        <v>28</v>
      </c>
      <c r="I1563">
        <v>11</v>
      </c>
      <c r="J1563">
        <v>64</v>
      </c>
      <c r="K1563">
        <v>4</v>
      </c>
      <c r="L1563" t="s">
        <v>27</v>
      </c>
      <c r="M1563">
        <v>4.8112471882668899</v>
      </c>
      <c r="N1563" t="s">
        <v>51</v>
      </c>
      <c r="O1563" t="s">
        <v>58</v>
      </c>
      <c r="P1563">
        <f>VLOOKUP(O1563, Coordinates!$A$2:$C$6, 2, FALSE)</f>
        <v>34.052199999999999</v>
      </c>
      <c r="Q1563">
        <f>VLOOKUP(O1563, Coordinates!$A$2:$C$6, 3, FALSE)</f>
        <v>-118.2437</v>
      </c>
      <c r="R1563">
        <v>1</v>
      </c>
      <c r="S1563">
        <v>484</v>
      </c>
      <c r="T1563">
        <v>16</v>
      </c>
      <c r="U1563">
        <v>75.216853658649399</v>
      </c>
      <c r="V1563" t="s">
        <v>30</v>
      </c>
      <c r="W1563">
        <v>4.6713484926585904</v>
      </c>
      <c r="X1563" t="s">
        <v>31</v>
      </c>
      <c r="Y1563" t="s">
        <v>60</v>
      </c>
      <c r="Z1563">
        <v>329.084987400057</v>
      </c>
    </row>
    <row r="1564" spans="1:26" x14ac:dyDescent="0.3">
      <c r="A1564" t="s">
        <v>49</v>
      </c>
      <c r="B1564" t="s">
        <v>1620</v>
      </c>
      <c r="C1564">
        <v>86.444345724279799</v>
      </c>
      <c r="D1564">
        <v>35</v>
      </c>
      <c r="E1564">
        <v>510</v>
      </c>
      <c r="F1564">
        <v>5160.9564771335399</v>
      </c>
      <c r="G1564" t="s">
        <v>54</v>
      </c>
      <c r="H1564">
        <v>57</v>
      </c>
      <c r="I1564">
        <v>6</v>
      </c>
      <c r="J1564">
        <v>93</v>
      </c>
      <c r="K1564">
        <v>10</v>
      </c>
      <c r="L1564" t="s">
        <v>36</v>
      </c>
      <c r="M1564">
        <v>13.117132140486</v>
      </c>
      <c r="N1564" t="s">
        <v>37</v>
      </c>
      <c r="O1564" t="s">
        <v>67</v>
      </c>
      <c r="P1564">
        <f>VLOOKUP(O1564, Coordinates!$A$2:$C$6, 2, FALSE)</f>
        <v>40.712800000000001</v>
      </c>
      <c r="Q1564">
        <f>VLOOKUP(O1564, Coordinates!$A$2:$C$6, 3, FALSE)</f>
        <v>-74.006</v>
      </c>
      <c r="R1564">
        <v>24</v>
      </c>
      <c r="S1564">
        <v>936</v>
      </c>
      <c r="T1564">
        <v>28</v>
      </c>
      <c r="U1564">
        <v>14.524196605715099</v>
      </c>
      <c r="V1564" t="s">
        <v>30</v>
      </c>
      <c r="W1564">
        <v>4.1483149408134903</v>
      </c>
      <c r="X1564" t="s">
        <v>52</v>
      </c>
      <c r="Y1564" t="s">
        <v>32</v>
      </c>
      <c r="Z1564">
        <v>325.051943355368</v>
      </c>
    </row>
    <row r="1565" spans="1:26" x14ac:dyDescent="0.3">
      <c r="A1565" t="s">
        <v>33</v>
      </c>
      <c r="B1565" t="s">
        <v>1621</v>
      </c>
      <c r="C1565">
        <v>68.958411740000003</v>
      </c>
      <c r="D1565">
        <v>24</v>
      </c>
      <c r="E1565">
        <v>32</v>
      </c>
      <c r="F1565">
        <v>7426.78320416515</v>
      </c>
      <c r="G1565" t="s">
        <v>35</v>
      </c>
      <c r="H1565">
        <v>47</v>
      </c>
      <c r="I1565">
        <v>27</v>
      </c>
      <c r="J1565">
        <v>93</v>
      </c>
      <c r="K1565">
        <v>10</v>
      </c>
      <c r="L1565" t="s">
        <v>36</v>
      </c>
      <c r="M1565">
        <v>4.9667626722269</v>
      </c>
      <c r="N1565" t="s">
        <v>45</v>
      </c>
      <c r="O1565" t="s">
        <v>38</v>
      </c>
      <c r="P1565">
        <f>VLOOKUP(O1565, Coordinates!$A$2:$C$6, 2, FALSE)</f>
        <v>25.761700000000001</v>
      </c>
      <c r="Q1565">
        <f>VLOOKUP(O1565, Coordinates!$A$2:$C$6, 3, FALSE)</f>
        <v>-80.191800000000001</v>
      </c>
      <c r="R1565">
        <v>28</v>
      </c>
      <c r="S1565">
        <v>354</v>
      </c>
      <c r="T1565">
        <v>22</v>
      </c>
      <c r="U1565">
        <v>14.105033360066701</v>
      </c>
      <c r="V1565" t="s">
        <v>55</v>
      </c>
      <c r="W1565">
        <v>4.5166309738482502</v>
      </c>
      <c r="X1565" t="s">
        <v>31</v>
      </c>
      <c r="Y1565" t="s">
        <v>60</v>
      </c>
      <c r="Z1565">
        <v>943.38570170881201</v>
      </c>
    </row>
    <row r="1566" spans="1:26" x14ac:dyDescent="0.3">
      <c r="A1566" t="s">
        <v>33</v>
      </c>
      <c r="B1566" t="s">
        <v>1622</v>
      </c>
      <c r="C1566">
        <v>43.771310398462603</v>
      </c>
      <c r="D1566">
        <v>28</v>
      </c>
      <c r="E1566">
        <v>953</v>
      </c>
      <c r="F1566">
        <v>7623.4185274370002</v>
      </c>
      <c r="G1566" t="s">
        <v>35</v>
      </c>
      <c r="H1566">
        <v>22</v>
      </c>
      <c r="I1566">
        <v>22</v>
      </c>
      <c r="J1566">
        <v>63</v>
      </c>
      <c r="K1566">
        <v>2</v>
      </c>
      <c r="L1566" t="s">
        <v>27</v>
      </c>
      <c r="M1566">
        <v>6.1363921229248399</v>
      </c>
      <c r="N1566" t="s">
        <v>57</v>
      </c>
      <c r="O1566" t="s">
        <v>38</v>
      </c>
      <c r="P1566">
        <f>VLOOKUP(O1566, Coordinates!$A$2:$C$6, 2, FALSE)</f>
        <v>25.761700000000001</v>
      </c>
      <c r="Q1566">
        <f>VLOOKUP(O1566, Coordinates!$A$2:$C$6, 3, FALSE)</f>
        <v>-80.191800000000001</v>
      </c>
      <c r="R1566">
        <v>10</v>
      </c>
      <c r="S1566">
        <v>340</v>
      </c>
      <c r="T1566">
        <v>10</v>
      </c>
      <c r="U1566">
        <v>26.842252582749399</v>
      </c>
      <c r="V1566" t="s">
        <v>55</v>
      </c>
      <c r="W1566">
        <v>0.60953818422584005</v>
      </c>
      <c r="X1566" t="s">
        <v>46</v>
      </c>
      <c r="Y1566" t="s">
        <v>41</v>
      </c>
      <c r="Z1566">
        <v>837.08653458316303</v>
      </c>
    </row>
    <row r="1567" spans="1:26" x14ac:dyDescent="0.3">
      <c r="A1567" t="s">
        <v>42</v>
      </c>
      <c r="B1567" t="s">
        <v>1623</v>
      </c>
      <c r="C1567">
        <v>89.133877602968397</v>
      </c>
      <c r="D1567">
        <v>100</v>
      </c>
      <c r="E1567">
        <v>632</v>
      </c>
      <c r="F1567">
        <v>2244.4797491002701</v>
      </c>
      <c r="G1567" t="s">
        <v>48</v>
      </c>
      <c r="H1567">
        <v>26</v>
      </c>
      <c r="I1567">
        <v>7</v>
      </c>
      <c r="J1567">
        <v>36</v>
      </c>
      <c r="K1567">
        <v>9</v>
      </c>
      <c r="L1567" t="s">
        <v>36</v>
      </c>
      <c r="M1567">
        <v>9.5174260893404607</v>
      </c>
      <c r="N1567" t="s">
        <v>28</v>
      </c>
      <c r="O1567" t="s">
        <v>65</v>
      </c>
      <c r="P1567">
        <f>VLOOKUP(O1567, Coordinates!$A$2:$C$6, 2, FALSE)</f>
        <v>41.878100000000003</v>
      </c>
      <c r="Q1567">
        <f>VLOOKUP(O1567, Coordinates!$A$2:$C$6, 3, FALSE)</f>
        <v>-87.629800000000003</v>
      </c>
      <c r="R1567">
        <v>25</v>
      </c>
      <c r="S1567">
        <v>270</v>
      </c>
      <c r="T1567">
        <v>19</v>
      </c>
      <c r="U1567">
        <v>19.0479279090899</v>
      </c>
      <c r="V1567" t="s">
        <v>30</v>
      </c>
      <c r="W1567">
        <v>3.1477518312836801</v>
      </c>
      <c r="X1567" t="s">
        <v>52</v>
      </c>
      <c r="Y1567" t="s">
        <v>60</v>
      </c>
      <c r="Z1567">
        <v>112.033775836384</v>
      </c>
    </row>
    <row r="1568" spans="1:26" x14ac:dyDescent="0.3">
      <c r="A1568" t="s">
        <v>72</v>
      </c>
      <c r="B1568" t="s">
        <v>1624</v>
      </c>
      <c r="C1568">
        <v>27.082177244757599</v>
      </c>
      <c r="D1568">
        <v>80</v>
      </c>
      <c r="E1568">
        <v>55</v>
      </c>
      <c r="F1568">
        <v>1340.5677736155001</v>
      </c>
      <c r="G1568" t="s">
        <v>26</v>
      </c>
      <c r="H1568">
        <v>94</v>
      </c>
      <c r="I1568">
        <v>7</v>
      </c>
      <c r="J1568">
        <v>93</v>
      </c>
      <c r="K1568">
        <v>10</v>
      </c>
      <c r="L1568" t="s">
        <v>27</v>
      </c>
      <c r="M1568">
        <v>13.179813907024201</v>
      </c>
      <c r="N1568" t="s">
        <v>37</v>
      </c>
      <c r="O1568" t="s">
        <v>29</v>
      </c>
      <c r="P1568">
        <f>VLOOKUP(O1568, Coordinates!$A$2:$C$6, 2, FALSE)</f>
        <v>29.760400000000001</v>
      </c>
      <c r="Q1568">
        <f>VLOOKUP(O1568, Coordinates!$A$2:$C$6, 3, FALSE)</f>
        <v>-95.369799999999998</v>
      </c>
      <c r="R1568">
        <v>10</v>
      </c>
      <c r="S1568">
        <v>716</v>
      </c>
      <c r="T1568">
        <v>9</v>
      </c>
      <c r="U1568">
        <v>89.709519992690502</v>
      </c>
      <c r="V1568" t="s">
        <v>30</v>
      </c>
      <c r="W1568">
        <v>1.75995531128827</v>
      </c>
      <c r="X1568" t="s">
        <v>40</v>
      </c>
      <c r="Y1568" t="s">
        <v>32</v>
      </c>
      <c r="Z1568">
        <v>107.847289367073</v>
      </c>
    </row>
    <row r="1569" spans="1:26" x14ac:dyDescent="0.3">
      <c r="A1569" t="s">
        <v>42</v>
      </c>
      <c r="B1569" t="s">
        <v>1625</v>
      </c>
      <c r="C1569">
        <v>72.890921120000002</v>
      </c>
      <c r="D1569">
        <v>16</v>
      </c>
      <c r="E1569">
        <v>697</v>
      </c>
      <c r="F1569">
        <v>8389.2875238678698</v>
      </c>
      <c r="G1569" t="s">
        <v>26</v>
      </c>
      <c r="H1569">
        <v>6</v>
      </c>
      <c r="I1569">
        <v>1</v>
      </c>
      <c r="J1569">
        <v>68</v>
      </c>
      <c r="K1569">
        <v>8</v>
      </c>
      <c r="L1569" t="s">
        <v>44</v>
      </c>
      <c r="M1569">
        <v>12.426998163434099</v>
      </c>
      <c r="N1569" t="s">
        <v>37</v>
      </c>
      <c r="O1569" t="s">
        <v>58</v>
      </c>
      <c r="P1569">
        <f>VLOOKUP(O1569, Coordinates!$A$2:$C$6, 2, FALSE)</f>
        <v>34.052199999999999</v>
      </c>
      <c r="Q1569">
        <f>VLOOKUP(O1569, Coordinates!$A$2:$C$6, 3, FALSE)</f>
        <v>-118.2437</v>
      </c>
      <c r="R1569">
        <v>13</v>
      </c>
      <c r="S1569">
        <v>647</v>
      </c>
      <c r="T1569">
        <v>14</v>
      </c>
      <c r="U1569">
        <v>42.228111501502902</v>
      </c>
      <c r="V1569" t="s">
        <v>30</v>
      </c>
      <c r="W1569">
        <v>2.1270599529590899</v>
      </c>
      <c r="X1569" t="s">
        <v>40</v>
      </c>
      <c r="Y1569" t="s">
        <v>32</v>
      </c>
      <c r="Z1569">
        <v>799.20993242912698</v>
      </c>
    </row>
    <row r="1570" spans="1:26" x14ac:dyDescent="0.3">
      <c r="A1570" t="s">
        <v>72</v>
      </c>
      <c r="B1570" t="s">
        <v>1626</v>
      </c>
      <c r="C1570">
        <v>29.457959609994301</v>
      </c>
      <c r="D1570">
        <v>59</v>
      </c>
      <c r="E1570">
        <v>264</v>
      </c>
      <c r="F1570">
        <v>6999.2112033346502</v>
      </c>
      <c r="G1570" t="s">
        <v>26</v>
      </c>
      <c r="H1570">
        <v>48</v>
      </c>
      <c r="I1570">
        <v>10</v>
      </c>
      <c r="J1570">
        <v>16</v>
      </c>
      <c r="K1570">
        <v>8</v>
      </c>
      <c r="L1570" t="s">
        <v>27</v>
      </c>
      <c r="M1570">
        <v>4.6940383977974802</v>
      </c>
      <c r="N1570" t="s">
        <v>28</v>
      </c>
      <c r="O1570" t="s">
        <v>67</v>
      </c>
      <c r="P1570">
        <f>VLOOKUP(O1570, Coordinates!$A$2:$C$6, 2, FALSE)</f>
        <v>40.712800000000001</v>
      </c>
      <c r="Q1570">
        <f>VLOOKUP(O1570, Coordinates!$A$2:$C$6, 3, FALSE)</f>
        <v>-74.006</v>
      </c>
      <c r="R1570">
        <v>28</v>
      </c>
      <c r="S1570">
        <v>677</v>
      </c>
      <c r="T1570">
        <v>20</v>
      </c>
      <c r="U1570">
        <v>91.164167426788097</v>
      </c>
      <c r="V1570" t="s">
        <v>55</v>
      </c>
      <c r="W1570">
        <v>2.1293987047202898</v>
      </c>
      <c r="X1570" t="s">
        <v>31</v>
      </c>
      <c r="Y1570" t="s">
        <v>32</v>
      </c>
      <c r="Z1570">
        <v>986.37452265797901</v>
      </c>
    </row>
    <row r="1571" spans="1:26" x14ac:dyDescent="0.3">
      <c r="A1571" t="s">
        <v>24</v>
      </c>
      <c r="B1571" t="s">
        <v>1627</v>
      </c>
      <c r="C1571">
        <v>22.202483413559801</v>
      </c>
      <c r="D1571">
        <v>81</v>
      </c>
      <c r="E1571">
        <v>595</v>
      </c>
      <c r="F1571">
        <v>11889.4298679612</v>
      </c>
      <c r="G1571" t="s">
        <v>54</v>
      </c>
      <c r="H1571">
        <v>53</v>
      </c>
      <c r="I1571">
        <v>21</v>
      </c>
      <c r="J1571">
        <v>49</v>
      </c>
      <c r="K1571">
        <v>5</v>
      </c>
      <c r="L1571" t="s">
        <v>27</v>
      </c>
      <c r="M1571">
        <v>12.613769404937401</v>
      </c>
      <c r="N1571" t="s">
        <v>45</v>
      </c>
      <c r="O1571" t="s">
        <v>38</v>
      </c>
      <c r="P1571">
        <f>VLOOKUP(O1571, Coordinates!$A$2:$C$6, 2, FALSE)</f>
        <v>25.761700000000001</v>
      </c>
      <c r="Q1571">
        <f>VLOOKUP(O1571, Coordinates!$A$2:$C$6, 3, FALSE)</f>
        <v>-80.191800000000001</v>
      </c>
      <c r="R1571">
        <v>28</v>
      </c>
      <c r="S1571">
        <v>284</v>
      </c>
      <c r="T1571">
        <v>14</v>
      </c>
      <c r="U1571">
        <v>79.082544255071596</v>
      </c>
      <c r="V1571" t="s">
        <v>39</v>
      </c>
      <c r="W1571">
        <v>4.5631238986431502</v>
      </c>
      <c r="X1571" t="s">
        <v>46</v>
      </c>
      <c r="Y1571" t="s">
        <v>60</v>
      </c>
      <c r="Z1571">
        <v>518.68572359224095</v>
      </c>
    </row>
    <row r="1572" spans="1:26" x14ac:dyDescent="0.3">
      <c r="A1572" t="s">
        <v>24</v>
      </c>
      <c r="B1572" t="s">
        <v>1628</v>
      </c>
      <c r="C1572">
        <v>33.234124014205101</v>
      </c>
      <c r="D1572">
        <v>54</v>
      </c>
      <c r="E1572">
        <v>789</v>
      </c>
      <c r="F1572">
        <v>23599.551462487001</v>
      </c>
      <c r="G1572" t="s">
        <v>35</v>
      </c>
      <c r="H1572">
        <v>67</v>
      </c>
      <c r="I1572">
        <v>15</v>
      </c>
      <c r="J1572">
        <v>81</v>
      </c>
      <c r="K1572">
        <v>3</v>
      </c>
      <c r="L1572" t="s">
        <v>36</v>
      </c>
      <c r="M1572">
        <v>10.8167344154734</v>
      </c>
      <c r="N1572" t="s">
        <v>37</v>
      </c>
      <c r="O1572" t="s">
        <v>65</v>
      </c>
      <c r="P1572">
        <f>VLOOKUP(O1572, Coordinates!$A$2:$C$6, 2, FALSE)</f>
        <v>41.878100000000003</v>
      </c>
      <c r="Q1572">
        <f>VLOOKUP(O1572, Coordinates!$A$2:$C$6, 3, FALSE)</f>
        <v>-87.629800000000003</v>
      </c>
      <c r="R1572">
        <v>3</v>
      </c>
      <c r="S1572">
        <v>801</v>
      </c>
      <c r="T1572">
        <v>22</v>
      </c>
      <c r="U1572">
        <v>86.877541298765294</v>
      </c>
      <c r="V1572" t="s">
        <v>55</v>
      </c>
      <c r="W1572">
        <v>0.34431209596296802</v>
      </c>
      <c r="X1572" t="s">
        <v>52</v>
      </c>
      <c r="Y1572" t="s">
        <v>60</v>
      </c>
      <c r="Z1572">
        <v>489.81678833414998</v>
      </c>
    </row>
    <row r="1573" spans="1:26" x14ac:dyDescent="0.3">
      <c r="A1573" t="s">
        <v>61</v>
      </c>
      <c r="B1573" t="s">
        <v>1629</v>
      </c>
      <c r="C1573">
        <v>76.500637936824404</v>
      </c>
      <c r="D1573">
        <v>79</v>
      </c>
      <c r="E1573">
        <v>624</v>
      </c>
      <c r="F1573">
        <v>2245.4070628772602</v>
      </c>
      <c r="G1573" t="s">
        <v>35</v>
      </c>
      <c r="H1573">
        <v>77</v>
      </c>
      <c r="I1573">
        <v>30</v>
      </c>
      <c r="J1573">
        <v>11</v>
      </c>
      <c r="K1573">
        <v>6</v>
      </c>
      <c r="L1573" t="s">
        <v>27</v>
      </c>
      <c r="M1573">
        <v>14.8575988657542</v>
      </c>
      <c r="N1573" t="s">
        <v>51</v>
      </c>
      <c r="O1573" t="s">
        <v>29</v>
      </c>
      <c r="P1573">
        <f>VLOOKUP(O1573, Coordinates!$A$2:$C$6, 2, FALSE)</f>
        <v>29.760400000000001</v>
      </c>
      <c r="Q1573">
        <f>VLOOKUP(O1573, Coordinates!$A$2:$C$6, 3, FALSE)</f>
        <v>-95.369799999999998</v>
      </c>
      <c r="R1573">
        <v>14</v>
      </c>
      <c r="S1573">
        <v>766</v>
      </c>
      <c r="T1573">
        <v>4</v>
      </c>
      <c r="U1573">
        <v>68.338154789431997</v>
      </c>
      <c r="V1573" t="s">
        <v>30</v>
      </c>
      <c r="W1573">
        <v>0.96551880700000003</v>
      </c>
      <c r="X1573" t="s">
        <v>40</v>
      </c>
      <c r="Y1573" t="s">
        <v>60</v>
      </c>
      <c r="Z1573">
        <v>348.24207259999997</v>
      </c>
    </row>
    <row r="1574" spans="1:26" x14ac:dyDescent="0.3">
      <c r="A1574" t="s">
        <v>24</v>
      </c>
      <c r="B1574" t="s">
        <v>1630</v>
      </c>
      <c r="C1574">
        <v>26.827470308491201</v>
      </c>
      <c r="D1574">
        <v>16</v>
      </c>
      <c r="E1574">
        <v>967</v>
      </c>
      <c r="F1574">
        <v>23347.947409479901</v>
      </c>
      <c r="G1574" t="s">
        <v>48</v>
      </c>
      <c r="H1574">
        <v>41</v>
      </c>
      <c r="I1574">
        <v>30</v>
      </c>
      <c r="J1574">
        <v>23</v>
      </c>
      <c r="K1574">
        <v>9</v>
      </c>
      <c r="L1574" t="s">
        <v>44</v>
      </c>
      <c r="M1574">
        <v>14.0962673518075</v>
      </c>
      <c r="N1574" t="s">
        <v>57</v>
      </c>
      <c r="O1574" t="s">
        <v>65</v>
      </c>
      <c r="P1574">
        <f>VLOOKUP(O1574, Coordinates!$A$2:$C$6, 2, FALSE)</f>
        <v>41.878100000000003</v>
      </c>
      <c r="Q1574">
        <f>VLOOKUP(O1574, Coordinates!$A$2:$C$6, 3, FALSE)</f>
        <v>-87.629800000000003</v>
      </c>
      <c r="R1574">
        <v>21</v>
      </c>
      <c r="S1574">
        <v>992</v>
      </c>
      <c r="T1574">
        <v>15</v>
      </c>
      <c r="U1574">
        <v>79.320155969440194</v>
      </c>
      <c r="V1574" t="s">
        <v>30</v>
      </c>
      <c r="W1574">
        <v>3.0397143550747101</v>
      </c>
      <c r="X1574" t="s">
        <v>31</v>
      </c>
      <c r="Y1574" t="s">
        <v>32</v>
      </c>
      <c r="Z1574">
        <v>699.97036676391201</v>
      </c>
    </row>
    <row r="1575" spans="1:26" x14ac:dyDescent="0.3">
      <c r="A1575" t="s">
        <v>61</v>
      </c>
      <c r="B1575" t="s">
        <v>1631</v>
      </c>
      <c r="C1575">
        <v>88.046214804917398</v>
      </c>
      <c r="D1575">
        <v>15</v>
      </c>
      <c r="E1575">
        <v>590</v>
      </c>
      <c r="F1575">
        <v>5226.8883125646098</v>
      </c>
      <c r="G1575" t="s">
        <v>26</v>
      </c>
      <c r="H1575">
        <v>73</v>
      </c>
      <c r="I1575">
        <v>8</v>
      </c>
      <c r="J1575">
        <v>19</v>
      </c>
      <c r="K1575">
        <v>8</v>
      </c>
      <c r="L1575" t="s">
        <v>44</v>
      </c>
      <c r="M1575">
        <v>8.4639141086352794</v>
      </c>
      <c r="N1575" t="s">
        <v>28</v>
      </c>
      <c r="O1575" t="s">
        <v>29</v>
      </c>
      <c r="P1575">
        <f>VLOOKUP(O1575, Coordinates!$A$2:$C$6, 2, FALSE)</f>
        <v>29.760400000000001</v>
      </c>
      <c r="Q1575">
        <f>VLOOKUP(O1575, Coordinates!$A$2:$C$6, 3, FALSE)</f>
        <v>-95.369799999999998</v>
      </c>
      <c r="R1575">
        <v>16</v>
      </c>
      <c r="S1575">
        <v>509</v>
      </c>
      <c r="T1575">
        <v>20</v>
      </c>
      <c r="U1575">
        <v>82.866431826649205</v>
      </c>
      <c r="V1575" t="s">
        <v>55</v>
      </c>
      <c r="W1575">
        <v>4.4187903294344597</v>
      </c>
      <c r="X1575" t="s">
        <v>46</v>
      </c>
      <c r="Y1575" t="s">
        <v>60</v>
      </c>
      <c r="Z1575">
        <v>524.48447014575299</v>
      </c>
    </row>
    <row r="1576" spans="1:26" x14ac:dyDescent="0.3">
      <c r="A1576" t="s">
        <v>24</v>
      </c>
      <c r="B1576" t="s">
        <v>1632</v>
      </c>
      <c r="C1576">
        <v>31.230852605273601</v>
      </c>
      <c r="D1576">
        <v>98</v>
      </c>
      <c r="E1576">
        <v>691</v>
      </c>
      <c r="F1576">
        <v>19422.467235219599</v>
      </c>
      <c r="G1576" t="s">
        <v>35</v>
      </c>
      <c r="H1576">
        <v>58</v>
      </c>
      <c r="I1576">
        <v>24</v>
      </c>
      <c r="J1576">
        <v>59</v>
      </c>
      <c r="K1576">
        <v>7</v>
      </c>
      <c r="L1576" t="s">
        <v>36</v>
      </c>
      <c r="M1576">
        <v>11.4990006686955</v>
      </c>
      <c r="N1576" t="s">
        <v>37</v>
      </c>
      <c r="O1576" t="s">
        <v>65</v>
      </c>
      <c r="P1576">
        <f>VLOOKUP(O1576, Coordinates!$A$2:$C$6, 2, FALSE)</f>
        <v>41.878100000000003</v>
      </c>
      <c r="Q1576">
        <f>VLOOKUP(O1576, Coordinates!$A$2:$C$6, 3, FALSE)</f>
        <v>-87.629800000000003</v>
      </c>
      <c r="R1576">
        <v>23</v>
      </c>
      <c r="S1576">
        <v>838</v>
      </c>
      <c r="T1576">
        <v>27</v>
      </c>
      <c r="U1576">
        <v>89.684268256526096</v>
      </c>
      <c r="V1576" t="s">
        <v>30</v>
      </c>
      <c r="W1576">
        <v>4.5897132593499501</v>
      </c>
      <c r="X1576" t="s">
        <v>40</v>
      </c>
      <c r="Y1576" t="s">
        <v>60</v>
      </c>
      <c r="Z1576">
        <v>250.76683778658099</v>
      </c>
    </row>
    <row r="1577" spans="1:26" x14ac:dyDescent="0.3">
      <c r="A1577" t="s">
        <v>82</v>
      </c>
      <c r="B1577" t="s">
        <v>1633</v>
      </c>
      <c r="C1577">
        <v>17.101709520032198</v>
      </c>
      <c r="D1577">
        <v>11</v>
      </c>
      <c r="E1577">
        <v>188</v>
      </c>
      <c r="F1577">
        <v>7716.2940491518402</v>
      </c>
      <c r="G1577" t="s">
        <v>48</v>
      </c>
      <c r="H1577">
        <v>43</v>
      </c>
      <c r="I1577">
        <v>19</v>
      </c>
      <c r="J1577">
        <v>27</v>
      </c>
      <c r="K1577">
        <v>8</v>
      </c>
      <c r="L1577" t="s">
        <v>36</v>
      </c>
      <c r="M1577">
        <v>8.9825158278211905</v>
      </c>
      <c r="N1577" t="s">
        <v>57</v>
      </c>
      <c r="O1577" t="s">
        <v>38</v>
      </c>
      <c r="P1577">
        <f>VLOOKUP(O1577, Coordinates!$A$2:$C$6, 2, FALSE)</f>
        <v>25.761700000000001</v>
      </c>
      <c r="Q1577">
        <f>VLOOKUP(O1577, Coordinates!$A$2:$C$6, 3, FALSE)</f>
        <v>-80.191800000000001</v>
      </c>
      <c r="R1577">
        <v>26</v>
      </c>
      <c r="S1577">
        <v>752</v>
      </c>
      <c r="T1577">
        <v>2</v>
      </c>
      <c r="U1577">
        <v>38.434451250087498</v>
      </c>
      <c r="V1577" t="s">
        <v>39</v>
      </c>
      <c r="W1577">
        <v>2.7934646325746502</v>
      </c>
      <c r="X1577" t="s">
        <v>31</v>
      </c>
      <c r="Y1577" t="s">
        <v>32</v>
      </c>
      <c r="Z1577">
        <v>533.23718741450296</v>
      </c>
    </row>
    <row r="1578" spans="1:26" x14ac:dyDescent="0.3">
      <c r="A1578" t="s">
        <v>24</v>
      </c>
      <c r="B1578" t="s">
        <v>1634</v>
      </c>
      <c r="C1578">
        <v>30.530353232610899</v>
      </c>
      <c r="D1578">
        <v>65</v>
      </c>
      <c r="E1578">
        <v>27</v>
      </c>
      <c r="F1578">
        <v>741.88758355244704</v>
      </c>
      <c r="G1578" t="s">
        <v>26</v>
      </c>
      <c r="H1578">
        <v>97</v>
      </c>
      <c r="I1578">
        <v>3</v>
      </c>
      <c r="J1578">
        <v>27</v>
      </c>
      <c r="K1578">
        <v>4</v>
      </c>
      <c r="L1578" t="s">
        <v>27</v>
      </c>
      <c r="M1578">
        <v>9.3299361896096098</v>
      </c>
      <c r="N1578" t="s">
        <v>28</v>
      </c>
      <c r="O1578" t="s">
        <v>38</v>
      </c>
      <c r="P1578">
        <f>VLOOKUP(O1578, Coordinates!$A$2:$C$6, 2, FALSE)</f>
        <v>25.761700000000001</v>
      </c>
      <c r="Q1578">
        <f>VLOOKUP(O1578, Coordinates!$A$2:$C$6, 3, FALSE)</f>
        <v>-80.191800000000001</v>
      </c>
      <c r="R1578">
        <v>20</v>
      </c>
      <c r="S1578">
        <v>687</v>
      </c>
      <c r="T1578">
        <v>26</v>
      </c>
      <c r="U1578">
        <v>83.410344283045006</v>
      </c>
      <c r="V1578" t="s">
        <v>55</v>
      </c>
      <c r="W1578">
        <v>0.172806094171983</v>
      </c>
      <c r="X1578" t="s">
        <v>31</v>
      </c>
      <c r="Y1578" t="s">
        <v>41</v>
      </c>
      <c r="Z1578">
        <v>438.73391057849602</v>
      </c>
    </row>
    <row r="1579" spans="1:26" x14ac:dyDescent="0.3">
      <c r="A1579" t="s">
        <v>42</v>
      </c>
      <c r="B1579" t="s">
        <v>1635</v>
      </c>
      <c r="C1579">
        <v>55.499852693624298</v>
      </c>
      <c r="D1579">
        <v>79</v>
      </c>
      <c r="E1579">
        <v>800</v>
      </c>
      <c r="F1579">
        <v>7177.2994592081104</v>
      </c>
      <c r="G1579" t="s">
        <v>54</v>
      </c>
      <c r="H1579">
        <v>3</v>
      </c>
      <c r="I1579">
        <v>22</v>
      </c>
      <c r="J1579">
        <v>25</v>
      </c>
      <c r="K1579">
        <v>6</v>
      </c>
      <c r="L1579" t="s">
        <v>36</v>
      </c>
      <c r="M1579">
        <v>2.4210116196889002</v>
      </c>
      <c r="N1579" t="s">
        <v>28</v>
      </c>
      <c r="O1579" t="s">
        <v>67</v>
      </c>
      <c r="P1579">
        <f>VLOOKUP(O1579, Coordinates!$A$2:$C$6, 2, FALSE)</f>
        <v>40.712800000000001</v>
      </c>
      <c r="Q1579">
        <f>VLOOKUP(O1579, Coordinates!$A$2:$C$6, 3, FALSE)</f>
        <v>-74.006</v>
      </c>
      <c r="R1579">
        <v>6</v>
      </c>
      <c r="S1579">
        <v>245</v>
      </c>
      <c r="T1579">
        <v>18</v>
      </c>
      <c r="U1579">
        <v>90.923876798365399</v>
      </c>
      <c r="V1579" t="s">
        <v>39</v>
      </c>
      <c r="W1579">
        <v>1.8144051716973599</v>
      </c>
      <c r="X1579" t="s">
        <v>46</v>
      </c>
      <c r="Y1579" t="s">
        <v>41</v>
      </c>
      <c r="Z1579">
        <v>900.82532182304999</v>
      </c>
    </row>
    <row r="1580" spans="1:26" x14ac:dyDescent="0.3">
      <c r="A1580" t="s">
        <v>49</v>
      </c>
      <c r="B1580" t="s">
        <v>1636</v>
      </c>
      <c r="C1580">
        <v>53.503370563887103</v>
      </c>
      <c r="D1580">
        <v>90</v>
      </c>
      <c r="E1580">
        <v>133</v>
      </c>
      <c r="F1580">
        <v>1165.20151941227</v>
      </c>
      <c r="G1580" t="s">
        <v>35</v>
      </c>
      <c r="H1580">
        <v>22</v>
      </c>
      <c r="I1580">
        <v>15</v>
      </c>
      <c r="J1580">
        <v>61</v>
      </c>
      <c r="K1580">
        <v>5</v>
      </c>
      <c r="L1580" t="s">
        <v>44</v>
      </c>
      <c r="M1580">
        <v>1.0314399186871701</v>
      </c>
      <c r="N1580" t="s">
        <v>28</v>
      </c>
      <c r="O1580" t="s">
        <v>38</v>
      </c>
      <c r="P1580">
        <f>VLOOKUP(O1580, Coordinates!$A$2:$C$6, 2, FALSE)</f>
        <v>25.761700000000001</v>
      </c>
      <c r="Q1580">
        <f>VLOOKUP(O1580, Coordinates!$A$2:$C$6, 3, FALSE)</f>
        <v>-80.191800000000001</v>
      </c>
      <c r="R1580">
        <v>1</v>
      </c>
      <c r="S1580">
        <v>137</v>
      </c>
      <c r="T1580">
        <v>2</v>
      </c>
      <c r="U1580">
        <v>93.119385965812796</v>
      </c>
      <c r="V1580" t="s">
        <v>55</v>
      </c>
      <c r="W1580">
        <v>4.5941664608633896</v>
      </c>
      <c r="X1580" t="s">
        <v>40</v>
      </c>
      <c r="Y1580" t="s">
        <v>32</v>
      </c>
      <c r="Z1580">
        <v>794.42794910172302</v>
      </c>
    </row>
    <row r="1581" spans="1:26" x14ac:dyDescent="0.3">
      <c r="A1581" t="s">
        <v>42</v>
      </c>
      <c r="B1581" t="s">
        <v>1637</v>
      </c>
      <c r="C1581">
        <v>82.956881979275707</v>
      </c>
      <c r="D1581">
        <v>68</v>
      </c>
      <c r="E1581">
        <v>295</v>
      </c>
      <c r="F1581">
        <v>3805.9988212451899</v>
      </c>
      <c r="G1581" t="s">
        <v>35</v>
      </c>
      <c r="H1581">
        <v>72</v>
      </c>
      <c r="I1581">
        <v>4</v>
      </c>
      <c r="J1581">
        <v>78</v>
      </c>
      <c r="K1581">
        <v>2</v>
      </c>
      <c r="L1581" t="s">
        <v>36</v>
      </c>
      <c r="M1581">
        <v>1.67460924264842</v>
      </c>
      <c r="N1581" t="s">
        <v>45</v>
      </c>
      <c r="O1581" t="s">
        <v>38</v>
      </c>
      <c r="P1581">
        <f>VLOOKUP(O1581, Coordinates!$A$2:$C$6, 2, FALSE)</f>
        <v>25.761700000000001</v>
      </c>
      <c r="Q1581">
        <f>VLOOKUP(O1581, Coordinates!$A$2:$C$6, 3, FALSE)</f>
        <v>-80.191800000000001</v>
      </c>
      <c r="R1581">
        <v>28</v>
      </c>
      <c r="S1581">
        <v>589</v>
      </c>
      <c r="T1581">
        <v>18</v>
      </c>
      <c r="U1581">
        <v>14.585179637173001</v>
      </c>
      <c r="V1581" t="s">
        <v>39</v>
      </c>
      <c r="W1581">
        <v>3.55889084165783</v>
      </c>
      <c r="X1581" t="s">
        <v>31</v>
      </c>
      <c r="Y1581" t="s">
        <v>32</v>
      </c>
      <c r="Z1581">
        <v>731.12269816213495</v>
      </c>
    </row>
    <row r="1582" spans="1:26" x14ac:dyDescent="0.3">
      <c r="A1582" t="s">
        <v>49</v>
      </c>
      <c r="B1582" t="s">
        <v>1638</v>
      </c>
      <c r="C1582">
        <v>43.434022358381597</v>
      </c>
      <c r="D1582">
        <v>43</v>
      </c>
      <c r="E1582">
        <v>836</v>
      </c>
      <c r="F1582">
        <v>6740.39961333469</v>
      </c>
      <c r="G1582" t="s">
        <v>26</v>
      </c>
      <c r="H1582">
        <v>100</v>
      </c>
      <c r="I1582">
        <v>6</v>
      </c>
      <c r="J1582">
        <v>61</v>
      </c>
      <c r="K1582">
        <v>8</v>
      </c>
      <c r="L1582" t="s">
        <v>36</v>
      </c>
      <c r="M1582">
        <v>14.532829350521901</v>
      </c>
      <c r="N1582" t="s">
        <v>51</v>
      </c>
      <c r="O1582" t="s">
        <v>67</v>
      </c>
      <c r="P1582">
        <f>VLOOKUP(O1582, Coordinates!$A$2:$C$6, 2, FALSE)</f>
        <v>40.712800000000001</v>
      </c>
      <c r="Q1582">
        <f>VLOOKUP(O1582, Coordinates!$A$2:$C$6, 3, FALSE)</f>
        <v>-74.006</v>
      </c>
      <c r="R1582">
        <v>24</v>
      </c>
      <c r="S1582">
        <v>361</v>
      </c>
      <c r="T1582">
        <v>8</v>
      </c>
      <c r="U1582">
        <v>10.4460932673291</v>
      </c>
      <c r="V1582" t="s">
        <v>39</v>
      </c>
      <c r="W1582">
        <v>3.6330663959174201</v>
      </c>
      <c r="X1582" t="s">
        <v>40</v>
      </c>
      <c r="Y1582" t="s">
        <v>41</v>
      </c>
      <c r="Z1582">
        <v>394.44420083659202</v>
      </c>
    </row>
    <row r="1583" spans="1:26" x14ac:dyDescent="0.3">
      <c r="A1583" t="s">
        <v>33</v>
      </c>
      <c r="B1583" t="s">
        <v>1639</v>
      </c>
      <c r="D1583">
        <v>69</v>
      </c>
      <c r="E1583">
        <v>505</v>
      </c>
      <c r="F1583">
        <v>1084.10458137619</v>
      </c>
      <c r="G1583" t="s">
        <v>54</v>
      </c>
      <c r="H1583">
        <v>7</v>
      </c>
      <c r="I1583">
        <v>25</v>
      </c>
      <c r="J1583">
        <v>40</v>
      </c>
      <c r="K1583">
        <v>3</v>
      </c>
      <c r="L1583" t="s">
        <v>44</v>
      </c>
      <c r="M1583">
        <v>2.7677551909218399</v>
      </c>
      <c r="N1583" t="s">
        <v>28</v>
      </c>
      <c r="O1583" t="s">
        <v>38</v>
      </c>
      <c r="P1583">
        <f>VLOOKUP(O1583, Coordinates!$A$2:$C$6, 2, FALSE)</f>
        <v>25.761700000000001</v>
      </c>
      <c r="Q1583">
        <f>VLOOKUP(O1583, Coordinates!$A$2:$C$6, 3, FALSE)</f>
        <v>-80.191800000000001</v>
      </c>
      <c r="R1583">
        <v>5</v>
      </c>
      <c r="S1583">
        <v>225</v>
      </c>
      <c r="T1583">
        <v>10</v>
      </c>
      <c r="U1583">
        <v>83.476430469999997</v>
      </c>
      <c r="V1583" t="s">
        <v>30</v>
      </c>
      <c r="W1583">
        <v>1.34596710224747</v>
      </c>
      <c r="X1583" t="s">
        <v>46</v>
      </c>
      <c r="Y1583" t="s">
        <v>60</v>
      </c>
      <c r="Z1583">
        <v>225.65384376610399</v>
      </c>
    </row>
    <row r="1584" spans="1:26" x14ac:dyDescent="0.3">
      <c r="A1584" t="s">
        <v>42</v>
      </c>
      <c r="B1584" t="s">
        <v>1640</v>
      </c>
      <c r="C1584">
        <v>6.2699299096425802</v>
      </c>
      <c r="D1584">
        <v>99</v>
      </c>
      <c r="E1584">
        <v>190</v>
      </c>
      <c r="F1584">
        <v>1296.7924931433399</v>
      </c>
      <c r="G1584" t="s">
        <v>54</v>
      </c>
      <c r="H1584">
        <v>52</v>
      </c>
      <c r="I1584">
        <v>10</v>
      </c>
      <c r="J1584">
        <v>93</v>
      </c>
      <c r="K1584">
        <v>5</v>
      </c>
      <c r="L1584" t="s">
        <v>27</v>
      </c>
      <c r="M1584">
        <v>1.6214558584526</v>
      </c>
      <c r="N1584" t="s">
        <v>45</v>
      </c>
      <c r="O1584" t="s">
        <v>38</v>
      </c>
      <c r="P1584">
        <f>VLOOKUP(O1584, Coordinates!$A$2:$C$6, 2, FALSE)</f>
        <v>25.761700000000001</v>
      </c>
      <c r="Q1584">
        <f>VLOOKUP(O1584, Coordinates!$A$2:$C$6, 3, FALSE)</f>
        <v>-80.191800000000001</v>
      </c>
      <c r="R1584">
        <v>28</v>
      </c>
      <c r="S1584">
        <v>703</v>
      </c>
      <c r="T1584">
        <v>20</v>
      </c>
      <c r="U1584">
        <v>37.131701903479502</v>
      </c>
      <c r="V1584" t="s">
        <v>55</v>
      </c>
      <c r="W1584">
        <v>4.2746716411196601</v>
      </c>
      <c r="X1584" t="s">
        <v>46</v>
      </c>
      <c r="Y1584" t="s">
        <v>32</v>
      </c>
      <c r="Z1584">
        <v>878.21108574495804</v>
      </c>
    </row>
    <row r="1585" spans="1:26" x14ac:dyDescent="0.3">
      <c r="A1585" t="s">
        <v>33</v>
      </c>
      <c r="B1585" t="s">
        <v>1641</v>
      </c>
      <c r="C1585">
        <v>43.925227462079199</v>
      </c>
      <c r="D1585">
        <v>13</v>
      </c>
      <c r="E1585">
        <v>483</v>
      </c>
      <c r="F1585">
        <v>8666.9918422334395</v>
      </c>
      <c r="G1585" t="s">
        <v>35</v>
      </c>
      <c r="H1585">
        <v>13</v>
      </c>
      <c r="I1585">
        <v>18</v>
      </c>
      <c r="J1585">
        <v>32</v>
      </c>
      <c r="K1585">
        <v>8</v>
      </c>
      <c r="L1585" t="s">
        <v>27</v>
      </c>
      <c r="M1585">
        <v>5.335018936</v>
      </c>
      <c r="N1585" t="s">
        <v>28</v>
      </c>
      <c r="O1585" t="s">
        <v>29</v>
      </c>
      <c r="P1585">
        <f>VLOOKUP(O1585, Coordinates!$A$2:$C$6, 2, FALSE)</f>
        <v>29.760400000000001</v>
      </c>
      <c r="Q1585">
        <f>VLOOKUP(O1585, Coordinates!$A$2:$C$6, 3, FALSE)</f>
        <v>-95.369799999999998</v>
      </c>
      <c r="R1585">
        <v>12</v>
      </c>
      <c r="S1585">
        <v>895</v>
      </c>
      <c r="T1585">
        <v>4</v>
      </c>
      <c r="U1585">
        <v>92.312395056638906</v>
      </c>
      <c r="V1585" t="s">
        <v>55</v>
      </c>
      <c r="W1585">
        <v>2.8918009311411201</v>
      </c>
      <c r="X1585" t="s">
        <v>40</v>
      </c>
      <c r="Y1585" t="s">
        <v>41</v>
      </c>
      <c r="Z1585">
        <v>408.47264781347201</v>
      </c>
    </row>
    <row r="1586" spans="1:26" x14ac:dyDescent="0.3">
      <c r="A1586" t="s">
        <v>61</v>
      </c>
      <c r="B1586" t="s">
        <v>1642</v>
      </c>
      <c r="C1586">
        <v>66.538552129999999</v>
      </c>
      <c r="D1586">
        <v>10</v>
      </c>
      <c r="E1586">
        <v>575</v>
      </c>
      <c r="F1586">
        <v>7156.2237552286397</v>
      </c>
      <c r="G1586" t="s">
        <v>26</v>
      </c>
      <c r="H1586">
        <v>70</v>
      </c>
      <c r="I1586">
        <v>16</v>
      </c>
      <c r="J1586">
        <v>51</v>
      </c>
      <c r="K1586">
        <v>9</v>
      </c>
      <c r="L1586" t="s">
        <v>36</v>
      </c>
      <c r="M1586">
        <v>9.2345191593633906</v>
      </c>
      <c r="N1586" t="s">
        <v>28</v>
      </c>
      <c r="O1586" t="s">
        <v>67</v>
      </c>
      <c r="P1586">
        <f>VLOOKUP(O1586, Coordinates!$A$2:$C$6, 2, FALSE)</f>
        <v>40.712800000000001</v>
      </c>
      <c r="Q1586">
        <f>VLOOKUP(O1586, Coordinates!$A$2:$C$6, 3, FALSE)</f>
        <v>-74.006</v>
      </c>
      <c r="R1586">
        <v>1</v>
      </c>
      <c r="S1586">
        <v>444</v>
      </c>
      <c r="T1586">
        <v>10</v>
      </c>
      <c r="U1586">
        <v>29.506921594259101</v>
      </c>
      <c r="V1586" t="s">
        <v>55</v>
      </c>
      <c r="W1586">
        <v>4.1749050221820996</v>
      </c>
      <c r="X1586" t="s">
        <v>46</v>
      </c>
      <c r="Y1586" t="s">
        <v>60</v>
      </c>
      <c r="Z1586">
        <v>633.660933009259</v>
      </c>
    </row>
    <row r="1587" spans="1:26" x14ac:dyDescent="0.3">
      <c r="A1587" t="s">
        <v>61</v>
      </c>
      <c r="B1587" t="s">
        <v>1643</v>
      </c>
      <c r="C1587">
        <v>6.4732914095262499</v>
      </c>
      <c r="D1587">
        <v>75</v>
      </c>
      <c r="E1587">
        <v>496</v>
      </c>
      <c r="F1587">
        <v>3388.3275980830899</v>
      </c>
      <c r="G1587" t="s">
        <v>48</v>
      </c>
      <c r="H1587">
        <v>6</v>
      </c>
      <c r="I1587">
        <v>18</v>
      </c>
      <c r="J1587">
        <v>90</v>
      </c>
      <c r="K1587">
        <v>9</v>
      </c>
      <c r="L1587" t="s">
        <v>44</v>
      </c>
      <c r="M1587">
        <v>14.278449020241</v>
      </c>
      <c r="N1587" t="s">
        <v>45</v>
      </c>
      <c r="O1587" t="s">
        <v>38</v>
      </c>
      <c r="P1587">
        <f>VLOOKUP(O1587, Coordinates!$A$2:$C$6, 2, FALSE)</f>
        <v>25.761700000000001</v>
      </c>
      <c r="Q1587">
        <f>VLOOKUP(O1587, Coordinates!$A$2:$C$6, 3, FALSE)</f>
        <v>-80.191800000000001</v>
      </c>
      <c r="R1587">
        <v>27</v>
      </c>
      <c r="S1587">
        <v>360</v>
      </c>
      <c r="T1587">
        <v>10</v>
      </c>
      <c r="U1587">
        <v>87.5039154513928</v>
      </c>
      <c r="V1587" t="s">
        <v>55</v>
      </c>
      <c r="W1587">
        <v>4.1201468950000004</v>
      </c>
      <c r="X1587" t="s">
        <v>31</v>
      </c>
      <c r="Y1587" t="s">
        <v>32</v>
      </c>
      <c r="Z1587">
        <v>631.74301109999999</v>
      </c>
    </row>
    <row r="1588" spans="1:26" x14ac:dyDescent="0.3">
      <c r="A1588" t="s">
        <v>82</v>
      </c>
      <c r="B1588" t="s">
        <v>1644</v>
      </c>
      <c r="C1588">
        <v>31.683786692693101</v>
      </c>
      <c r="D1588">
        <v>82</v>
      </c>
      <c r="E1588">
        <v>517</v>
      </c>
      <c r="F1588">
        <v>7191.6655610683802</v>
      </c>
      <c r="G1588" t="s">
        <v>35</v>
      </c>
      <c r="H1588">
        <v>8</v>
      </c>
      <c r="I1588">
        <v>6</v>
      </c>
      <c r="J1588">
        <v>71</v>
      </c>
      <c r="K1588">
        <v>5</v>
      </c>
      <c r="L1588" t="s">
        <v>44</v>
      </c>
      <c r="M1588">
        <v>10.7984260997208</v>
      </c>
      <c r="N1588" t="s">
        <v>51</v>
      </c>
      <c r="O1588" t="s">
        <v>67</v>
      </c>
      <c r="P1588">
        <f>VLOOKUP(O1588, Coordinates!$A$2:$C$6, 2, FALSE)</f>
        <v>40.712800000000001</v>
      </c>
      <c r="Q1588">
        <f>VLOOKUP(O1588, Coordinates!$A$2:$C$6, 3, FALSE)</f>
        <v>-74.006</v>
      </c>
      <c r="R1588">
        <v>26</v>
      </c>
      <c r="S1588">
        <v>542</v>
      </c>
      <c r="T1588">
        <v>27</v>
      </c>
      <c r="U1588">
        <v>16.17798428</v>
      </c>
      <c r="V1588" t="s">
        <v>30</v>
      </c>
      <c r="W1588">
        <v>4.2331355391943601</v>
      </c>
      <c r="X1588" t="s">
        <v>40</v>
      </c>
      <c r="Y1588" t="s">
        <v>41</v>
      </c>
      <c r="Z1588">
        <v>935.24777347633801</v>
      </c>
    </row>
    <row r="1589" spans="1:26" x14ac:dyDescent="0.3">
      <c r="A1589" t="s">
        <v>24</v>
      </c>
      <c r="B1589" t="s">
        <v>1645</v>
      </c>
      <c r="C1589">
        <v>37.142561289316902</v>
      </c>
      <c r="D1589">
        <v>98</v>
      </c>
      <c r="E1589">
        <v>647</v>
      </c>
      <c r="F1589">
        <v>21628.1134387692</v>
      </c>
      <c r="H1589">
        <v>2</v>
      </c>
      <c r="I1589">
        <v>19</v>
      </c>
      <c r="J1589">
        <v>86</v>
      </c>
      <c r="K1589">
        <v>2</v>
      </c>
      <c r="L1589" t="s">
        <v>44</v>
      </c>
      <c r="M1589">
        <v>4.8689415646023297</v>
      </c>
      <c r="N1589" t="s">
        <v>57</v>
      </c>
      <c r="O1589" t="s">
        <v>29</v>
      </c>
      <c r="P1589">
        <f>VLOOKUP(O1589, Coordinates!$A$2:$C$6, 2, FALSE)</f>
        <v>29.760400000000001</v>
      </c>
      <c r="Q1589">
        <f>VLOOKUP(O1589, Coordinates!$A$2:$C$6, 3, FALSE)</f>
        <v>-95.369799999999998</v>
      </c>
      <c r="R1589">
        <v>9</v>
      </c>
      <c r="S1589">
        <v>978</v>
      </c>
      <c r="T1589">
        <v>30</v>
      </c>
      <c r="U1589">
        <v>91.455096271812707</v>
      </c>
      <c r="V1589" t="s">
        <v>30</v>
      </c>
      <c r="W1589">
        <v>2.76997181160562</v>
      </c>
      <c r="X1589" t="s">
        <v>31</v>
      </c>
      <c r="Y1589" t="s">
        <v>60</v>
      </c>
      <c r="Z1589">
        <v>254.551270251245</v>
      </c>
    </row>
    <row r="1590" spans="1:26" x14ac:dyDescent="0.3">
      <c r="A1590" t="s">
        <v>42</v>
      </c>
      <c r="B1590" t="s">
        <v>1646</v>
      </c>
      <c r="C1590">
        <v>8.9886157464108791</v>
      </c>
      <c r="D1590">
        <v>41</v>
      </c>
      <c r="E1590">
        <v>71</v>
      </c>
      <c r="F1590">
        <v>3761.1485479909102</v>
      </c>
      <c r="G1590" t="s">
        <v>48</v>
      </c>
      <c r="H1590">
        <v>77</v>
      </c>
      <c r="I1590">
        <v>17</v>
      </c>
      <c r="J1590">
        <v>59</v>
      </c>
      <c r="K1590">
        <v>7</v>
      </c>
      <c r="L1590" t="s">
        <v>27</v>
      </c>
      <c r="M1590">
        <v>14.14681225532</v>
      </c>
      <c r="N1590" t="s">
        <v>37</v>
      </c>
      <c r="O1590" t="s">
        <v>58</v>
      </c>
      <c r="P1590">
        <f>VLOOKUP(O1590, Coordinates!$A$2:$C$6, 2, FALSE)</f>
        <v>34.052199999999999</v>
      </c>
      <c r="Q1590">
        <f>VLOOKUP(O1590, Coordinates!$A$2:$C$6, 3, FALSE)</f>
        <v>-118.2437</v>
      </c>
      <c r="R1590">
        <v>20</v>
      </c>
      <c r="S1590">
        <v>207</v>
      </c>
      <c r="T1590">
        <v>3</v>
      </c>
      <c r="U1590">
        <v>97.581599120000007</v>
      </c>
      <c r="V1590" t="s">
        <v>39</v>
      </c>
      <c r="W1590">
        <v>3.04363794400268</v>
      </c>
      <c r="X1590" t="s">
        <v>40</v>
      </c>
      <c r="Y1590" t="s">
        <v>60</v>
      </c>
      <c r="Z1590">
        <v>794.48091650367405</v>
      </c>
    </row>
    <row r="1591" spans="1:26" x14ac:dyDescent="0.3">
      <c r="A1591" t="s">
        <v>33</v>
      </c>
      <c r="B1591" t="s">
        <v>1647</v>
      </c>
      <c r="C1591">
        <v>50.529708541881</v>
      </c>
      <c r="D1591">
        <v>50</v>
      </c>
      <c r="E1591">
        <v>809</v>
      </c>
      <c r="F1591">
        <v>1324.3363974926799</v>
      </c>
      <c r="G1591" t="s">
        <v>26</v>
      </c>
      <c r="H1591">
        <v>16</v>
      </c>
      <c r="I1591">
        <v>18</v>
      </c>
      <c r="J1591">
        <v>86</v>
      </c>
      <c r="K1591">
        <v>7</v>
      </c>
      <c r="L1591" t="s">
        <v>44</v>
      </c>
      <c r="M1591">
        <v>1.50457505371281</v>
      </c>
      <c r="N1591" t="s">
        <v>28</v>
      </c>
      <c r="O1591" t="s">
        <v>38</v>
      </c>
      <c r="P1591">
        <f>VLOOKUP(O1591, Coordinates!$A$2:$C$6, 2, FALSE)</f>
        <v>25.761700000000001</v>
      </c>
      <c r="Q1591">
        <f>VLOOKUP(O1591, Coordinates!$A$2:$C$6, 3, FALSE)</f>
        <v>-80.191800000000001</v>
      </c>
      <c r="R1591">
        <v>25</v>
      </c>
      <c r="S1591">
        <v>656</v>
      </c>
      <c r="T1591">
        <v>21</v>
      </c>
      <c r="U1591">
        <v>30.807698889815399</v>
      </c>
      <c r="V1591" t="s">
        <v>30</v>
      </c>
      <c r="W1591">
        <v>4.12082019935582</v>
      </c>
      <c r="X1591" t="s">
        <v>52</v>
      </c>
      <c r="Y1591" t="s">
        <v>41</v>
      </c>
      <c r="Z1591">
        <v>516.33151978777698</v>
      </c>
    </row>
    <row r="1592" spans="1:26" x14ac:dyDescent="0.3">
      <c r="A1592" t="s">
        <v>49</v>
      </c>
      <c r="B1592" t="s">
        <v>1648</v>
      </c>
      <c r="C1592">
        <v>22.2637128566748</v>
      </c>
      <c r="D1592">
        <v>87</v>
      </c>
      <c r="E1592">
        <v>471</v>
      </c>
      <c r="F1592">
        <v>9395.0121220000001</v>
      </c>
      <c r="G1592" t="s">
        <v>54</v>
      </c>
      <c r="H1592">
        <v>43</v>
      </c>
      <c r="I1592">
        <v>30</v>
      </c>
      <c r="J1592">
        <v>90</v>
      </c>
      <c r="K1592">
        <v>8</v>
      </c>
      <c r="L1592" t="s">
        <v>44</v>
      </c>
      <c r="M1592">
        <v>14.706756101734999</v>
      </c>
      <c r="N1592" t="s">
        <v>51</v>
      </c>
      <c r="O1592" t="s">
        <v>65</v>
      </c>
      <c r="P1592">
        <f>VLOOKUP(O1592, Coordinates!$A$2:$C$6, 2, FALSE)</f>
        <v>41.878100000000003</v>
      </c>
      <c r="Q1592">
        <f>VLOOKUP(O1592, Coordinates!$A$2:$C$6, 3, FALSE)</f>
        <v>-87.629800000000003</v>
      </c>
      <c r="R1592">
        <v>24</v>
      </c>
      <c r="S1592">
        <v>979</v>
      </c>
      <c r="T1592">
        <v>4</v>
      </c>
      <c r="U1592">
        <v>21.9711685667537</v>
      </c>
      <c r="V1592" t="s">
        <v>55</v>
      </c>
      <c r="W1592">
        <v>9.9053483999999997E-2</v>
      </c>
      <c r="X1592" t="s">
        <v>31</v>
      </c>
      <c r="Y1592" t="s">
        <v>60</v>
      </c>
      <c r="Z1592">
        <v>257.27681042874298</v>
      </c>
    </row>
    <row r="1593" spans="1:26" x14ac:dyDescent="0.3">
      <c r="A1593" t="s">
        <v>61</v>
      </c>
      <c r="B1593" t="s">
        <v>1649</v>
      </c>
      <c r="C1593">
        <v>75.592746264981102</v>
      </c>
      <c r="D1593">
        <v>71</v>
      </c>
      <c r="E1593">
        <v>289</v>
      </c>
      <c r="F1593">
        <v>4106.6185446606696</v>
      </c>
      <c r="G1593" t="s">
        <v>48</v>
      </c>
      <c r="H1593">
        <v>85</v>
      </c>
      <c r="I1593">
        <v>13</v>
      </c>
      <c r="J1593">
        <v>24</v>
      </c>
      <c r="K1593">
        <v>8</v>
      </c>
      <c r="L1593" t="s">
        <v>27</v>
      </c>
      <c r="M1593">
        <v>1.8209698115702799</v>
      </c>
      <c r="N1593" t="s">
        <v>37</v>
      </c>
      <c r="O1593" t="s">
        <v>65</v>
      </c>
      <c r="P1593">
        <f>VLOOKUP(O1593, Coordinates!$A$2:$C$6, 2, FALSE)</f>
        <v>41.878100000000003</v>
      </c>
      <c r="Q1593">
        <f>VLOOKUP(O1593, Coordinates!$A$2:$C$6, 3, FALSE)</f>
        <v>-87.629800000000003</v>
      </c>
      <c r="R1593">
        <v>8</v>
      </c>
      <c r="S1593">
        <v>536</v>
      </c>
      <c r="T1593">
        <v>23</v>
      </c>
      <c r="U1593">
        <v>87.134918722569495</v>
      </c>
      <c r="V1593" t="s">
        <v>55</v>
      </c>
      <c r="W1593">
        <v>4.7582217409723198</v>
      </c>
      <c r="X1593" t="s">
        <v>31</v>
      </c>
      <c r="Y1593" t="s">
        <v>41</v>
      </c>
      <c r="Z1593">
        <v>852.07474656730699</v>
      </c>
    </row>
    <row r="1594" spans="1:26" x14ac:dyDescent="0.3">
      <c r="A1594" t="s">
        <v>24</v>
      </c>
      <c r="B1594" t="s">
        <v>1650</v>
      </c>
      <c r="C1594">
        <v>37.233821399929298</v>
      </c>
      <c r="D1594">
        <v>59</v>
      </c>
      <c r="E1594">
        <v>605</v>
      </c>
      <c r="F1594">
        <v>20273.8157522615</v>
      </c>
      <c r="G1594" t="s">
        <v>35</v>
      </c>
      <c r="H1594">
        <v>45</v>
      </c>
      <c r="I1594">
        <v>7</v>
      </c>
      <c r="J1594">
        <v>99</v>
      </c>
      <c r="K1594">
        <v>5</v>
      </c>
      <c r="L1594" t="s">
        <v>44</v>
      </c>
      <c r="M1594">
        <v>11.5538996228003</v>
      </c>
      <c r="N1594" t="s">
        <v>28</v>
      </c>
      <c r="O1594" t="s">
        <v>65</v>
      </c>
      <c r="P1594">
        <f>VLOOKUP(O1594, Coordinates!$A$2:$C$6, 2, FALSE)</f>
        <v>41.878100000000003</v>
      </c>
      <c r="Q1594">
        <f>VLOOKUP(O1594, Coordinates!$A$2:$C$6, 3, FALSE)</f>
        <v>-87.629800000000003</v>
      </c>
      <c r="R1594">
        <v>13</v>
      </c>
      <c r="S1594">
        <v>613</v>
      </c>
      <c r="T1594">
        <v>10</v>
      </c>
      <c r="U1594">
        <v>93.970790118176595</v>
      </c>
      <c r="V1594" t="s">
        <v>55</v>
      </c>
      <c r="W1594">
        <v>2.6561062292411499</v>
      </c>
      <c r="X1594" t="s">
        <v>40</v>
      </c>
      <c r="Y1594" t="s">
        <v>41</v>
      </c>
      <c r="Z1594">
        <v>838.12519534446994</v>
      </c>
    </row>
    <row r="1595" spans="1:26" x14ac:dyDescent="0.3">
      <c r="A1595" t="s">
        <v>61</v>
      </c>
      <c r="B1595" t="s">
        <v>1651</v>
      </c>
      <c r="C1595">
        <v>56.830592353569003</v>
      </c>
      <c r="D1595">
        <v>39</v>
      </c>
      <c r="E1595">
        <v>421</v>
      </c>
      <c r="F1595">
        <v>5426.7118425383196</v>
      </c>
      <c r="G1595" t="s">
        <v>54</v>
      </c>
      <c r="H1595">
        <v>89</v>
      </c>
      <c r="I1595">
        <v>20</v>
      </c>
      <c r="J1595">
        <v>53</v>
      </c>
      <c r="K1595">
        <v>1</v>
      </c>
      <c r="L1595" t="s">
        <v>27</v>
      </c>
      <c r="M1595">
        <v>1.6341655484283399</v>
      </c>
      <c r="N1595" t="s">
        <v>37</v>
      </c>
      <c r="O1595" t="s">
        <v>67</v>
      </c>
      <c r="P1595">
        <f>VLOOKUP(O1595, Coordinates!$A$2:$C$6, 2, FALSE)</f>
        <v>40.712800000000001</v>
      </c>
      <c r="Q1595">
        <f>VLOOKUP(O1595, Coordinates!$A$2:$C$6, 3, FALSE)</f>
        <v>-74.006</v>
      </c>
      <c r="R1595">
        <v>28</v>
      </c>
      <c r="S1595">
        <v>812</v>
      </c>
      <c r="T1595">
        <v>7</v>
      </c>
      <c r="U1595">
        <v>18.771049772155301</v>
      </c>
      <c r="V1595" t="s">
        <v>30</v>
      </c>
      <c r="W1595">
        <v>4.7602612224495999</v>
      </c>
      <c r="X1595" t="s">
        <v>40</v>
      </c>
      <c r="Y1595" t="s">
        <v>60</v>
      </c>
      <c r="Z1595">
        <v>136.16416886167201</v>
      </c>
    </row>
    <row r="1596" spans="1:26" x14ac:dyDescent="0.3">
      <c r="A1596" t="s">
        <v>49</v>
      </c>
      <c r="B1596" t="s">
        <v>1652</v>
      </c>
      <c r="C1596">
        <v>98.262197539508406</v>
      </c>
      <c r="D1596">
        <v>3</v>
      </c>
      <c r="E1596">
        <v>104</v>
      </c>
      <c r="F1596">
        <v>7916.2101609771998</v>
      </c>
      <c r="G1596" t="s">
        <v>26</v>
      </c>
      <c r="H1596">
        <v>57</v>
      </c>
      <c r="I1596">
        <v>12</v>
      </c>
      <c r="J1596">
        <v>51</v>
      </c>
      <c r="K1596">
        <v>4</v>
      </c>
      <c r="L1596" t="s">
        <v>36</v>
      </c>
      <c r="M1596">
        <v>14.04186019</v>
      </c>
      <c r="N1596" t="s">
        <v>45</v>
      </c>
      <c r="O1596" t="s">
        <v>38</v>
      </c>
      <c r="P1596">
        <f>VLOOKUP(O1596, Coordinates!$A$2:$C$6, 2, FALSE)</f>
        <v>25.761700000000001</v>
      </c>
      <c r="Q1596">
        <f>VLOOKUP(O1596, Coordinates!$A$2:$C$6, 3, FALSE)</f>
        <v>-80.191800000000001</v>
      </c>
      <c r="R1596">
        <v>26</v>
      </c>
      <c r="S1596">
        <v>189</v>
      </c>
      <c r="T1596">
        <v>22</v>
      </c>
      <c r="U1596">
        <v>39.1082620770582</v>
      </c>
      <c r="V1596" t="s">
        <v>39</v>
      </c>
      <c r="W1596">
        <v>4.6510224041764099</v>
      </c>
      <c r="X1596" t="s">
        <v>31</v>
      </c>
      <c r="Y1596" t="s">
        <v>41</v>
      </c>
      <c r="Z1596">
        <v>738.49601580279898</v>
      </c>
    </row>
    <row r="1597" spans="1:26" x14ac:dyDescent="0.3">
      <c r="A1597" t="s">
        <v>24</v>
      </c>
      <c r="B1597" t="s">
        <v>1653</v>
      </c>
      <c r="C1597">
        <v>39.783632963228598</v>
      </c>
      <c r="D1597">
        <v>76</v>
      </c>
      <c r="E1597">
        <v>193</v>
      </c>
      <c r="F1597">
        <v>6910.4170457128203</v>
      </c>
      <c r="G1597" t="s">
        <v>54</v>
      </c>
      <c r="H1597">
        <v>27</v>
      </c>
      <c r="I1597">
        <v>2</v>
      </c>
      <c r="J1597">
        <v>54</v>
      </c>
      <c r="K1597">
        <v>4</v>
      </c>
      <c r="L1597" t="s">
        <v>36</v>
      </c>
      <c r="M1597">
        <v>2.5213225542359399</v>
      </c>
      <c r="N1597" t="s">
        <v>51</v>
      </c>
      <c r="O1597" t="s">
        <v>67</v>
      </c>
      <c r="P1597">
        <f>VLOOKUP(O1597, Coordinates!$A$2:$C$6, 2, FALSE)</f>
        <v>40.712800000000001</v>
      </c>
      <c r="Q1597">
        <f>VLOOKUP(O1597, Coordinates!$A$2:$C$6, 3, FALSE)</f>
        <v>-74.006</v>
      </c>
      <c r="R1597">
        <v>15</v>
      </c>
      <c r="S1597">
        <v>314</v>
      </c>
      <c r="T1597">
        <v>23</v>
      </c>
      <c r="U1597">
        <v>86.109039109999998</v>
      </c>
      <c r="V1597" t="s">
        <v>55</v>
      </c>
      <c r="W1597">
        <v>0.76158839307350601</v>
      </c>
      <c r="X1597" t="s">
        <v>46</v>
      </c>
      <c r="Y1597" t="s">
        <v>41</v>
      </c>
      <c r="Z1597">
        <v>238.167897552677</v>
      </c>
    </row>
    <row r="1598" spans="1:26" x14ac:dyDescent="0.3">
      <c r="A1598" t="s">
        <v>24</v>
      </c>
      <c r="B1598" t="s">
        <v>1654</v>
      </c>
      <c r="C1598">
        <v>24.831523571584199</v>
      </c>
      <c r="D1598">
        <v>7</v>
      </c>
      <c r="E1598">
        <v>993</v>
      </c>
      <c r="F1598">
        <v>22191.932615924801</v>
      </c>
      <c r="G1598" t="s">
        <v>35</v>
      </c>
      <c r="H1598">
        <v>13</v>
      </c>
      <c r="I1598">
        <v>27</v>
      </c>
      <c r="J1598">
        <v>44</v>
      </c>
      <c r="K1598">
        <v>3</v>
      </c>
      <c r="L1598" t="s">
        <v>36</v>
      </c>
      <c r="M1598">
        <v>1.7067061823798899</v>
      </c>
      <c r="N1598" t="s">
        <v>51</v>
      </c>
      <c r="O1598" t="s">
        <v>67</v>
      </c>
      <c r="P1598">
        <f>VLOOKUP(O1598, Coordinates!$A$2:$C$6, 2, FALSE)</f>
        <v>40.712800000000001</v>
      </c>
      <c r="Q1598">
        <f>VLOOKUP(O1598, Coordinates!$A$2:$C$6, 3, FALSE)</f>
        <v>-74.006</v>
      </c>
      <c r="R1598">
        <v>14</v>
      </c>
      <c r="S1598">
        <v>726</v>
      </c>
      <c r="T1598">
        <v>12</v>
      </c>
      <c r="U1598">
        <v>93.013350357684004</v>
      </c>
      <c r="V1598" t="s">
        <v>30</v>
      </c>
      <c r="W1598">
        <v>0.826299073198136</v>
      </c>
      <c r="X1598" t="s">
        <v>31</v>
      </c>
      <c r="Y1598" t="s">
        <v>32</v>
      </c>
      <c r="Z1598">
        <v>649.32431481088599</v>
      </c>
    </row>
    <row r="1599" spans="1:26" x14ac:dyDescent="0.3">
      <c r="A1599" t="s">
        <v>33</v>
      </c>
      <c r="B1599" t="s">
        <v>1655</v>
      </c>
      <c r="C1599">
        <v>98.975686625986199</v>
      </c>
      <c r="D1599">
        <v>49</v>
      </c>
      <c r="E1599">
        <v>933</v>
      </c>
      <c r="F1599">
        <v>3184.4348811872401</v>
      </c>
      <c r="G1599" t="s">
        <v>26</v>
      </c>
      <c r="H1599">
        <v>0</v>
      </c>
      <c r="I1599">
        <v>22</v>
      </c>
      <c r="J1599">
        <v>31</v>
      </c>
      <c r="K1599">
        <v>8</v>
      </c>
      <c r="L1599" t="s">
        <v>36</v>
      </c>
      <c r="M1599">
        <v>13.449712167549199</v>
      </c>
      <c r="N1599" t="s">
        <v>57</v>
      </c>
      <c r="O1599" t="s">
        <v>67</v>
      </c>
      <c r="P1599">
        <f>VLOOKUP(O1599, Coordinates!$A$2:$C$6, 2, FALSE)</f>
        <v>40.712800000000001</v>
      </c>
      <c r="Q1599">
        <f>VLOOKUP(O1599, Coordinates!$A$2:$C$6, 3, FALSE)</f>
        <v>-74.006</v>
      </c>
      <c r="R1599">
        <v>19</v>
      </c>
      <c r="S1599">
        <v>418</v>
      </c>
      <c r="T1599">
        <v>7</v>
      </c>
      <c r="U1599">
        <v>89.311490544465599</v>
      </c>
      <c r="V1599" t="s">
        <v>30</v>
      </c>
      <c r="W1599">
        <v>1.7682298800635601</v>
      </c>
      <c r="X1599" t="s">
        <v>52</v>
      </c>
      <c r="Y1599" t="s">
        <v>41</v>
      </c>
      <c r="Z1599">
        <v>679.42236826978899</v>
      </c>
    </row>
    <row r="1600" spans="1:26" x14ac:dyDescent="0.3">
      <c r="A1600" t="s">
        <v>33</v>
      </c>
      <c r="B1600" t="s">
        <v>1656</v>
      </c>
      <c r="C1600">
        <v>26.997101416679602</v>
      </c>
      <c r="D1600">
        <v>26</v>
      </c>
      <c r="E1600">
        <v>983</v>
      </c>
      <c r="F1600">
        <v>9925.0574754851004</v>
      </c>
      <c r="G1600" t="s">
        <v>35</v>
      </c>
      <c r="H1600">
        <v>5</v>
      </c>
      <c r="I1600">
        <v>22</v>
      </c>
      <c r="J1600">
        <v>83</v>
      </c>
      <c r="K1600">
        <v>3</v>
      </c>
      <c r="L1600" t="s">
        <v>36</v>
      </c>
      <c r="M1600">
        <v>2.3411143748467498</v>
      </c>
      <c r="N1600" t="s">
        <v>57</v>
      </c>
      <c r="O1600" t="s">
        <v>67</v>
      </c>
      <c r="P1600">
        <f>VLOOKUP(O1600, Coordinates!$A$2:$C$6, 2, FALSE)</f>
        <v>40.712800000000001</v>
      </c>
      <c r="Q1600">
        <f>VLOOKUP(O1600, Coordinates!$A$2:$C$6, 3, FALSE)</f>
        <v>-74.006</v>
      </c>
      <c r="R1600">
        <v>26</v>
      </c>
      <c r="S1600">
        <v>703</v>
      </c>
      <c r="T1600">
        <v>13</v>
      </c>
      <c r="U1600">
        <v>58.682037336319503</v>
      </c>
      <c r="V1600" t="s">
        <v>55</v>
      </c>
      <c r="W1600">
        <v>1.31994010967898</v>
      </c>
      <c r="X1600" t="s">
        <v>46</v>
      </c>
      <c r="Y1600" t="s">
        <v>60</v>
      </c>
      <c r="Z1600">
        <v>698.72009539048804</v>
      </c>
    </row>
    <row r="1601" spans="1:26" x14ac:dyDescent="0.3">
      <c r="A1601" t="s">
        <v>42</v>
      </c>
      <c r="B1601" t="s">
        <v>1657</v>
      </c>
      <c r="D1601">
        <v>33</v>
      </c>
      <c r="E1601">
        <v>392</v>
      </c>
      <c r="F1601">
        <v>2776.63360357488</v>
      </c>
      <c r="G1601" t="s">
        <v>48</v>
      </c>
      <c r="H1601">
        <v>1</v>
      </c>
      <c r="I1601">
        <v>24</v>
      </c>
      <c r="J1601">
        <v>84</v>
      </c>
      <c r="K1601">
        <v>5</v>
      </c>
      <c r="L1601" t="s">
        <v>27</v>
      </c>
      <c r="M1601">
        <v>12.171038070921099</v>
      </c>
      <c r="N1601" t="s">
        <v>37</v>
      </c>
      <c r="O1601" t="s">
        <v>38</v>
      </c>
      <c r="P1601">
        <f>VLOOKUP(O1601, Coordinates!$A$2:$C$6, 2, FALSE)</f>
        <v>25.761700000000001</v>
      </c>
      <c r="Q1601">
        <f>VLOOKUP(O1601, Coordinates!$A$2:$C$6, 3, FALSE)</f>
        <v>-80.191800000000001</v>
      </c>
      <c r="R1601">
        <v>9</v>
      </c>
      <c r="S1601">
        <v>937</v>
      </c>
      <c r="T1601">
        <v>8</v>
      </c>
      <c r="U1601">
        <v>45.4076008084877</v>
      </c>
      <c r="V1601" t="s">
        <v>55</v>
      </c>
      <c r="W1601">
        <v>2.1964937964876299</v>
      </c>
      <c r="X1601" t="s">
        <v>46</v>
      </c>
      <c r="Y1601" t="s">
        <v>41</v>
      </c>
      <c r="Z1601">
        <v>208.087176201809</v>
      </c>
    </row>
    <row r="1602" spans="1:26" x14ac:dyDescent="0.3">
      <c r="A1602" t="s">
        <v>42</v>
      </c>
      <c r="B1602" t="s">
        <v>1658</v>
      </c>
      <c r="D1602">
        <v>48</v>
      </c>
      <c r="E1602">
        <v>245</v>
      </c>
      <c r="F1602">
        <v>6179.6819526951103</v>
      </c>
      <c r="G1602" t="s">
        <v>54</v>
      </c>
      <c r="H1602">
        <v>74</v>
      </c>
      <c r="I1602">
        <v>4</v>
      </c>
      <c r="J1602">
        <v>47</v>
      </c>
      <c r="K1602">
        <v>2</v>
      </c>
      <c r="L1602" t="s">
        <v>27</v>
      </c>
      <c r="M1602">
        <v>11.4584849663841</v>
      </c>
      <c r="N1602" t="s">
        <v>45</v>
      </c>
      <c r="O1602" t="s">
        <v>38</v>
      </c>
      <c r="P1602">
        <f>VLOOKUP(O1602, Coordinates!$A$2:$C$6, 2, FALSE)</f>
        <v>25.761700000000001</v>
      </c>
      <c r="Q1602">
        <f>VLOOKUP(O1602, Coordinates!$A$2:$C$6, 3, FALSE)</f>
        <v>-80.191800000000001</v>
      </c>
      <c r="R1602">
        <v>26</v>
      </c>
      <c r="S1602">
        <v>797</v>
      </c>
      <c r="T1602">
        <v>27</v>
      </c>
      <c r="U1602">
        <v>42.295038565101798</v>
      </c>
      <c r="V1602" t="s">
        <v>39</v>
      </c>
      <c r="W1602">
        <v>4.58403384198024</v>
      </c>
      <c r="X1602" t="s">
        <v>40</v>
      </c>
      <c r="Y1602" t="s">
        <v>60</v>
      </c>
      <c r="Z1602">
        <v>638.48431801230799</v>
      </c>
    </row>
    <row r="1603" spans="1:26" x14ac:dyDescent="0.3">
      <c r="A1603" t="s">
        <v>72</v>
      </c>
      <c r="B1603" t="s">
        <v>1659</v>
      </c>
      <c r="C1603">
        <v>20.689150342778099</v>
      </c>
      <c r="D1603">
        <v>79</v>
      </c>
      <c r="E1603">
        <v>786</v>
      </c>
      <c r="F1603">
        <v>14635.5049524812</v>
      </c>
      <c r="G1603" t="s">
        <v>35</v>
      </c>
      <c r="H1603">
        <v>80</v>
      </c>
      <c r="I1603">
        <v>4</v>
      </c>
      <c r="J1603">
        <v>79</v>
      </c>
      <c r="K1603">
        <v>6</v>
      </c>
      <c r="L1603" t="s">
        <v>27</v>
      </c>
      <c r="M1603">
        <v>9.3842925388371192</v>
      </c>
      <c r="N1603" t="s">
        <v>37</v>
      </c>
      <c r="O1603" t="s">
        <v>29</v>
      </c>
      <c r="P1603">
        <f>VLOOKUP(O1603, Coordinates!$A$2:$C$6, 2, FALSE)</f>
        <v>29.760400000000001</v>
      </c>
      <c r="Q1603">
        <f>VLOOKUP(O1603, Coordinates!$A$2:$C$6, 3, FALSE)</f>
        <v>-95.369799999999998</v>
      </c>
      <c r="R1603">
        <v>30</v>
      </c>
      <c r="S1603">
        <v>871</v>
      </c>
      <c r="T1603">
        <v>13</v>
      </c>
      <c r="U1603">
        <v>75.675824372458493</v>
      </c>
      <c r="V1603" t="s">
        <v>30</v>
      </c>
      <c r="W1603">
        <v>2.1828974974337001</v>
      </c>
      <c r="X1603" t="s">
        <v>40</v>
      </c>
      <c r="Y1603" t="s">
        <v>32</v>
      </c>
      <c r="Z1603">
        <v>189.87689031563499</v>
      </c>
    </row>
    <row r="1604" spans="1:26" x14ac:dyDescent="0.3">
      <c r="A1604" t="s">
        <v>72</v>
      </c>
      <c r="B1604" t="s">
        <v>1660</v>
      </c>
      <c r="C1604">
        <v>28.498113505119001</v>
      </c>
      <c r="D1604">
        <v>2</v>
      </c>
      <c r="E1604">
        <v>735</v>
      </c>
      <c r="F1604">
        <v>18851.502083636198</v>
      </c>
      <c r="G1604" t="s">
        <v>48</v>
      </c>
      <c r="H1604">
        <v>33</v>
      </c>
      <c r="I1604">
        <v>18</v>
      </c>
      <c r="J1604">
        <v>73</v>
      </c>
      <c r="K1604">
        <v>6</v>
      </c>
      <c r="L1604" t="s">
        <v>44</v>
      </c>
      <c r="M1604">
        <v>6.2914780830702899</v>
      </c>
      <c r="N1604" t="s">
        <v>28</v>
      </c>
      <c r="O1604" t="s">
        <v>67</v>
      </c>
      <c r="P1604">
        <f>VLOOKUP(O1604, Coordinates!$A$2:$C$6, 2, FALSE)</f>
        <v>40.712800000000001</v>
      </c>
      <c r="Q1604">
        <f>VLOOKUP(O1604, Coordinates!$A$2:$C$6, 3, FALSE)</f>
        <v>-74.006</v>
      </c>
      <c r="R1604">
        <v>14</v>
      </c>
      <c r="S1604">
        <v>769</v>
      </c>
      <c r="T1604">
        <v>1</v>
      </c>
      <c r="U1604">
        <v>84.253825494672398</v>
      </c>
      <c r="V1604" t="s">
        <v>30</v>
      </c>
      <c r="W1604">
        <v>0.28210292353609301</v>
      </c>
      <c r="X1604" t="s">
        <v>31</v>
      </c>
      <c r="Y1604" t="s">
        <v>60</v>
      </c>
      <c r="Z1604">
        <v>770.99876844525102</v>
      </c>
    </row>
    <row r="1605" spans="1:26" x14ac:dyDescent="0.3">
      <c r="A1605" t="s">
        <v>82</v>
      </c>
      <c r="B1605" t="s">
        <v>1661</v>
      </c>
      <c r="C1605">
        <v>74.277300576795994</v>
      </c>
      <c r="D1605">
        <v>71</v>
      </c>
      <c r="E1605">
        <v>421</v>
      </c>
      <c r="F1605">
        <v>9737.6877808092995</v>
      </c>
      <c r="G1605" t="s">
        <v>26</v>
      </c>
      <c r="H1605">
        <v>18</v>
      </c>
      <c r="I1605">
        <v>16</v>
      </c>
      <c r="J1605">
        <v>16</v>
      </c>
      <c r="K1605">
        <v>8</v>
      </c>
      <c r="L1605" t="s">
        <v>36</v>
      </c>
      <c r="M1605">
        <v>13.818127694861801</v>
      </c>
      <c r="N1605" t="s">
        <v>51</v>
      </c>
      <c r="O1605" t="s">
        <v>38</v>
      </c>
      <c r="P1605">
        <f>VLOOKUP(O1605, Coordinates!$A$2:$C$6, 2, FALSE)</f>
        <v>25.761700000000001</v>
      </c>
      <c r="Q1605">
        <f>VLOOKUP(O1605, Coordinates!$A$2:$C$6, 3, FALSE)</f>
        <v>-80.191800000000001</v>
      </c>
      <c r="R1605">
        <v>8</v>
      </c>
      <c r="S1605">
        <v>156</v>
      </c>
      <c r="T1605">
        <v>16</v>
      </c>
      <c r="U1605">
        <v>91.488611235262496</v>
      </c>
      <c r="V1605" t="s">
        <v>55</v>
      </c>
      <c r="W1605">
        <v>4.8781580757545102</v>
      </c>
      <c r="X1605" t="s">
        <v>31</v>
      </c>
      <c r="Y1605" t="s">
        <v>41</v>
      </c>
      <c r="Z1605">
        <v>157.370169336007</v>
      </c>
    </row>
    <row r="1606" spans="1:26" x14ac:dyDescent="0.3">
      <c r="A1606" t="s">
        <v>61</v>
      </c>
      <c r="B1606" t="s">
        <v>1662</v>
      </c>
      <c r="C1606">
        <v>62.798848908601599</v>
      </c>
      <c r="D1606">
        <v>32</v>
      </c>
      <c r="E1606">
        <v>922</v>
      </c>
      <c r="F1606">
        <v>9527.2951099999991</v>
      </c>
      <c r="G1606" t="s">
        <v>26</v>
      </c>
      <c r="H1606">
        <v>38</v>
      </c>
      <c r="I1606">
        <v>14</v>
      </c>
      <c r="J1606">
        <v>53</v>
      </c>
      <c r="K1606">
        <v>8</v>
      </c>
      <c r="L1606" t="s">
        <v>44</v>
      </c>
      <c r="M1606">
        <v>13.1951375821537</v>
      </c>
      <c r="N1606" t="s">
        <v>37</v>
      </c>
      <c r="O1606" t="s">
        <v>58</v>
      </c>
      <c r="P1606">
        <f>VLOOKUP(O1606, Coordinates!$A$2:$C$6, 2, FALSE)</f>
        <v>34.052199999999999</v>
      </c>
      <c r="Q1606">
        <f>VLOOKUP(O1606, Coordinates!$A$2:$C$6, 3, FALSE)</f>
        <v>-118.2437</v>
      </c>
      <c r="R1606">
        <v>5</v>
      </c>
      <c r="S1606">
        <v>658</v>
      </c>
      <c r="T1606">
        <v>19</v>
      </c>
      <c r="U1606">
        <v>96.763191015845194</v>
      </c>
      <c r="V1606" t="s">
        <v>55</v>
      </c>
      <c r="W1606">
        <v>2.1256106710067399</v>
      </c>
      <c r="X1606" t="s">
        <v>40</v>
      </c>
      <c r="Y1606" t="s">
        <v>60</v>
      </c>
      <c r="Z1606">
        <v>782.02993099059597</v>
      </c>
    </row>
    <row r="1607" spans="1:26" x14ac:dyDescent="0.3">
      <c r="A1607" t="s">
        <v>42</v>
      </c>
      <c r="B1607" t="s">
        <v>1663</v>
      </c>
      <c r="C1607">
        <v>72.130255029421605</v>
      </c>
      <c r="D1607">
        <v>4</v>
      </c>
      <c r="E1607">
        <v>180</v>
      </c>
      <c r="F1607">
        <v>8961.1478835243597</v>
      </c>
      <c r="G1607" t="s">
        <v>48</v>
      </c>
      <c r="H1607">
        <v>81</v>
      </c>
      <c r="I1607">
        <v>17</v>
      </c>
      <c r="J1607">
        <v>85</v>
      </c>
      <c r="K1607">
        <v>1</v>
      </c>
      <c r="L1607" t="s">
        <v>44</v>
      </c>
      <c r="M1607">
        <v>6.9674595533909001</v>
      </c>
      <c r="N1607" t="s">
        <v>37</v>
      </c>
      <c r="O1607" t="s">
        <v>29</v>
      </c>
      <c r="P1607">
        <f>VLOOKUP(O1607, Coordinates!$A$2:$C$6, 2, FALSE)</f>
        <v>29.760400000000001</v>
      </c>
      <c r="Q1607">
        <f>VLOOKUP(O1607, Coordinates!$A$2:$C$6, 3, FALSE)</f>
        <v>-95.369799999999998</v>
      </c>
      <c r="R1607">
        <v>30</v>
      </c>
      <c r="S1607">
        <v>501</v>
      </c>
      <c r="T1607">
        <v>28</v>
      </c>
      <c r="U1607">
        <v>37.004575247542597</v>
      </c>
      <c r="V1607" t="s">
        <v>30</v>
      </c>
      <c r="W1607">
        <v>4.2553750216086002</v>
      </c>
      <c r="X1607" t="s">
        <v>31</v>
      </c>
      <c r="Y1607" t="s">
        <v>32</v>
      </c>
      <c r="Z1607">
        <v>895.14316367728702</v>
      </c>
    </row>
    <row r="1608" spans="1:26" x14ac:dyDescent="0.3">
      <c r="A1608" t="s">
        <v>33</v>
      </c>
      <c r="B1608" t="s">
        <v>1664</v>
      </c>
      <c r="C1608">
        <v>40.575637996961603</v>
      </c>
      <c r="D1608">
        <v>20</v>
      </c>
      <c r="E1608">
        <v>828</v>
      </c>
      <c r="F1608">
        <v>2931.0086919999999</v>
      </c>
      <c r="G1608" t="s">
        <v>48</v>
      </c>
      <c r="H1608">
        <v>0</v>
      </c>
      <c r="I1608">
        <v>26</v>
      </c>
      <c r="J1608">
        <v>16</v>
      </c>
      <c r="K1608">
        <v>5</v>
      </c>
      <c r="L1608" t="s">
        <v>44</v>
      </c>
      <c r="M1608">
        <v>4.2441493884050701</v>
      </c>
      <c r="N1608" t="s">
        <v>51</v>
      </c>
      <c r="O1608" t="s">
        <v>67</v>
      </c>
      <c r="P1608">
        <f>VLOOKUP(O1608, Coordinates!$A$2:$C$6, 2, FALSE)</f>
        <v>40.712800000000001</v>
      </c>
      <c r="Q1608">
        <f>VLOOKUP(O1608, Coordinates!$A$2:$C$6, 3, FALSE)</f>
        <v>-74.006</v>
      </c>
      <c r="R1608">
        <v>7</v>
      </c>
      <c r="S1608">
        <v>321</v>
      </c>
      <c r="T1608">
        <v>19</v>
      </c>
      <c r="U1608">
        <v>57.6706706830755</v>
      </c>
      <c r="V1608" t="s">
        <v>30</v>
      </c>
      <c r="W1608">
        <v>0.36977146130576</v>
      </c>
      <c r="X1608" t="s">
        <v>46</v>
      </c>
      <c r="Y1608" t="s">
        <v>32</v>
      </c>
      <c r="Z1608">
        <v>368.68747820220801</v>
      </c>
    </row>
    <row r="1609" spans="1:26" x14ac:dyDescent="0.3">
      <c r="A1609" t="s">
        <v>49</v>
      </c>
      <c r="B1609" t="s">
        <v>1665</v>
      </c>
      <c r="C1609">
        <v>40.1007837329811</v>
      </c>
      <c r="D1609">
        <v>36</v>
      </c>
      <c r="E1609">
        <v>475</v>
      </c>
      <c r="F1609">
        <v>6706.4955040000004</v>
      </c>
      <c r="G1609" t="s">
        <v>26</v>
      </c>
      <c r="H1609">
        <v>4</v>
      </c>
      <c r="I1609">
        <v>3</v>
      </c>
      <c r="J1609">
        <v>75</v>
      </c>
      <c r="K1609">
        <v>2</v>
      </c>
      <c r="L1609" t="s">
        <v>36</v>
      </c>
      <c r="M1609">
        <v>4.8160033718577999</v>
      </c>
      <c r="N1609" t="s">
        <v>51</v>
      </c>
      <c r="O1609" t="s">
        <v>67</v>
      </c>
      <c r="P1609">
        <f>VLOOKUP(O1609, Coordinates!$A$2:$C$6, 2, FALSE)</f>
        <v>40.712800000000001</v>
      </c>
      <c r="Q1609">
        <f>VLOOKUP(O1609, Coordinates!$A$2:$C$6, 3, FALSE)</f>
        <v>-74.006</v>
      </c>
      <c r="R1609">
        <v>4</v>
      </c>
      <c r="S1609">
        <v>574</v>
      </c>
      <c r="T1609">
        <v>21</v>
      </c>
      <c r="U1609">
        <v>66.863872662834893</v>
      </c>
      <c r="V1609" t="s">
        <v>55</v>
      </c>
      <c r="W1609">
        <v>4.050324399</v>
      </c>
      <c r="X1609" t="s">
        <v>31</v>
      </c>
      <c r="Y1609" t="s">
        <v>32</v>
      </c>
      <c r="Z1609">
        <v>800.46278632051099</v>
      </c>
    </row>
    <row r="1610" spans="1:26" x14ac:dyDescent="0.3">
      <c r="A1610" t="s">
        <v>33</v>
      </c>
      <c r="B1610" t="s">
        <v>1666</v>
      </c>
      <c r="C1610">
        <v>9.3053315012849804</v>
      </c>
      <c r="D1610">
        <v>32</v>
      </c>
      <c r="E1610">
        <v>857</v>
      </c>
      <c r="F1610">
        <v>7848.0232566511604</v>
      </c>
      <c r="G1610" t="s">
        <v>35</v>
      </c>
      <c r="H1610">
        <v>49</v>
      </c>
      <c r="I1610">
        <v>6</v>
      </c>
      <c r="J1610">
        <v>69</v>
      </c>
      <c r="K1610">
        <v>10</v>
      </c>
      <c r="L1610" t="s">
        <v>44</v>
      </c>
      <c r="M1610">
        <v>4.0845300830757498</v>
      </c>
      <c r="N1610" t="s">
        <v>57</v>
      </c>
      <c r="O1610" t="s">
        <v>29</v>
      </c>
      <c r="P1610">
        <f>VLOOKUP(O1610, Coordinates!$A$2:$C$6, 2, FALSE)</f>
        <v>29.760400000000001</v>
      </c>
      <c r="Q1610">
        <f>VLOOKUP(O1610, Coordinates!$A$2:$C$6, 3, FALSE)</f>
        <v>-95.369799999999998</v>
      </c>
      <c r="R1610">
        <v>8</v>
      </c>
      <c r="S1610">
        <v>207</v>
      </c>
      <c r="T1610">
        <v>26</v>
      </c>
      <c r="U1610">
        <v>24.7464052098811</v>
      </c>
      <c r="V1610" t="s">
        <v>55</v>
      </c>
      <c r="W1610">
        <v>0.86702318855652405</v>
      </c>
      <c r="X1610" t="s">
        <v>46</v>
      </c>
      <c r="Y1610" t="s">
        <v>60</v>
      </c>
      <c r="Z1610">
        <v>475.76908838131402</v>
      </c>
    </row>
    <row r="1611" spans="1:26" x14ac:dyDescent="0.3">
      <c r="A1611" t="s">
        <v>61</v>
      </c>
      <c r="B1611" t="s">
        <v>1667</v>
      </c>
      <c r="C1611">
        <v>38.244769255315703</v>
      </c>
      <c r="D1611">
        <v>28</v>
      </c>
      <c r="E1611">
        <v>237</v>
      </c>
      <c r="F1611">
        <v>9874.2513537678606</v>
      </c>
      <c r="G1611" t="s">
        <v>48</v>
      </c>
      <c r="H1611">
        <v>22</v>
      </c>
      <c r="I1611">
        <v>23</v>
      </c>
      <c r="J1611">
        <v>10</v>
      </c>
      <c r="K1611">
        <v>5</v>
      </c>
      <c r="L1611" t="s">
        <v>36</v>
      </c>
      <c r="M1611">
        <v>8.5775274786476103</v>
      </c>
      <c r="N1611" t="s">
        <v>57</v>
      </c>
      <c r="O1611" t="s">
        <v>29</v>
      </c>
      <c r="P1611">
        <f>VLOOKUP(O1611, Coordinates!$A$2:$C$6, 2, FALSE)</f>
        <v>29.760400000000001</v>
      </c>
      <c r="Q1611">
        <f>VLOOKUP(O1611, Coordinates!$A$2:$C$6, 3, FALSE)</f>
        <v>-95.369799999999998</v>
      </c>
      <c r="R1611">
        <v>4</v>
      </c>
      <c r="S1611">
        <v>962</v>
      </c>
      <c r="T1611">
        <v>30</v>
      </c>
      <c r="U1611">
        <v>14.8012330532486</v>
      </c>
      <c r="V1611" t="s">
        <v>55</v>
      </c>
      <c r="W1611">
        <v>3.3970247149848101</v>
      </c>
      <c r="X1611" t="s">
        <v>40</v>
      </c>
      <c r="Y1611" t="s">
        <v>60</v>
      </c>
      <c r="Z1611">
        <v>817.94224611935499</v>
      </c>
    </row>
    <row r="1612" spans="1:26" x14ac:dyDescent="0.3">
      <c r="A1612" t="s">
        <v>72</v>
      </c>
      <c r="B1612" t="s">
        <v>1668</v>
      </c>
      <c r="C1612">
        <v>37.932721940343598</v>
      </c>
      <c r="D1612">
        <v>77</v>
      </c>
      <c r="E1612">
        <v>667</v>
      </c>
      <c r="F1612">
        <v>22771.012980788299</v>
      </c>
      <c r="G1612" t="s">
        <v>35</v>
      </c>
      <c r="H1612">
        <v>87</v>
      </c>
      <c r="I1612">
        <v>13</v>
      </c>
      <c r="J1612">
        <v>71</v>
      </c>
      <c r="K1612">
        <v>10</v>
      </c>
      <c r="L1612" t="s">
        <v>36</v>
      </c>
      <c r="M1612">
        <v>13.159543599984101</v>
      </c>
      <c r="N1612" t="s">
        <v>51</v>
      </c>
      <c r="O1612" t="s">
        <v>67</v>
      </c>
      <c r="P1612">
        <f>VLOOKUP(O1612, Coordinates!$A$2:$C$6, 2, FALSE)</f>
        <v>40.712800000000001</v>
      </c>
      <c r="Q1612">
        <f>VLOOKUP(O1612, Coordinates!$A$2:$C$6, 3, FALSE)</f>
        <v>-74.006</v>
      </c>
      <c r="R1612">
        <v>21</v>
      </c>
      <c r="S1612">
        <v>911</v>
      </c>
      <c r="T1612">
        <v>13</v>
      </c>
      <c r="U1612">
        <v>85.069913420001498</v>
      </c>
      <c r="V1612" t="s">
        <v>55</v>
      </c>
      <c r="W1612">
        <v>3.3090334812754501</v>
      </c>
      <c r="X1612" t="s">
        <v>31</v>
      </c>
      <c r="Y1612" t="s">
        <v>60</v>
      </c>
      <c r="Z1612">
        <v>717.62713269725998</v>
      </c>
    </row>
    <row r="1613" spans="1:26" x14ac:dyDescent="0.3">
      <c r="A1613" t="s">
        <v>33</v>
      </c>
      <c r="B1613" t="s">
        <v>1669</v>
      </c>
      <c r="C1613">
        <v>41.026521032142597</v>
      </c>
      <c r="D1613">
        <v>1</v>
      </c>
      <c r="E1613">
        <v>456</v>
      </c>
      <c r="F1613">
        <v>7894.2330956736596</v>
      </c>
      <c r="G1613" t="s">
        <v>26</v>
      </c>
      <c r="H1613">
        <v>28</v>
      </c>
      <c r="I1613">
        <v>9</v>
      </c>
      <c r="J1613">
        <v>96</v>
      </c>
      <c r="K1613">
        <v>9</v>
      </c>
      <c r="L1613" t="s">
        <v>36</v>
      </c>
      <c r="M1613">
        <v>11.8305675407743</v>
      </c>
      <c r="N1613" t="s">
        <v>37</v>
      </c>
      <c r="O1613" t="s">
        <v>38</v>
      </c>
      <c r="P1613">
        <f>VLOOKUP(O1613, Coordinates!$A$2:$C$6, 2, FALSE)</f>
        <v>25.761700000000001</v>
      </c>
      <c r="Q1613">
        <f>VLOOKUP(O1613, Coordinates!$A$2:$C$6, 3, FALSE)</f>
        <v>-80.191800000000001</v>
      </c>
      <c r="R1613">
        <v>30</v>
      </c>
      <c r="S1613">
        <v>279</v>
      </c>
      <c r="T1613">
        <v>29</v>
      </c>
      <c r="U1613">
        <v>58.1971159679835</v>
      </c>
      <c r="V1613" t="s">
        <v>30</v>
      </c>
      <c r="W1613">
        <v>4.5490335913342896</v>
      </c>
      <c r="X1613" t="s">
        <v>46</v>
      </c>
      <c r="Y1613" t="s">
        <v>32</v>
      </c>
      <c r="Z1613">
        <v>360.22646107477698</v>
      </c>
    </row>
    <row r="1614" spans="1:26" x14ac:dyDescent="0.3">
      <c r="A1614" t="s">
        <v>82</v>
      </c>
      <c r="B1614" t="s">
        <v>1670</v>
      </c>
      <c r="C1614">
        <v>83.979932091087093</v>
      </c>
      <c r="D1614">
        <v>60</v>
      </c>
      <c r="E1614">
        <v>281</v>
      </c>
      <c r="F1614">
        <v>4049.21052934401</v>
      </c>
      <c r="G1614" t="s">
        <v>35</v>
      </c>
      <c r="H1614">
        <v>71</v>
      </c>
      <c r="I1614">
        <v>21</v>
      </c>
      <c r="J1614">
        <v>98</v>
      </c>
      <c r="K1614">
        <v>4</v>
      </c>
      <c r="L1614" t="s">
        <v>44</v>
      </c>
      <c r="M1614">
        <v>12.137146439236099</v>
      </c>
      <c r="N1614" t="s">
        <v>28</v>
      </c>
      <c r="O1614" t="s">
        <v>58</v>
      </c>
      <c r="P1614">
        <f>VLOOKUP(O1614, Coordinates!$A$2:$C$6, 2, FALSE)</f>
        <v>34.052199999999999</v>
      </c>
      <c r="Q1614">
        <f>VLOOKUP(O1614, Coordinates!$A$2:$C$6, 3, FALSE)</f>
        <v>-118.2437</v>
      </c>
      <c r="R1614">
        <v>1</v>
      </c>
      <c r="S1614">
        <v>276</v>
      </c>
      <c r="T1614">
        <v>7</v>
      </c>
      <c r="U1614">
        <v>61.369679472403497</v>
      </c>
      <c r="V1614" t="s">
        <v>55</v>
      </c>
      <c r="W1614">
        <v>1.6033834017536901</v>
      </c>
      <c r="X1614" t="s">
        <v>52</v>
      </c>
      <c r="Y1614" t="s">
        <v>60</v>
      </c>
      <c r="Z1614">
        <v>274.360292976827</v>
      </c>
    </row>
    <row r="1615" spans="1:26" x14ac:dyDescent="0.3">
      <c r="A1615" t="s">
        <v>61</v>
      </c>
      <c r="B1615" t="s">
        <v>1671</v>
      </c>
      <c r="C1615">
        <v>85.020922951243705</v>
      </c>
      <c r="D1615">
        <v>56</v>
      </c>
      <c r="E1615">
        <v>233</v>
      </c>
      <c r="F1615">
        <v>2580.6381901120199</v>
      </c>
      <c r="G1615" t="s">
        <v>35</v>
      </c>
      <c r="H1615">
        <v>25</v>
      </c>
      <c r="I1615">
        <v>9</v>
      </c>
      <c r="J1615">
        <v>27</v>
      </c>
      <c r="K1615">
        <v>8</v>
      </c>
      <c r="L1615" t="s">
        <v>36</v>
      </c>
      <c r="M1615">
        <v>7.2760388837950298</v>
      </c>
      <c r="N1615" t="s">
        <v>37</v>
      </c>
      <c r="O1615" t="s">
        <v>38</v>
      </c>
      <c r="P1615">
        <f>VLOOKUP(O1615, Coordinates!$A$2:$C$6, 2, FALSE)</f>
        <v>25.761700000000001</v>
      </c>
      <c r="Q1615">
        <f>VLOOKUP(O1615, Coordinates!$A$2:$C$6, 3, FALSE)</f>
        <v>-80.191800000000001</v>
      </c>
      <c r="R1615">
        <v>26</v>
      </c>
      <c r="S1615">
        <v>586</v>
      </c>
      <c r="T1615">
        <v>15</v>
      </c>
      <c r="U1615">
        <v>59.942291088515901</v>
      </c>
      <c r="V1615" t="s">
        <v>30</v>
      </c>
      <c r="W1615">
        <v>0.54479879957821198</v>
      </c>
      <c r="X1615" t="s">
        <v>52</v>
      </c>
      <c r="Y1615" t="s">
        <v>32</v>
      </c>
      <c r="Z1615">
        <v>923.26792251836196</v>
      </c>
    </row>
    <row r="1616" spans="1:26" x14ac:dyDescent="0.3">
      <c r="A1616" t="s">
        <v>72</v>
      </c>
      <c r="B1616" t="s">
        <v>1672</v>
      </c>
      <c r="D1616">
        <v>35</v>
      </c>
      <c r="E1616">
        <v>175</v>
      </c>
      <c r="F1616">
        <v>5040.79238328884</v>
      </c>
      <c r="G1616" t="s">
        <v>48</v>
      </c>
      <c r="H1616">
        <v>78</v>
      </c>
      <c r="I1616">
        <v>8</v>
      </c>
      <c r="J1616">
        <v>16</v>
      </c>
      <c r="K1616">
        <v>1</v>
      </c>
      <c r="L1616" t="s">
        <v>36</v>
      </c>
      <c r="M1616">
        <v>5.5142276451773196</v>
      </c>
      <c r="N1616" t="s">
        <v>28</v>
      </c>
      <c r="O1616" t="s">
        <v>65</v>
      </c>
      <c r="P1616">
        <f>VLOOKUP(O1616, Coordinates!$A$2:$C$6, 2, FALSE)</f>
        <v>41.878100000000003</v>
      </c>
      <c r="Q1616">
        <f>VLOOKUP(O1616, Coordinates!$A$2:$C$6, 3, FALSE)</f>
        <v>-87.629800000000003</v>
      </c>
      <c r="R1616">
        <v>8</v>
      </c>
      <c r="S1616">
        <v>513</v>
      </c>
      <c r="T1616">
        <v>26</v>
      </c>
      <c r="U1616">
        <v>83.3162515864542</v>
      </c>
      <c r="V1616" t="s">
        <v>55</v>
      </c>
      <c r="W1616">
        <v>4.3228290812993704</v>
      </c>
      <c r="X1616" t="s">
        <v>52</v>
      </c>
      <c r="Y1616" t="s">
        <v>32</v>
      </c>
      <c r="Z1616">
        <v>855.08125356767903</v>
      </c>
    </row>
    <row r="1617" spans="1:26" x14ac:dyDescent="0.3">
      <c r="A1617" t="s">
        <v>49</v>
      </c>
      <c r="B1617" t="s">
        <v>1673</v>
      </c>
      <c r="C1617">
        <v>65.038924637637905</v>
      </c>
      <c r="D1617">
        <v>30</v>
      </c>
      <c r="E1617">
        <v>739</v>
      </c>
      <c r="F1617">
        <v>8144.5232093375398</v>
      </c>
      <c r="G1617" t="s">
        <v>35</v>
      </c>
      <c r="H1617">
        <v>56</v>
      </c>
      <c r="I1617">
        <v>17</v>
      </c>
      <c r="J1617">
        <v>63</v>
      </c>
      <c r="K1617">
        <v>8</v>
      </c>
      <c r="L1617" t="s">
        <v>27</v>
      </c>
      <c r="M1617">
        <v>11.602980789870699</v>
      </c>
      <c r="N1617" t="s">
        <v>51</v>
      </c>
      <c r="O1617" t="s">
        <v>65</v>
      </c>
      <c r="P1617">
        <f>VLOOKUP(O1617, Coordinates!$A$2:$C$6, 2, FALSE)</f>
        <v>41.878100000000003</v>
      </c>
      <c r="Q1617">
        <f>VLOOKUP(O1617, Coordinates!$A$2:$C$6, 3, FALSE)</f>
        <v>-87.629800000000003</v>
      </c>
      <c r="R1617">
        <v>7</v>
      </c>
      <c r="S1617">
        <v>791</v>
      </c>
      <c r="T1617">
        <v>6</v>
      </c>
      <c r="U1617">
        <v>23.095175021383799</v>
      </c>
      <c r="V1617" t="s">
        <v>39</v>
      </c>
      <c r="W1617">
        <v>1.6578876482018301</v>
      </c>
      <c r="X1617" t="s">
        <v>46</v>
      </c>
      <c r="Y1617" t="s">
        <v>41</v>
      </c>
      <c r="Z1617">
        <v>693.91181652048294</v>
      </c>
    </row>
    <row r="1618" spans="1:26" x14ac:dyDescent="0.3">
      <c r="A1618" t="s">
        <v>72</v>
      </c>
      <c r="B1618" t="s">
        <v>1674</v>
      </c>
      <c r="C1618">
        <v>27.470493773041099</v>
      </c>
      <c r="D1618">
        <v>54</v>
      </c>
      <c r="E1618">
        <v>217</v>
      </c>
      <c r="F1618">
        <v>5364.9874338749296</v>
      </c>
      <c r="G1618" t="s">
        <v>35</v>
      </c>
      <c r="H1618">
        <v>0</v>
      </c>
      <c r="I1618">
        <v>16</v>
      </c>
      <c r="J1618">
        <v>76</v>
      </c>
      <c r="K1618">
        <v>6</v>
      </c>
      <c r="L1618" t="s">
        <v>44</v>
      </c>
      <c r="M1618">
        <v>12.1061758619628</v>
      </c>
      <c r="N1618" t="s">
        <v>28</v>
      </c>
      <c r="O1618" t="s">
        <v>65</v>
      </c>
      <c r="P1618">
        <f>VLOOKUP(O1618, Coordinates!$A$2:$C$6, 2, FALSE)</f>
        <v>41.878100000000003</v>
      </c>
      <c r="Q1618">
        <f>VLOOKUP(O1618, Coordinates!$A$2:$C$6, 3, FALSE)</f>
        <v>-87.629800000000003</v>
      </c>
      <c r="R1618">
        <v>11</v>
      </c>
      <c r="S1618">
        <v>136</v>
      </c>
      <c r="T1618">
        <v>4</v>
      </c>
      <c r="U1618">
        <v>81.296845434360606</v>
      </c>
      <c r="V1618" t="s">
        <v>55</v>
      </c>
      <c r="W1618">
        <v>1.16266894530234</v>
      </c>
      <c r="X1618" t="s">
        <v>31</v>
      </c>
      <c r="Y1618" t="s">
        <v>41</v>
      </c>
      <c r="Z1618">
        <v>414.43445637644402</v>
      </c>
    </row>
    <row r="1619" spans="1:26" x14ac:dyDescent="0.3">
      <c r="A1619" t="s">
        <v>24</v>
      </c>
      <c r="B1619" t="s">
        <v>1675</v>
      </c>
      <c r="C1619">
        <v>35.442466463529499</v>
      </c>
      <c r="D1619">
        <v>36</v>
      </c>
      <c r="E1619">
        <v>286</v>
      </c>
      <c r="F1619">
        <v>9122.8908677124891</v>
      </c>
      <c r="G1619" t="s">
        <v>35</v>
      </c>
      <c r="H1619">
        <v>27</v>
      </c>
      <c r="I1619">
        <v>16</v>
      </c>
      <c r="J1619">
        <v>19</v>
      </c>
      <c r="K1619">
        <v>8</v>
      </c>
      <c r="L1619" t="s">
        <v>27</v>
      </c>
      <c r="M1619">
        <v>10.7349518907298</v>
      </c>
      <c r="N1619" t="s">
        <v>57</v>
      </c>
      <c r="O1619" t="s">
        <v>67</v>
      </c>
      <c r="P1619">
        <f>VLOOKUP(O1619, Coordinates!$A$2:$C$6, 2, FALSE)</f>
        <v>40.712800000000001</v>
      </c>
      <c r="Q1619">
        <f>VLOOKUP(O1619, Coordinates!$A$2:$C$6, 3, FALSE)</f>
        <v>-74.006</v>
      </c>
      <c r="R1619">
        <v>21</v>
      </c>
      <c r="S1619">
        <v>674</v>
      </c>
      <c r="T1619">
        <v>22</v>
      </c>
      <c r="U1619">
        <v>89.459242591293801</v>
      </c>
      <c r="V1619" t="s">
        <v>55</v>
      </c>
      <c r="W1619">
        <v>2.43104305994181</v>
      </c>
      <c r="X1619" t="s">
        <v>52</v>
      </c>
      <c r="Y1619" t="s">
        <v>32</v>
      </c>
      <c r="Z1619">
        <v>559.41344514324805</v>
      </c>
    </row>
    <row r="1620" spans="1:26" x14ac:dyDescent="0.3">
      <c r="A1620" t="s">
        <v>82</v>
      </c>
      <c r="B1620" t="s">
        <v>1676</v>
      </c>
      <c r="C1620">
        <v>9.6224780478627601</v>
      </c>
      <c r="D1620">
        <v>55</v>
      </c>
      <c r="E1620">
        <v>45</v>
      </c>
      <c r="F1620">
        <v>9956.4346920000007</v>
      </c>
      <c r="G1620" t="s">
        <v>26</v>
      </c>
      <c r="H1620">
        <v>61</v>
      </c>
      <c r="I1620">
        <v>27</v>
      </c>
      <c r="J1620">
        <v>70</v>
      </c>
      <c r="K1620">
        <v>6</v>
      </c>
      <c r="L1620" t="s">
        <v>27</v>
      </c>
      <c r="M1620">
        <v>1.4494997155917499</v>
      </c>
      <c r="N1620" t="s">
        <v>51</v>
      </c>
      <c r="O1620" t="s">
        <v>58</v>
      </c>
      <c r="P1620">
        <f>VLOOKUP(O1620, Coordinates!$A$2:$C$6, 2, FALSE)</f>
        <v>34.052199999999999</v>
      </c>
      <c r="Q1620">
        <f>VLOOKUP(O1620, Coordinates!$A$2:$C$6, 3, FALSE)</f>
        <v>-118.2437</v>
      </c>
      <c r="R1620">
        <v>16</v>
      </c>
      <c r="S1620">
        <v>367</v>
      </c>
      <c r="T1620">
        <v>23</v>
      </c>
      <c r="U1620">
        <v>90.726234355695098</v>
      </c>
      <c r="V1620" t="s">
        <v>30</v>
      </c>
      <c r="W1620">
        <v>0.73067845005894905</v>
      </c>
      <c r="X1620" t="s">
        <v>40</v>
      </c>
      <c r="Y1620" t="s">
        <v>32</v>
      </c>
      <c r="Z1620">
        <v>602.07771780133498</v>
      </c>
    </row>
    <row r="1621" spans="1:26" x14ac:dyDescent="0.3">
      <c r="A1621" t="s">
        <v>61</v>
      </c>
      <c r="B1621" t="s">
        <v>1677</v>
      </c>
      <c r="C1621">
        <v>60.19643387</v>
      </c>
      <c r="D1621">
        <v>89</v>
      </c>
      <c r="E1621">
        <v>126</v>
      </c>
      <c r="F1621">
        <v>4591.9836960168304</v>
      </c>
      <c r="G1621" t="s">
        <v>26</v>
      </c>
      <c r="H1621">
        <v>46</v>
      </c>
      <c r="I1621">
        <v>28</v>
      </c>
      <c r="J1621">
        <v>68</v>
      </c>
      <c r="K1621">
        <v>3</v>
      </c>
      <c r="L1621" t="s">
        <v>44</v>
      </c>
      <c r="M1621">
        <v>9.2555856329587698</v>
      </c>
      <c r="N1621" t="s">
        <v>45</v>
      </c>
      <c r="O1621" t="s">
        <v>38</v>
      </c>
      <c r="P1621">
        <f>VLOOKUP(O1621, Coordinates!$A$2:$C$6, 2, FALSE)</f>
        <v>25.761700000000001</v>
      </c>
      <c r="Q1621">
        <f>VLOOKUP(O1621, Coordinates!$A$2:$C$6, 3, FALSE)</f>
        <v>-80.191800000000001</v>
      </c>
      <c r="R1621">
        <v>26</v>
      </c>
      <c r="S1621">
        <v>884</v>
      </c>
      <c r="T1621">
        <v>20</v>
      </c>
      <c r="U1621">
        <v>56.765884410669202</v>
      </c>
      <c r="V1621" t="s">
        <v>39</v>
      </c>
      <c r="W1621">
        <v>4.9259912453286798</v>
      </c>
      <c r="X1621" t="s">
        <v>40</v>
      </c>
      <c r="Y1621" t="s">
        <v>32</v>
      </c>
      <c r="Z1621">
        <v>177.46295601886999</v>
      </c>
    </row>
    <row r="1622" spans="1:26" x14ac:dyDescent="0.3">
      <c r="A1622" t="s">
        <v>49</v>
      </c>
      <c r="B1622" t="s">
        <v>1678</v>
      </c>
      <c r="C1622">
        <v>45.4767428744792</v>
      </c>
      <c r="D1622">
        <v>80</v>
      </c>
      <c r="E1622">
        <v>231</v>
      </c>
      <c r="F1622">
        <v>6538.6067923831497</v>
      </c>
      <c r="G1622" t="s">
        <v>54</v>
      </c>
      <c r="H1622">
        <v>77</v>
      </c>
      <c r="I1622">
        <v>19</v>
      </c>
      <c r="J1622">
        <v>68</v>
      </c>
      <c r="K1622">
        <v>8</v>
      </c>
      <c r="L1622" t="s">
        <v>27</v>
      </c>
      <c r="M1622">
        <v>5.8586416094703804</v>
      </c>
      <c r="N1622" t="s">
        <v>28</v>
      </c>
      <c r="O1622" t="s">
        <v>67</v>
      </c>
      <c r="P1622">
        <f>VLOOKUP(O1622, Coordinates!$A$2:$C$6, 2, FALSE)</f>
        <v>40.712800000000001</v>
      </c>
      <c r="Q1622">
        <f>VLOOKUP(O1622, Coordinates!$A$2:$C$6, 3, FALSE)</f>
        <v>-74.006</v>
      </c>
      <c r="R1622">
        <v>17</v>
      </c>
      <c r="S1622">
        <v>901</v>
      </c>
      <c r="T1622">
        <v>11</v>
      </c>
      <c r="U1622">
        <v>94.864147666674896</v>
      </c>
      <c r="V1622" t="s">
        <v>30</v>
      </c>
      <c r="W1622">
        <v>1.92640317032326</v>
      </c>
      <c r="X1622" t="s">
        <v>40</v>
      </c>
      <c r="Y1622" t="s">
        <v>41</v>
      </c>
      <c r="Z1622">
        <v>975.01047918033396</v>
      </c>
    </row>
    <row r="1623" spans="1:26" x14ac:dyDescent="0.3">
      <c r="A1623" t="s">
        <v>82</v>
      </c>
      <c r="B1623" t="s">
        <v>1679</v>
      </c>
      <c r="C1623">
        <v>57.063073883102803</v>
      </c>
      <c r="D1623">
        <v>58</v>
      </c>
      <c r="E1623">
        <v>298</v>
      </c>
      <c r="F1623">
        <v>4287.19781453834</v>
      </c>
      <c r="G1623" t="s">
        <v>26</v>
      </c>
      <c r="H1623">
        <v>97</v>
      </c>
      <c r="I1623">
        <v>24</v>
      </c>
      <c r="J1623">
        <v>78</v>
      </c>
      <c r="K1623">
        <v>5</v>
      </c>
      <c r="L1623" t="s">
        <v>36</v>
      </c>
      <c r="M1623">
        <v>3.7466984863719399</v>
      </c>
      <c r="N1623" t="s">
        <v>28</v>
      </c>
      <c r="O1623" t="s">
        <v>67</v>
      </c>
      <c r="P1623">
        <f>VLOOKUP(O1623, Coordinates!$A$2:$C$6, 2, FALSE)</f>
        <v>40.712800000000001</v>
      </c>
      <c r="Q1623">
        <f>VLOOKUP(O1623, Coordinates!$A$2:$C$6, 3, FALSE)</f>
        <v>-74.006</v>
      </c>
      <c r="R1623">
        <v>24</v>
      </c>
      <c r="S1623">
        <v>487</v>
      </c>
      <c r="T1623">
        <v>24</v>
      </c>
      <c r="U1623">
        <v>41.792769476191502</v>
      </c>
      <c r="V1623" t="s">
        <v>55</v>
      </c>
      <c r="W1623">
        <v>1.3862764674553401</v>
      </c>
      <c r="X1623" t="s">
        <v>52</v>
      </c>
      <c r="Y1623" t="s">
        <v>32</v>
      </c>
      <c r="Z1623">
        <v>182.63728814194499</v>
      </c>
    </row>
    <row r="1624" spans="1:26" x14ac:dyDescent="0.3">
      <c r="A1624" t="s">
        <v>72</v>
      </c>
      <c r="B1624" t="s">
        <v>1680</v>
      </c>
      <c r="C1624">
        <v>34.246905148437598</v>
      </c>
      <c r="D1624">
        <v>83</v>
      </c>
      <c r="E1624">
        <v>604</v>
      </c>
      <c r="F1624">
        <v>18616.617638690699</v>
      </c>
      <c r="G1624" t="s">
        <v>26</v>
      </c>
      <c r="H1624">
        <v>58</v>
      </c>
      <c r="I1624">
        <v>16</v>
      </c>
      <c r="J1624">
        <v>72</v>
      </c>
      <c r="K1624">
        <v>10</v>
      </c>
      <c r="L1624" t="s">
        <v>27</v>
      </c>
      <c r="M1624">
        <v>10.7215336867921</v>
      </c>
      <c r="N1624" t="s">
        <v>45</v>
      </c>
      <c r="O1624" t="s">
        <v>38</v>
      </c>
      <c r="P1624">
        <f>VLOOKUP(O1624, Coordinates!$A$2:$C$6, 2, FALSE)</f>
        <v>25.761700000000001</v>
      </c>
      <c r="Q1624">
        <f>VLOOKUP(O1624, Coordinates!$A$2:$C$6, 3, FALSE)</f>
        <v>-80.191800000000001</v>
      </c>
      <c r="R1624">
        <v>27</v>
      </c>
      <c r="S1624">
        <v>453</v>
      </c>
      <c r="T1624">
        <v>21</v>
      </c>
      <c r="U1624">
        <v>86.053644390113604</v>
      </c>
      <c r="V1624" t="s">
        <v>39</v>
      </c>
      <c r="W1624">
        <v>4.8462650351163701</v>
      </c>
      <c r="X1624" t="s">
        <v>52</v>
      </c>
      <c r="Y1624" t="s">
        <v>41</v>
      </c>
      <c r="Z1624">
        <v>749.51529327800301</v>
      </c>
    </row>
    <row r="1625" spans="1:26" x14ac:dyDescent="0.3">
      <c r="A1625" t="s">
        <v>82</v>
      </c>
      <c r="B1625" t="s">
        <v>1681</v>
      </c>
      <c r="C1625">
        <v>38.269284153619303</v>
      </c>
      <c r="D1625">
        <v>65</v>
      </c>
      <c r="E1625">
        <v>271</v>
      </c>
      <c r="F1625">
        <v>7260.7667810086696</v>
      </c>
      <c r="G1625" t="s">
        <v>54</v>
      </c>
      <c r="H1625">
        <v>30</v>
      </c>
      <c r="I1625">
        <v>25</v>
      </c>
      <c r="J1625">
        <v>17</v>
      </c>
      <c r="K1625">
        <v>5</v>
      </c>
      <c r="L1625" t="s">
        <v>27</v>
      </c>
      <c r="M1625">
        <v>4.7593658999999997</v>
      </c>
      <c r="N1625" t="s">
        <v>45</v>
      </c>
      <c r="O1625" t="s">
        <v>38</v>
      </c>
      <c r="P1625">
        <f>VLOOKUP(O1625, Coordinates!$A$2:$C$6, 2, FALSE)</f>
        <v>25.761700000000001</v>
      </c>
      <c r="Q1625">
        <f>VLOOKUP(O1625, Coordinates!$A$2:$C$6, 3, FALSE)</f>
        <v>-80.191800000000001</v>
      </c>
      <c r="R1625">
        <v>27</v>
      </c>
      <c r="S1625">
        <v>913</v>
      </c>
      <c r="T1625">
        <v>19</v>
      </c>
      <c r="U1625">
        <v>88.764215329999999</v>
      </c>
      <c r="V1625" t="s">
        <v>55</v>
      </c>
      <c r="W1625">
        <v>4.3370101925761402</v>
      </c>
      <c r="X1625" t="s">
        <v>31</v>
      </c>
      <c r="Y1625" t="s">
        <v>41</v>
      </c>
      <c r="Z1625">
        <v>543.52149034028002</v>
      </c>
    </row>
    <row r="1626" spans="1:26" x14ac:dyDescent="0.3">
      <c r="A1626" t="s">
        <v>61</v>
      </c>
      <c r="B1626" t="s">
        <v>1682</v>
      </c>
      <c r="C1626">
        <v>69.359974408229903</v>
      </c>
      <c r="D1626">
        <v>69</v>
      </c>
      <c r="E1626">
        <v>545</v>
      </c>
      <c r="F1626">
        <v>9440.9827848539499</v>
      </c>
      <c r="G1626" t="s">
        <v>54</v>
      </c>
      <c r="H1626">
        <v>69</v>
      </c>
      <c r="I1626">
        <v>14</v>
      </c>
      <c r="J1626">
        <v>87</v>
      </c>
      <c r="K1626">
        <v>7</v>
      </c>
      <c r="L1626" t="s">
        <v>36</v>
      </c>
      <c r="M1626">
        <v>13.7797762253819</v>
      </c>
      <c r="N1626" t="s">
        <v>51</v>
      </c>
      <c r="O1626" t="s">
        <v>67</v>
      </c>
      <c r="P1626">
        <f>VLOOKUP(O1626, Coordinates!$A$2:$C$6, 2, FALSE)</f>
        <v>40.712800000000001</v>
      </c>
      <c r="Q1626">
        <f>VLOOKUP(O1626, Coordinates!$A$2:$C$6, 3, FALSE)</f>
        <v>-74.006</v>
      </c>
      <c r="R1626">
        <v>5</v>
      </c>
      <c r="S1626">
        <v>369</v>
      </c>
      <c r="T1626">
        <v>2</v>
      </c>
      <c r="U1626">
        <v>62.583696076181901</v>
      </c>
      <c r="V1626" t="s">
        <v>39</v>
      </c>
      <c r="W1626">
        <v>3.8729551555529902</v>
      </c>
      <c r="X1626" t="s">
        <v>46</v>
      </c>
      <c r="Y1626" t="s">
        <v>60</v>
      </c>
      <c r="Z1626">
        <v>783.89085726952101</v>
      </c>
    </row>
    <row r="1627" spans="1:26" x14ac:dyDescent="0.3">
      <c r="A1627" t="s">
        <v>42</v>
      </c>
      <c r="B1627" t="s">
        <v>1683</v>
      </c>
      <c r="C1627">
        <v>77.057678687057106</v>
      </c>
      <c r="D1627">
        <v>51</v>
      </c>
      <c r="E1627">
        <v>763</v>
      </c>
      <c r="F1627">
        <v>5881.2305544308902</v>
      </c>
      <c r="G1627" t="s">
        <v>48</v>
      </c>
      <c r="H1627">
        <v>48</v>
      </c>
      <c r="I1627">
        <v>20</v>
      </c>
      <c r="J1627">
        <v>64</v>
      </c>
      <c r="K1627">
        <v>6</v>
      </c>
      <c r="L1627" t="s">
        <v>27</v>
      </c>
      <c r="M1627">
        <v>5.1731070326847197</v>
      </c>
      <c r="N1627" t="s">
        <v>37</v>
      </c>
      <c r="O1627" t="s">
        <v>29</v>
      </c>
      <c r="P1627">
        <f>VLOOKUP(O1627, Coordinates!$A$2:$C$6, 2, FALSE)</f>
        <v>29.760400000000001</v>
      </c>
      <c r="Q1627">
        <f>VLOOKUP(O1627, Coordinates!$A$2:$C$6, 3, FALSE)</f>
        <v>-95.369799999999998</v>
      </c>
      <c r="R1627">
        <v>26</v>
      </c>
      <c r="S1627">
        <v>368</v>
      </c>
      <c r="T1627">
        <v>17</v>
      </c>
      <c r="U1627">
        <v>41.833893998712199</v>
      </c>
      <c r="V1627" t="s">
        <v>30</v>
      </c>
      <c r="W1627">
        <v>4.5920433846235396</v>
      </c>
      <c r="X1627" t="s">
        <v>40</v>
      </c>
      <c r="Y1627" t="s">
        <v>60</v>
      </c>
      <c r="Z1627">
        <v>334.83728441016399</v>
      </c>
    </row>
    <row r="1628" spans="1:26" x14ac:dyDescent="0.3">
      <c r="A1628" t="s">
        <v>82</v>
      </c>
      <c r="B1628" t="s">
        <v>1684</v>
      </c>
      <c r="C1628">
        <v>6.3896845933791901</v>
      </c>
      <c r="D1628">
        <v>22</v>
      </c>
      <c r="E1628">
        <v>832</v>
      </c>
      <c r="F1628">
        <v>7915.5993605390104</v>
      </c>
      <c r="G1628" t="s">
        <v>48</v>
      </c>
      <c r="H1628">
        <v>4</v>
      </c>
      <c r="I1628">
        <v>14</v>
      </c>
      <c r="J1628">
        <v>15</v>
      </c>
      <c r="K1628">
        <v>9</v>
      </c>
      <c r="L1628" t="s">
        <v>36</v>
      </c>
      <c r="M1628">
        <v>8.7725283950109993</v>
      </c>
      <c r="N1628" t="s">
        <v>45</v>
      </c>
      <c r="O1628" t="s">
        <v>38</v>
      </c>
      <c r="P1628">
        <f>VLOOKUP(O1628, Coordinates!$A$2:$C$6, 2, FALSE)</f>
        <v>25.761700000000001</v>
      </c>
      <c r="Q1628">
        <f>VLOOKUP(O1628, Coordinates!$A$2:$C$6, 3, FALSE)</f>
        <v>-80.191800000000001</v>
      </c>
      <c r="R1628">
        <v>28</v>
      </c>
      <c r="S1628">
        <v>541</v>
      </c>
      <c r="T1628">
        <v>15</v>
      </c>
      <c r="U1628">
        <v>43.833102170730299</v>
      </c>
      <c r="V1628" t="s">
        <v>55</v>
      </c>
      <c r="W1628">
        <v>4.9707108822124004</v>
      </c>
      <c r="X1628" t="s">
        <v>31</v>
      </c>
      <c r="Y1628" t="s">
        <v>60</v>
      </c>
      <c r="Z1628">
        <v>455.599320095753</v>
      </c>
    </row>
    <row r="1629" spans="1:26" x14ac:dyDescent="0.3">
      <c r="A1629" t="s">
        <v>24</v>
      </c>
      <c r="B1629" t="s">
        <v>1685</v>
      </c>
      <c r="C1629">
        <v>34.2712913203761</v>
      </c>
      <c r="D1629">
        <v>88</v>
      </c>
      <c r="E1629">
        <v>455</v>
      </c>
      <c r="F1629">
        <v>14034.093795694</v>
      </c>
      <c r="G1629" t="s">
        <v>26</v>
      </c>
      <c r="H1629">
        <v>30</v>
      </c>
      <c r="I1629">
        <v>14</v>
      </c>
      <c r="J1629">
        <v>10</v>
      </c>
      <c r="K1629">
        <v>10</v>
      </c>
      <c r="L1629" t="s">
        <v>44</v>
      </c>
      <c r="M1629">
        <v>12.588670291122799</v>
      </c>
      <c r="N1629" t="s">
        <v>28</v>
      </c>
      <c r="O1629" t="s">
        <v>29</v>
      </c>
      <c r="P1629">
        <f>VLOOKUP(O1629, Coordinates!$A$2:$C$6, 2, FALSE)</f>
        <v>29.760400000000001</v>
      </c>
      <c r="Q1629">
        <f>VLOOKUP(O1629, Coordinates!$A$2:$C$6, 3, FALSE)</f>
        <v>-95.369799999999998</v>
      </c>
      <c r="R1629">
        <v>10</v>
      </c>
      <c r="S1629">
        <v>404</v>
      </c>
      <c r="T1629">
        <v>20</v>
      </c>
      <c r="U1629">
        <v>76.648327786295596</v>
      </c>
      <c r="V1629" t="s">
        <v>30</v>
      </c>
      <c r="W1629">
        <v>4.1165127172209504</v>
      </c>
      <c r="X1629" t="s">
        <v>46</v>
      </c>
      <c r="Y1629" t="s">
        <v>41</v>
      </c>
      <c r="Z1629">
        <v>944.72568664647804</v>
      </c>
    </row>
    <row r="1630" spans="1:26" x14ac:dyDescent="0.3">
      <c r="A1630" t="s">
        <v>82</v>
      </c>
      <c r="B1630" t="s">
        <v>1686</v>
      </c>
      <c r="C1630">
        <v>72.757407470000004</v>
      </c>
      <c r="D1630">
        <v>53</v>
      </c>
      <c r="E1630">
        <v>453</v>
      </c>
      <c r="F1630">
        <v>2900.42233688734</v>
      </c>
      <c r="G1630" t="s">
        <v>35</v>
      </c>
      <c r="H1630">
        <v>36</v>
      </c>
      <c r="I1630">
        <v>14</v>
      </c>
      <c r="J1630">
        <v>65</v>
      </c>
      <c r="K1630">
        <v>3</v>
      </c>
      <c r="L1630" t="s">
        <v>27</v>
      </c>
      <c r="M1630">
        <v>6.62965673238336</v>
      </c>
      <c r="N1630" t="s">
        <v>45</v>
      </c>
      <c r="O1630" t="s">
        <v>38</v>
      </c>
      <c r="P1630">
        <f>VLOOKUP(O1630, Coordinates!$A$2:$C$6, 2, FALSE)</f>
        <v>25.761700000000001</v>
      </c>
      <c r="Q1630">
        <f>VLOOKUP(O1630, Coordinates!$A$2:$C$6, 3, FALSE)</f>
        <v>-80.191800000000001</v>
      </c>
      <c r="R1630">
        <v>30</v>
      </c>
      <c r="S1630">
        <v>345</v>
      </c>
      <c r="T1630">
        <v>18</v>
      </c>
      <c r="U1630">
        <v>62.256821605214</v>
      </c>
      <c r="V1630" t="s">
        <v>39</v>
      </c>
      <c r="W1630">
        <v>3.7253192137502702</v>
      </c>
      <c r="X1630" t="s">
        <v>52</v>
      </c>
      <c r="Y1630" t="s">
        <v>32</v>
      </c>
      <c r="Z1630">
        <v>208.66073925665901</v>
      </c>
    </row>
    <row r="1631" spans="1:26" x14ac:dyDescent="0.3">
      <c r="A1631" t="s">
        <v>72</v>
      </c>
      <c r="B1631" t="s">
        <v>1687</v>
      </c>
      <c r="C1631">
        <v>30.291663650737402</v>
      </c>
      <c r="D1631">
        <v>100</v>
      </c>
      <c r="E1631">
        <v>760</v>
      </c>
      <c r="F1631">
        <v>20719.497937104399</v>
      </c>
      <c r="G1631" t="s">
        <v>48</v>
      </c>
      <c r="H1631">
        <v>78</v>
      </c>
      <c r="I1631">
        <v>12</v>
      </c>
      <c r="J1631">
        <v>84</v>
      </c>
      <c r="K1631">
        <v>5</v>
      </c>
      <c r="L1631" t="s">
        <v>44</v>
      </c>
      <c r="M1631">
        <v>12.601211429374301</v>
      </c>
      <c r="N1631" t="s">
        <v>51</v>
      </c>
      <c r="O1631" t="s">
        <v>29</v>
      </c>
      <c r="P1631">
        <f>VLOOKUP(O1631, Coordinates!$A$2:$C$6, 2, FALSE)</f>
        <v>29.760400000000001</v>
      </c>
      <c r="Q1631">
        <f>VLOOKUP(O1631, Coordinates!$A$2:$C$6, 3, FALSE)</f>
        <v>-95.369799999999998</v>
      </c>
      <c r="R1631">
        <v>20</v>
      </c>
      <c r="S1631">
        <v>277</v>
      </c>
      <c r="T1631">
        <v>12</v>
      </c>
      <c r="U1631">
        <v>94.014250038097899</v>
      </c>
      <c r="V1631" t="s">
        <v>55</v>
      </c>
      <c r="W1631">
        <v>3.4330657298433702</v>
      </c>
      <c r="X1631" t="s">
        <v>46</v>
      </c>
      <c r="Y1631" t="s">
        <v>60</v>
      </c>
      <c r="Z1631">
        <v>866.65363286669901</v>
      </c>
    </row>
    <row r="1632" spans="1:26" x14ac:dyDescent="0.3">
      <c r="A1632" t="s">
        <v>72</v>
      </c>
      <c r="B1632" t="s">
        <v>1688</v>
      </c>
      <c r="C1632">
        <v>30.609616573239698</v>
      </c>
      <c r="D1632">
        <v>36</v>
      </c>
      <c r="E1632">
        <v>65</v>
      </c>
      <c r="F1632">
        <v>1790.6625695345199</v>
      </c>
      <c r="H1632">
        <v>14</v>
      </c>
      <c r="I1632">
        <v>6</v>
      </c>
      <c r="J1632">
        <v>97</v>
      </c>
      <c r="K1632">
        <v>9</v>
      </c>
      <c r="L1632" t="s">
        <v>27</v>
      </c>
      <c r="M1632">
        <v>11.131749564561201</v>
      </c>
      <c r="N1632" t="s">
        <v>51</v>
      </c>
      <c r="O1632" t="s">
        <v>67</v>
      </c>
      <c r="P1632">
        <f>VLOOKUP(O1632, Coordinates!$A$2:$C$6, 2, FALSE)</f>
        <v>40.712800000000001</v>
      </c>
      <c r="Q1632">
        <f>VLOOKUP(O1632, Coordinates!$A$2:$C$6, 3, FALSE)</f>
        <v>-74.006</v>
      </c>
      <c r="R1632">
        <v>15</v>
      </c>
      <c r="S1632">
        <v>166</v>
      </c>
      <c r="T1632">
        <v>3</v>
      </c>
      <c r="U1632">
        <v>92.750345885278406</v>
      </c>
      <c r="V1632" t="s">
        <v>30</v>
      </c>
      <c r="W1632">
        <v>4.98209838085344</v>
      </c>
      <c r="X1632" t="s">
        <v>40</v>
      </c>
      <c r="Y1632" t="s">
        <v>41</v>
      </c>
      <c r="Z1632">
        <v>992.383770477133</v>
      </c>
    </row>
    <row r="1633" spans="1:26" x14ac:dyDescent="0.3">
      <c r="A1633" t="s">
        <v>49</v>
      </c>
      <c r="B1633" t="s">
        <v>1689</v>
      </c>
      <c r="C1633">
        <v>37.961452674782997</v>
      </c>
      <c r="D1633">
        <v>68</v>
      </c>
      <c r="E1633">
        <v>506</v>
      </c>
      <c r="F1633">
        <v>3275.6948088630202</v>
      </c>
      <c r="G1633" t="s">
        <v>26</v>
      </c>
      <c r="H1633">
        <v>51</v>
      </c>
      <c r="I1633">
        <v>20</v>
      </c>
      <c r="J1633">
        <v>19</v>
      </c>
      <c r="K1633">
        <v>10</v>
      </c>
      <c r="L1633" t="s">
        <v>36</v>
      </c>
      <c r="M1633">
        <v>13.8921233431641</v>
      </c>
      <c r="N1633" t="s">
        <v>28</v>
      </c>
      <c r="O1633" t="s">
        <v>29</v>
      </c>
      <c r="P1633">
        <f>VLOOKUP(O1633, Coordinates!$A$2:$C$6, 2, FALSE)</f>
        <v>29.760400000000001</v>
      </c>
      <c r="Q1633">
        <f>VLOOKUP(O1633, Coordinates!$A$2:$C$6, 3, FALSE)</f>
        <v>-95.369799999999998</v>
      </c>
      <c r="R1633">
        <v>6</v>
      </c>
      <c r="S1633">
        <v>376</v>
      </c>
      <c r="T1633">
        <v>17</v>
      </c>
      <c r="U1633">
        <v>75.991005811084904</v>
      </c>
      <c r="V1633" t="s">
        <v>55</v>
      </c>
      <c r="W1633">
        <v>1.67521499832446</v>
      </c>
      <c r="X1633" t="s">
        <v>46</v>
      </c>
      <c r="Y1633" t="s">
        <v>32</v>
      </c>
      <c r="Z1633">
        <v>475.828811912856</v>
      </c>
    </row>
    <row r="1634" spans="1:26" x14ac:dyDescent="0.3">
      <c r="A1634" t="s">
        <v>72</v>
      </c>
      <c r="B1634" t="s">
        <v>1690</v>
      </c>
      <c r="C1634">
        <v>31.116456488080001</v>
      </c>
      <c r="D1634">
        <v>36</v>
      </c>
      <c r="E1634">
        <v>151</v>
      </c>
      <c r="F1634">
        <v>4228.7264370000003</v>
      </c>
      <c r="G1634" t="s">
        <v>35</v>
      </c>
      <c r="H1634">
        <v>68</v>
      </c>
      <c r="I1634">
        <v>13</v>
      </c>
      <c r="J1634">
        <v>32</v>
      </c>
      <c r="K1634">
        <v>2</v>
      </c>
      <c r="L1634" t="s">
        <v>27</v>
      </c>
      <c r="M1634">
        <v>5.5616838762567102</v>
      </c>
      <c r="N1634" t="s">
        <v>28</v>
      </c>
      <c r="O1634" t="s">
        <v>67</v>
      </c>
      <c r="P1634">
        <f>VLOOKUP(O1634, Coordinates!$A$2:$C$6, 2, FALSE)</f>
        <v>40.712800000000001</v>
      </c>
      <c r="Q1634">
        <f>VLOOKUP(O1634, Coordinates!$A$2:$C$6, 3, FALSE)</f>
        <v>-74.006</v>
      </c>
      <c r="R1634">
        <v>2</v>
      </c>
      <c r="S1634">
        <v>307</v>
      </c>
      <c r="T1634">
        <v>14</v>
      </c>
      <c r="U1634">
        <v>82.069366980879195</v>
      </c>
      <c r="V1634" t="s">
        <v>30</v>
      </c>
      <c r="W1634">
        <v>4.1515497079248203</v>
      </c>
      <c r="X1634" t="s">
        <v>46</v>
      </c>
      <c r="Y1634" t="s">
        <v>60</v>
      </c>
      <c r="Z1634">
        <v>439.1347821</v>
      </c>
    </row>
    <row r="1635" spans="1:26" x14ac:dyDescent="0.3">
      <c r="A1635" t="s">
        <v>33</v>
      </c>
      <c r="B1635" t="s">
        <v>1691</v>
      </c>
      <c r="C1635">
        <v>20.07449300052</v>
      </c>
      <c r="D1635">
        <v>52</v>
      </c>
      <c r="E1635">
        <v>690</v>
      </c>
      <c r="F1635">
        <v>1134.6507843067</v>
      </c>
      <c r="G1635" t="s">
        <v>54</v>
      </c>
      <c r="H1635">
        <v>91</v>
      </c>
      <c r="I1635">
        <v>16</v>
      </c>
      <c r="J1635">
        <v>25</v>
      </c>
      <c r="K1635">
        <v>1</v>
      </c>
      <c r="L1635" t="s">
        <v>44</v>
      </c>
      <c r="M1635">
        <v>2.47039290692185</v>
      </c>
      <c r="N1635" t="s">
        <v>28</v>
      </c>
      <c r="O1635" t="s">
        <v>38</v>
      </c>
      <c r="P1635">
        <f>VLOOKUP(O1635, Coordinates!$A$2:$C$6, 2, FALSE)</f>
        <v>25.761700000000001</v>
      </c>
      <c r="Q1635">
        <f>VLOOKUP(O1635, Coordinates!$A$2:$C$6, 3, FALSE)</f>
        <v>-80.191800000000001</v>
      </c>
      <c r="R1635">
        <v>4</v>
      </c>
      <c r="S1635">
        <v>406</v>
      </c>
      <c r="T1635">
        <v>29</v>
      </c>
      <c r="U1635">
        <v>18.087652100575902</v>
      </c>
      <c r="V1635" t="s">
        <v>30</v>
      </c>
      <c r="W1635">
        <v>3.3685125233844402</v>
      </c>
      <c r="X1635" t="s">
        <v>52</v>
      </c>
      <c r="Y1635" t="s">
        <v>41</v>
      </c>
      <c r="Z1635">
        <v>634.67255827039401</v>
      </c>
    </row>
    <row r="1636" spans="1:26" x14ac:dyDescent="0.3">
      <c r="A1636" t="s">
        <v>61</v>
      </c>
      <c r="B1636" t="s">
        <v>1692</v>
      </c>
      <c r="C1636">
        <v>29.5319468682852</v>
      </c>
      <c r="D1636">
        <v>53</v>
      </c>
      <c r="E1636">
        <v>949</v>
      </c>
      <c r="F1636">
        <v>3380.9165760343699</v>
      </c>
      <c r="G1636" t="s">
        <v>54</v>
      </c>
      <c r="H1636">
        <v>96</v>
      </c>
      <c r="I1636">
        <v>9</v>
      </c>
      <c r="J1636">
        <v>25</v>
      </c>
      <c r="K1636">
        <v>8</v>
      </c>
      <c r="L1636" t="s">
        <v>36</v>
      </c>
      <c r="M1636">
        <v>7.02489297102598</v>
      </c>
      <c r="N1636" t="s">
        <v>37</v>
      </c>
      <c r="O1636" t="s">
        <v>65</v>
      </c>
      <c r="P1636">
        <f>VLOOKUP(O1636, Coordinates!$A$2:$C$6, 2, FALSE)</f>
        <v>41.878100000000003</v>
      </c>
      <c r="Q1636">
        <f>VLOOKUP(O1636, Coordinates!$A$2:$C$6, 3, FALSE)</f>
        <v>-87.629800000000003</v>
      </c>
      <c r="R1636">
        <v>21</v>
      </c>
      <c r="S1636">
        <v>649</v>
      </c>
      <c r="T1636">
        <v>6</v>
      </c>
      <c r="U1636">
        <v>18.503689636637102</v>
      </c>
      <c r="V1636" t="s">
        <v>39</v>
      </c>
      <c r="W1636">
        <v>1.6171439359872799</v>
      </c>
      <c r="X1636" t="s">
        <v>52</v>
      </c>
      <c r="Y1636" t="s">
        <v>60</v>
      </c>
      <c r="Z1636">
        <v>719.80181253619196</v>
      </c>
    </row>
    <row r="1637" spans="1:26" x14ac:dyDescent="0.3">
      <c r="A1637" t="s">
        <v>61</v>
      </c>
      <c r="B1637" t="s">
        <v>1693</v>
      </c>
      <c r="C1637">
        <v>62.514116963220701</v>
      </c>
      <c r="D1637">
        <v>82</v>
      </c>
      <c r="E1637">
        <v>794</v>
      </c>
      <c r="F1637">
        <v>5626.2773752828198</v>
      </c>
      <c r="H1637">
        <v>10</v>
      </c>
      <c r="I1637">
        <v>2</v>
      </c>
      <c r="J1637">
        <v>65</v>
      </c>
      <c r="K1637">
        <v>8</v>
      </c>
      <c r="L1637" t="s">
        <v>36</v>
      </c>
      <c r="M1637">
        <v>12.001388568647901</v>
      </c>
      <c r="N1637" t="s">
        <v>28</v>
      </c>
      <c r="O1637" t="s">
        <v>38</v>
      </c>
      <c r="P1637">
        <f>VLOOKUP(O1637, Coordinates!$A$2:$C$6, 2, FALSE)</f>
        <v>25.761700000000001</v>
      </c>
      <c r="Q1637">
        <f>VLOOKUP(O1637, Coordinates!$A$2:$C$6, 3, FALSE)</f>
        <v>-80.191800000000001</v>
      </c>
      <c r="R1637">
        <v>14</v>
      </c>
      <c r="S1637">
        <v>730</v>
      </c>
      <c r="T1637">
        <v>4</v>
      </c>
      <c r="U1637">
        <v>30.874042473700101</v>
      </c>
      <c r="V1637" t="s">
        <v>30</v>
      </c>
      <c r="W1637">
        <v>3.5233824175517201</v>
      </c>
      <c r="X1637" t="s">
        <v>31</v>
      </c>
      <c r="Y1637" t="s">
        <v>60</v>
      </c>
      <c r="Z1637">
        <v>881.71877116371502</v>
      </c>
    </row>
    <row r="1638" spans="1:26" x14ac:dyDescent="0.3">
      <c r="A1638" t="s">
        <v>42</v>
      </c>
      <c r="B1638" t="s">
        <v>1694</v>
      </c>
      <c r="C1638">
        <v>46.150495574940798</v>
      </c>
      <c r="D1638">
        <v>50</v>
      </c>
      <c r="E1638">
        <v>338</v>
      </c>
      <c r="F1638">
        <v>6158.3432318312098</v>
      </c>
      <c r="G1638" t="s">
        <v>26</v>
      </c>
      <c r="H1638">
        <v>42</v>
      </c>
      <c r="I1638">
        <v>22</v>
      </c>
      <c r="J1638">
        <v>15</v>
      </c>
      <c r="K1638">
        <v>2</v>
      </c>
      <c r="L1638" t="s">
        <v>44</v>
      </c>
      <c r="M1638">
        <v>7.3060915874607701</v>
      </c>
      <c r="N1638" t="s">
        <v>51</v>
      </c>
      <c r="O1638" t="s">
        <v>65</v>
      </c>
      <c r="P1638">
        <f>VLOOKUP(O1638, Coordinates!$A$2:$C$6, 2, FALSE)</f>
        <v>41.878100000000003</v>
      </c>
      <c r="Q1638">
        <f>VLOOKUP(O1638, Coordinates!$A$2:$C$6, 3, FALSE)</f>
        <v>-87.629800000000003</v>
      </c>
      <c r="R1638">
        <v>25</v>
      </c>
      <c r="S1638">
        <v>637</v>
      </c>
      <c r="T1638">
        <v>21</v>
      </c>
      <c r="U1638">
        <v>48.429139530458201</v>
      </c>
      <c r="V1638" t="s">
        <v>55</v>
      </c>
      <c r="W1638">
        <v>2.5481091952877799</v>
      </c>
      <c r="X1638" t="s">
        <v>52</v>
      </c>
      <c r="Y1638" t="s">
        <v>41</v>
      </c>
      <c r="Z1638">
        <v>435.60190301010698</v>
      </c>
    </row>
    <row r="1639" spans="1:26" x14ac:dyDescent="0.3">
      <c r="A1639" t="s">
        <v>42</v>
      </c>
      <c r="B1639" t="s">
        <v>1695</v>
      </c>
      <c r="C1639">
        <v>78.558754879736497</v>
      </c>
      <c r="D1639">
        <v>80</v>
      </c>
      <c r="E1639">
        <v>885</v>
      </c>
      <c r="F1639">
        <v>9331.7652369999996</v>
      </c>
      <c r="G1639" t="s">
        <v>35</v>
      </c>
      <c r="H1639">
        <v>69</v>
      </c>
      <c r="I1639">
        <v>27</v>
      </c>
      <c r="J1639">
        <v>39</v>
      </c>
      <c r="K1639">
        <v>8</v>
      </c>
      <c r="L1639" t="s">
        <v>44</v>
      </c>
      <c r="M1639">
        <v>4.6678310227029796</v>
      </c>
      <c r="N1639" t="s">
        <v>51</v>
      </c>
      <c r="O1639" t="s">
        <v>65</v>
      </c>
      <c r="P1639">
        <f>VLOOKUP(O1639, Coordinates!$A$2:$C$6, 2, FALSE)</f>
        <v>41.878100000000003</v>
      </c>
      <c r="Q1639">
        <f>VLOOKUP(O1639, Coordinates!$A$2:$C$6, 3, FALSE)</f>
        <v>-87.629800000000003</v>
      </c>
      <c r="R1639">
        <v>29</v>
      </c>
      <c r="S1639">
        <v>617</v>
      </c>
      <c r="T1639">
        <v>8</v>
      </c>
      <c r="U1639">
        <v>82.328490939999995</v>
      </c>
      <c r="V1639" t="s">
        <v>30</v>
      </c>
      <c r="W1639">
        <v>0.94486945398561195</v>
      </c>
      <c r="X1639" t="s">
        <v>52</v>
      </c>
      <c r="Y1639" t="s">
        <v>60</v>
      </c>
      <c r="Z1639">
        <v>788.344546643689</v>
      </c>
    </row>
    <row r="1640" spans="1:26" x14ac:dyDescent="0.3">
      <c r="A1640" t="s">
        <v>61</v>
      </c>
      <c r="B1640" t="s">
        <v>1696</v>
      </c>
      <c r="C1640">
        <v>85.995570719142506</v>
      </c>
      <c r="D1640">
        <v>41</v>
      </c>
      <c r="E1640">
        <v>957</v>
      </c>
      <c r="F1640">
        <v>6808.1106092554701</v>
      </c>
      <c r="G1640" t="s">
        <v>26</v>
      </c>
      <c r="H1640">
        <v>22</v>
      </c>
      <c r="I1640">
        <v>29</v>
      </c>
      <c r="J1640">
        <v>72</v>
      </c>
      <c r="K1640">
        <v>5</v>
      </c>
      <c r="L1640" t="s">
        <v>27</v>
      </c>
      <c r="M1640">
        <v>1.3864444860222001</v>
      </c>
      <c r="N1640" t="s">
        <v>45</v>
      </c>
      <c r="O1640" t="s">
        <v>38</v>
      </c>
      <c r="P1640">
        <f>VLOOKUP(O1640, Coordinates!$A$2:$C$6, 2, FALSE)</f>
        <v>25.761700000000001</v>
      </c>
      <c r="Q1640">
        <f>VLOOKUP(O1640, Coordinates!$A$2:$C$6, 3, FALSE)</f>
        <v>-80.191800000000001</v>
      </c>
      <c r="R1640">
        <v>27</v>
      </c>
      <c r="S1640">
        <v>373</v>
      </c>
      <c r="T1640">
        <v>27</v>
      </c>
      <c r="U1640">
        <v>41.598913149960097</v>
      </c>
      <c r="V1640" t="s">
        <v>39</v>
      </c>
      <c r="W1640">
        <v>3.5107380253930098</v>
      </c>
      <c r="X1640" t="s">
        <v>40</v>
      </c>
      <c r="Y1640" t="s">
        <v>41</v>
      </c>
      <c r="Z1640">
        <v>316.07263385368702</v>
      </c>
    </row>
    <row r="1641" spans="1:26" x14ac:dyDescent="0.3">
      <c r="A1641" t="s">
        <v>24</v>
      </c>
      <c r="B1641" t="s">
        <v>1697</v>
      </c>
      <c r="C1641">
        <v>31.052509047627101</v>
      </c>
      <c r="D1641">
        <v>18</v>
      </c>
      <c r="E1641">
        <v>895</v>
      </c>
      <c r="F1641">
        <v>25012.7960378637</v>
      </c>
      <c r="G1641" t="s">
        <v>26</v>
      </c>
      <c r="H1641">
        <v>39</v>
      </c>
      <c r="I1641">
        <v>3</v>
      </c>
      <c r="J1641">
        <v>10</v>
      </c>
      <c r="K1641">
        <v>2</v>
      </c>
      <c r="L1641" t="s">
        <v>27</v>
      </c>
      <c r="M1641">
        <v>5.3823332413815796</v>
      </c>
      <c r="N1641" t="s">
        <v>28</v>
      </c>
      <c r="O1641" t="s">
        <v>65</v>
      </c>
      <c r="P1641">
        <f>VLOOKUP(O1641, Coordinates!$A$2:$C$6, 2, FALSE)</f>
        <v>41.878100000000003</v>
      </c>
      <c r="Q1641">
        <f>VLOOKUP(O1641, Coordinates!$A$2:$C$6, 3, FALSE)</f>
        <v>-87.629800000000003</v>
      </c>
      <c r="R1641">
        <v>24</v>
      </c>
      <c r="S1641">
        <v>332</v>
      </c>
      <c r="T1641">
        <v>20</v>
      </c>
      <c r="U1641">
        <v>79.923937855465198</v>
      </c>
      <c r="V1641" t="s">
        <v>55</v>
      </c>
      <c r="W1641">
        <v>3.5669942338292402</v>
      </c>
      <c r="X1641" t="s">
        <v>40</v>
      </c>
      <c r="Y1641" t="s">
        <v>41</v>
      </c>
      <c r="Z1641">
        <v>712.40318740221096</v>
      </c>
    </row>
    <row r="1642" spans="1:26" x14ac:dyDescent="0.3">
      <c r="A1642" t="s">
        <v>42</v>
      </c>
      <c r="B1642" t="s">
        <v>1698</v>
      </c>
      <c r="C1642">
        <v>77.035392745325595</v>
      </c>
      <c r="D1642">
        <v>22</v>
      </c>
      <c r="E1642">
        <v>146</v>
      </c>
      <c r="F1642">
        <v>9373.1605940000009</v>
      </c>
      <c r="G1642" t="s">
        <v>26</v>
      </c>
      <c r="H1642">
        <v>62</v>
      </c>
      <c r="I1642">
        <v>10</v>
      </c>
      <c r="J1642">
        <v>60</v>
      </c>
      <c r="K1642">
        <v>7</v>
      </c>
      <c r="L1642" t="s">
        <v>36</v>
      </c>
      <c r="M1642">
        <v>10.987335556283901</v>
      </c>
      <c r="N1642" t="s">
        <v>37</v>
      </c>
      <c r="O1642" t="s">
        <v>65</v>
      </c>
      <c r="P1642">
        <f>VLOOKUP(O1642, Coordinates!$A$2:$C$6, 2, FALSE)</f>
        <v>41.878100000000003</v>
      </c>
      <c r="Q1642">
        <f>VLOOKUP(O1642, Coordinates!$A$2:$C$6, 3, FALSE)</f>
        <v>-87.629800000000003</v>
      </c>
      <c r="R1642">
        <v>29</v>
      </c>
      <c r="S1642">
        <v>213</v>
      </c>
      <c r="T1642">
        <v>22</v>
      </c>
      <c r="U1642">
        <v>53.502566765655601</v>
      </c>
      <c r="V1642" t="s">
        <v>55</v>
      </c>
      <c r="W1642">
        <v>3.55965231158366</v>
      </c>
      <c r="X1642" t="s">
        <v>46</v>
      </c>
      <c r="Y1642" t="s">
        <v>60</v>
      </c>
      <c r="Z1642">
        <v>520.07069828702799</v>
      </c>
    </row>
    <row r="1643" spans="1:26" x14ac:dyDescent="0.3">
      <c r="A1643" t="s">
        <v>49</v>
      </c>
      <c r="B1643" t="s">
        <v>1699</v>
      </c>
      <c r="C1643">
        <v>34.155928753484098</v>
      </c>
      <c r="D1643">
        <v>66</v>
      </c>
      <c r="E1643">
        <v>48</v>
      </c>
      <c r="F1643">
        <v>8063.9468504901397</v>
      </c>
      <c r="G1643" t="s">
        <v>35</v>
      </c>
      <c r="H1643">
        <v>1</v>
      </c>
      <c r="I1643">
        <v>20</v>
      </c>
      <c r="J1643">
        <v>98</v>
      </c>
      <c r="K1643">
        <v>7</v>
      </c>
      <c r="L1643" t="s">
        <v>44</v>
      </c>
      <c r="M1643">
        <v>3.06659258717431</v>
      </c>
      <c r="N1643" t="s">
        <v>57</v>
      </c>
      <c r="O1643" t="s">
        <v>38</v>
      </c>
      <c r="P1643">
        <f>VLOOKUP(O1643, Coordinates!$A$2:$C$6, 2, FALSE)</f>
        <v>25.761700000000001</v>
      </c>
      <c r="Q1643">
        <f>VLOOKUP(O1643, Coordinates!$A$2:$C$6, 3, FALSE)</f>
        <v>-80.191800000000001</v>
      </c>
      <c r="R1643">
        <v>15</v>
      </c>
      <c r="S1643">
        <v>233</v>
      </c>
      <c r="T1643">
        <v>3</v>
      </c>
      <c r="U1643">
        <v>99.696573588215898</v>
      </c>
      <c r="V1643" t="s">
        <v>39</v>
      </c>
      <c r="W1643">
        <v>2.6538688048071601</v>
      </c>
      <c r="X1643" t="s">
        <v>40</v>
      </c>
      <c r="Y1643" t="s">
        <v>32</v>
      </c>
      <c r="Z1643">
        <v>695.51249910000001</v>
      </c>
    </row>
    <row r="1644" spans="1:26" x14ac:dyDescent="0.3">
      <c r="A1644" t="s">
        <v>72</v>
      </c>
      <c r="B1644" t="s">
        <v>1700</v>
      </c>
      <c r="C1644">
        <v>24.126316689999999</v>
      </c>
      <c r="D1644">
        <v>21</v>
      </c>
      <c r="E1644">
        <v>148</v>
      </c>
      <c r="F1644">
        <v>3213.6253832764301</v>
      </c>
      <c r="G1644" t="s">
        <v>26</v>
      </c>
      <c r="H1644">
        <v>78</v>
      </c>
      <c r="I1644">
        <v>2</v>
      </c>
      <c r="J1644">
        <v>55</v>
      </c>
      <c r="K1644">
        <v>3</v>
      </c>
      <c r="L1644" t="s">
        <v>44</v>
      </c>
      <c r="M1644">
        <v>5.77231132430133</v>
      </c>
      <c r="N1644" t="s">
        <v>45</v>
      </c>
      <c r="O1644" t="s">
        <v>38</v>
      </c>
      <c r="P1644">
        <f>VLOOKUP(O1644, Coordinates!$A$2:$C$6, 2, FALSE)</f>
        <v>25.761700000000001</v>
      </c>
      <c r="Q1644">
        <f>VLOOKUP(O1644, Coordinates!$A$2:$C$6, 3, FALSE)</f>
        <v>-80.191800000000001</v>
      </c>
      <c r="R1644">
        <v>27</v>
      </c>
      <c r="S1644">
        <v>524</v>
      </c>
      <c r="T1644">
        <v>8</v>
      </c>
      <c r="U1644">
        <v>87.569440217673204</v>
      </c>
      <c r="V1644" t="s">
        <v>39</v>
      </c>
      <c r="W1644">
        <v>3.6617492734901198</v>
      </c>
      <c r="X1644" t="s">
        <v>31</v>
      </c>
      <c r="Y1644" t="s">
        <v>32</v>
      </c>
      <c r="Z1644">
        <v>-50</v>
      </c>
    </row>
    <row r="1645" spans="1:26" x14ac:dyDescent="0.3">
      <c r="A1645" t="s">
        <v>61</v>
      </c>
      <c r="B1645" t="s">
        <v>1701</v>
      </c>
      <c r="C1645">
        <v>72.713879240598899</v>
      </c>
      <c r="D1645">
        <v>100</v>
      </c>
      <c r="E1645">
        <v>869</v>
      </c>
      <c r="F1645">
        <v>2177.58125213937</v>
      </c>
      <c r="G1645" t="s">
        <v>48</v>
      </c>
      <c r="H1645">
        <v>86</v>
      </c>
      <c r="I1645">
        <v>27</v>
      </c>
      <c r="J1645">
        <v>30</v>
      </c>
      <c r="K1645">
        <v>1</v>
      </c>
      <c r="L1645" t="s">
        <v>27</v>
      </c>
      <c r="M1645">
        <v>1.28324046387157</v>
      </c>
      <c r="N1645" t="s">
        <v>37</v>
      </c>
      <c r="O1645" t="s">
        <v>67</v>
      </c>
      <c r="P1645">
        <f>VLOOKUP(O1645, Coordinates!$A$2:$C$6, 2, FALSE)</f>
        <v>40.712800000000001</v>
      </c>
      <c r="Q1645">
        <f>VLOOKUP(O1645, Coordinates!$A$2:$C$6, 3, FALSE)</f>
        <v>-74.006</v>
      </c>
      <c r="R1645">
        <v>14</v>
      </c>
      <c r="S1645">
        <v>924</v>
      </c>
      <c r="T1645">
        <v>13</v>
      </c>
      <c r="U1645">
        <v>96.512906689058298</v>
      </c>
      <c r="V1645" t="s">
        <v>30</v>
      </c>
      <c r="W1645">
        <v>0.90019222844430902</v>
      </c>
      <c r="X1645" t="s">
        <v>31</v>
      </c>
      <c r="Y1645" t="s">
        <v>32</v>
      </c>
      <c r="Z1645">
        <v>364.905397302707</v>
      </c>
    </row>
    <row r="1646" spans="1:26" x14ac:dyDescent="0.3">
      <c r="A1646" t="s">
        <v>42</v>
      </c>
      <c r="B1646" t="s">
        <v>1702</v>
      </c>
      <c r="C1646">
        <v>41.690139317617898</v>
      </c>
      <c r="D1646">
        <v>44</v>
      </c>
      <c r="E1646">
        <v>930</v>
      </c>
      <c r="F1646">
        <v>7082.3047216845898</v>
      </c>
      <c r="G1646" t="s">
        <v>35</v>
      </c>
      <c r="H1646">
        <v>2</v>
      </c>
      <c r="I1646">
        <v>23</v>
      </c>
      <c r="J1646">
        <v>47</v>
      </c>
      <c r="K1646">
        <v>4</v>
      </c>
      <c r="L1646" t="s">
        <v>27</v>
      </c>
      <c r="M1646">
        <v>11.104570045163801</v>
      </c>
      <c r="N1646" t="s">
        <v>28</v>
      </c>
      <c r="O1646" t="s">
        <v>67</v>
      </c>
      <c r="P1646">
        <f>VLOOKUP(O1646, Coordinates!$A$2:$C$6, 2, FALSE)</f>
        <v>40.712800000000001</v>
      </c>
      <c r="Q1646">
        <f>VLOOKUP(O1646, Coordinates!$A$2:$C$6, 3, FALSE)</f>
        <v>-74.006</v>
      </c>
      <c r="R1646">
        <v>4</v>
      </c>
      <c r="S1646">
        <v>789</v>
      </c>
      <c r="T1646">
        <v>19</v>
      </c>
      <c r="U1646">
        <v>19.121061802278</v>
      </c>
      <c r="V1646" t="s">
        <v>30</v>
      </c>
      <c r="W1646">
        <v>2.14643061502152</v>
      </c>
      <c r="X1646" t="s">
        <v>46</v>
      </c>
      <c r="Y1646" t="s">
        <v>41</v>
      </c>
      <c r="Z1646">
        <v>537.39113337689105</v>
      </c>
    </row>
    <row r="1647" spans="1:26" x14ac:dyDescent="0.3">
      <c r="A1647" t="s">
        <v>61</v>
      </c>
      <c r="B1647" t="s">
        <v>1703</v>
      </c>
      <c r="C1647">
        <v>60.907968840103898</v>
      </c>
      <c r="D1647">
        <v>47</v>
      </c>
      <c r="E1647">
        <v>501</v>
      </c>
      <c r="F1647">
        <v>6038.9484901928499</v>
      </c>
      <c r="G1647" t="s">
        <v>48</v>
      </c>
      <c r="H1647">
        <v>72</v>
      </c>
      <c r="I1647">
        <v>10</v>
      </c>
      <c r="J1647">
        <v>78</v>
      </c>
      <c r="K1647">
        <v>2</v>
      </c>
      <c r="L1647" t="s">
        <v>36</v>
      </c>
      <c r="M1647">
        <v>13.3295626587164</v>
      </c>
      <c r="N1647" t="s">
        <v>37</v>
      </c>
      <c r="O1647" t="s">
        <v>29</v>
      </c>
      <c r="P1647">
        <f>VLOOKUP(O1647, Coordinates!$A$2:$C$6, 2, FALSE)</f>
        <v>29.760400000000001</v>
      </c>
      <c r="Q1647">
        <f>VLOOKUP(O1647, Coordinates!$A$2:$C$6, 3, FALSE)</f>
        <v>-95.369799999999998</v>
      </c>
      <c r="R1647">
        <v>6</v>
      </c>
      <c r="S1647">
        <v>124</v>
      </c>
      <c r="T1647">
        <v>15</v>
      </c>
      <c r="U1647">
        <v>25.5789692114774</v>
      </c>
      <c r="V1647" t="s">
        <v>30</v>
      </c>
      <c r="W1647">
        <v>4.3569876051555001</v>
      </c>
      <c r="X1647" t="s">
        <v>31</v>
      </c>
      <c r="Y1647" t="s">
        <v>60</v>
      </c>
      <c r="Z1647">
        <v>905.59244325085501</v>
      </c>
    </row>
    <row r="1648" spans="1:26" x14ac:dyDescent="0.3">
      <c r="A1648" t="s">
        <v>33</v>
      </c>
      <c r="B1648" t="s">
        <v>1704</v>
      </c>
      <c r="C1648">
        <v>22.6104140128385</v>
      </c>
      <c r="D1648">
        <v>39</v>
      </c>
      <c r="E1648">
        <v>400</v>
      </c>
      <c r="F1648">
        <v>8107.0625241347998</v>
      </c>
      <c r="G1648" t="s">
        <v>35</v>
      </c>
      <c r="H1648">
        <v>46</v>
      </c>
      <c r="I1648">
        <v>8</v>
      </c>
      <c r="J1648">
        <v>72</v>
      </c>
      <c r="K1648">
        <v>4</v>
      </c>
      <c r="L1648" t="s">
        <v>44</v>
      </c>
      <c r="M1648">
        <v>8.9593964476324697</v>
      </c>
      <c r="N1648" t="s">
        <v>57</v>
      </c>
      <c r="O1648" t="s">
        <v>38</v>
      </c>
      <c r="P1648">
        <f>VLOOKUP(O1648, Coordinates!$A$2:$C$6, 2, FALSE)</f>
        <v>25.761700000000001</v>
      </c>
      <c r="Q1648">
        <f>VLOOKUP(O1648, Coordinates!$A$2:$C$6, 3, FALSE)</f>
        <v>-80.191800000000001</v>
      </c>
      <c r="R1648">
        <v>7</v>
      </c>
      <c r="S1648">
        <v>659</v>
      </c>
      <c r="T1648">
        <v>23</v>
      </c>
      <c r="U1648">
        <v>75.170986313113701</v>
      </c>
      <c r="V1648" t="s">
        <v>55</v>
      </c>
      <c r="W1648">
        <v>4.2736365304757502</v>
      </c>
      <c r="X1648" t="s">
        <v>31</v>
      </c>
      <c r="Y1648" t="s">
        <v>32</v>
      </c>
      <c r="Z1648">
        <v>707.36684059404899</v>
      </c>
    </row>
    <row r="1649" spans="1:26" x14ac:dyDescent="0.3">
      <c r="A1649" t="s">
        <v>82</v>
      </c>
      <c r="B1649" t="s">
        <v>1705</v>
      </c>
      <c r="C1649">
        <v>61.978274922197301</v>
      </c>
      <c r="D1649">
        <v>29</v>
      </c>
      <c r="E1649">
        <v>59</v>
      </c>
      <c r="F1649">
        <v>7649.2454507081702</v>
      </c>
      <c r="G1649" t="s">
        <v>48</v>
      </c>
      <c r="H1649">
        <v>29</v>
      </c>
      <c r="I1649">
        <v>17</v>
      </c>
      <c r="J1649">
        <v>59</v>
      </c>
      <c r="K1649">
        <v>8</v>
      </c>
      <c r="L1649" t="s">
        <v>44</v>
      </c>
      <c r="M1649">
        <v>1.36220948249683</v>
      </c>
      <c r="N1649" t="s">
        <v>37</v>
      </c>
      <c r="O1649" t="s">
        <v>58</v>
      </c>
      <c r="P1649">
        <f>VLOOKUP(O1649, Coordinates!$A$2:$C$6, 2, FALSE)</f>
        <v>34.052199999999999</v>
      </c>
      <c r="Q1649">
        <f>VLOOKUP(O1649, Coordinates!$A$2:$C$6, 3, FALSE)</f>
        <v>-118.2437</v>
      </c>
      <c r="R1649">
        <v>13</v>
      </c>
      <c r="S1649">
        <v>379</v>
      </c>
      <c r="T1649">
        <v>7</v>
      </c>
      <c r="U1649">
        <v>55.109120407363498</v>
      </c>
      <c r="V1649" t="s">
        <v>30</v>
      </c>
      <c r="W1649">
        <v>3.30459450904049</v>
      </c>
      <c r="X1649" t="s">
        <v>52</v>
      </c>
      <c r="Y1649" t="s">
        <v>60</v>
      </c>
      <c r="Z1649">
        <v>650.4915608197</v>
      </c>
    </row>
    <row r="1650" spans="1:26" x14ac:dyDescent="0.3">
      <c r="A1650" t="s">
        <v>72</v>
      </c>
      <c r="B1650" t="s">
        <v>1706</v>
      </c>
      <c r="C1650">
        <v>24.9157151345029</v>
      </c>
      <c r="D1650">
        <v>54</v>
      </c>
      <c r="E1650">
        <v>311</v>
      </c>
      <c r="F1650">
        <v>6973.9086661473702</v>
      </c>
      <c r="G1650" t="s">
        <v>35</v>
      </c>
      <c r="H1650">
        <v>15</v>
      </c>
      <c r="I1650">
        <v>26</v>
      </c>
      <c r="J1650">
        <v>21</v>
      </c>
      <c r="K1650">
        <v>2</v>
      </c>
      <c r="L1650" t="s">
        <v>44</v>
      </c>
      <c r="M1650">
        <v>4.0467543756934603</v>
      </c>
      <c r="N1650" t="s">
        <v>57</v>
      </c>
      <c r="O1650" t="s">
        <v>38</v>
      </c>
      <c r="P1650">
        <f>VLOOKUP(O1650, Coordinates!$A$2:$C$6, 2, FALSE)</f>
        <v>25.761700000000001</v>
      </c>
      <c r="Q1650">
        <f>VLOOKUP(O1650, Coordinates!$A$2:$C$6, 3, FALSE)</f>
        <v>-80.191800000000001</v>
      </c>
      <c r="R1650">
        <v>17</v>
      </c>
      <c r="S1650">
        <v>442</v>
      </c>
      <c r="T1650">
        <v>3</v>
      </c>
      <c r="U1650">
        <v>75.8661522050011</v>
      </c>
      <c r="V1650" t="s">
        <v>30</v>
      </c>
      <c r="W1650">
        <v>4.98678338984866</v>
      </c>
      <c r="X1650" t="s">
        <v>46</v>
      </c>
      <c r="Y1650" t="s">
        <v>32</v>
      </c>
      <c r="Z1650">
        <v>747.87870184540395</v>
      </c>
    </row>
    <row r="1651" spans="1:26" x14ac:dyDescent="0.3">
      <c r="A1651" t="s">
        <v>61</v>
      </c>
      <c r="B1651" t="s">
        <v>1707</v>
      </c>
      <c r="C1651">
        <v>87.5207657832254</v>
      </c>
      <c r="D1651">
        <v>90</v>
      </c>
      <c r="E1651">
        <v>874</v>
      </c>
      <c r="F1651">
        <v>9877.4395449999993</v>
      </c>
      <c r="G1651" t="s">
        <v>54</v>
      </c>
      <c r="H1651">
        <v>58</v>
      </c>
      <c r="I1651">
        <v>22</v>
      </c>
      <c r="J1651">
        <v>78</v>
      </c>
      <c r="K1651">
        <v>1</v>
      </c>
      <c r="L1651" t="s">
        <v>44</v>
      </c>
      <c r="M1651">
        <v>7.1385678941289896</v>
      </c>
      <c r="N1651" t="s">
        <v>57</v>
      </c>
      <c r="O1651" t="s">
        <v>58</v>
      </c>
      <c r="P1651">
        <f>VLOOKUP(O1651, Coordinates!$A$2:$C$6, 2, FALSE)</f>
        <v>34.052199999999999</v>
      </c>
      <c r="Q1651">
        <f>VLOOKUP(O1651, Coordinates!$A$2:$C$6, 3, FALSE)</f>
        <v>-118.2437</v>
      </c>
      <c r="R1651">
        <v>29</v>
      </c>
      <c r="S1651">
        <v>912</v>
      </c>
      <c r="T1651">
        <v>19</v>
      </c>
      <c r="U1651">
        <v>87.720251052600005</v>
      </c>
      <c r="V1651" t="s">
        <v>39</v>
      </c>
      <c r="W1651">
        <v>4.4658917334480996</v>
      </c>
      <c r="X1651" t="s">
        <v>31</v>
      </c>
      <c r="Y1651" t="s">
        <v>32</v>
      </c>
      <c r="Z1651">
        <v>756.20050976496805</v>
      </c>
    </row>
    <row r="1652" spans="1:26" x14ac:dyDescent="0.3">
      <c r="A1652" t="s">
        <v>82</v>
      </c>
      <c r="B1652" t="s">
        <v>1708</v>
      </c>
      <c r="C1652">
        <v>73.812718601306202</v>
      </c>
      <c r="D1652">
        <v>85</v>
      </c>
      <c r="E1652">
        <v>427</v>
      </c>
      <c r="F1652">
        <v>5802.3075709936702</v>
      </c>
      <c r="G1652" t="s">
        <v>26</v>
      </c>
      <c r="H1652">
        <v>46</v>
      </c>
      <c r="I1652">
        <v>1</v>
      </c>
      <c r="J1652">
        <v>82</v>
      </c>
      <c r="K1652">
        <v>3</v>
      </c>
      <c r="L1652" t="s">
        <v>27</v>
      </c>
      <c r="M1652">
        <v>9.2261370878607902</v>
      </c>
      <c r="N1652" t="s">
        <v>57</v>
      </c>
      <c r="O1652" t="s">
        <v>65</v>
      </c>
      <c r="P1652">
        <f>VLOOKUP(O1652, Coordinates!$A$2:$C$6, 2, FALSE)</f>
        <v>41.878100000000003</v>
      </c>
      <c r="Q1652">
        <f>VLOOKUP(O1652, Coordinates!$A$2:$C$6, 3, FALSE)</f>
        <v>-87.629800000000003</v>
      </c>
      <c r="R1652">
        <v>17</v>
      </c>
      <c r="S1652">
        <v>910</v>
      </c>
      <c r="T1652">
        <v>26</v>
      </c>
      <c r="U1652">
        <v>32.597638845493101</v>
      </c>
      <c r="V1652" t="s">
        <v>55</v>
      </c>
      <c r="W1652">
        <v>0.72615211800000001</v>
      </c>
      <c r="X1652" t="s">
        <v>46</v>
      </c>
      <c r="Y1652" t="s">
        <v>60</v>
      </c>
      <c r="Z1652">
        <v>365.26966194070098</v>
      </c>
    </row>
    <row r="1653" spans="1:26" x14ac:dyDescent="0.3">
      <c r="A1653" t="s">
        <v>42</v>
      </c>
      <c r="B1653" t="s">
        <v>1709</v>
      </c>
      <c r="C1653">
        <v>75.846571012231905</v>
      </c>
      <c r="D1653">
        <v>17</v>
      </c>
      <c r="E1653">
        <v>421</v>
      </c>
      <c r="F1653">
        <v>2017.95180851547</v>
      </c>
      <c r="G1653" t="s">
        <v>26</v>
      </c>
      <c r="H1653">
        <v>29</v>
      </c>
      <c r="I1653">
        <v>6</v>
      </c>
      <c r="J1653">
        <v>53</v>
      </c>
      <c r="K1653">
        <v>10</v>
      </c>
      <c r="L1653" t="s">
        <v>27</v>
      </c>
      <c r="M1653">
        <v>7.94786879458659</v>
      </c>
      <c r="N1653" t="s">
        <v>37</v>
      </c>
      <c r="O1653" t="s">
        <v>58</v>
      </c>
      <c r="P1653">
        <f>VLOOKUP(O1653, Coordinates!$A$2:$C$6, 2, FALSE)</f>
        <v>34.052199999999999</v>
      </c>
      <c r="Q1653">
        <f>VLOOKUP(O1653, Coordinates!$A$2:$C$6, 3, FALSE)</f>
        <v>-118.2437</v>
      </c>
      <c r="R1653">
        <v>4</v>
      </c>
      <c r="S1653">
        <v>171</v>
      </c>
      <c r="T1653">
        <v>10</v>
      </c>
      <c r="U1653">
        <v>71.454625339576694</v>
      </c>
      <c r="V1653" t="s">
        <v>30</v>
      </c>
      <c r="W1653">
        <v>1.99568201546851</v>
      </c>
      <c r="X1653" t="s">
        <v>31</v>
      </c>
      <c r="Y1653" t="s">
        <v>60</v>
      </c>
      <c r="Z1653">
        <v>309.46386623229603</v>
      </c>
    </row>
    <row r="1654" spans="1:26" x14ac:dyDescent="0.3">
      <c r="A1654" t="s">
        <v>82</v>
      </c>
      <c r="B1654" t="s">
        <v>1710</v>
      </c>
      <c r="C1654">
        <v>58.003107289316503</v>
      </c>
      <c r="D1654">
        <v>80</v>
      </c>
      <c r="E1654">
        <v>677</v>
      </c>
      <c r="F1654">
        <v>8454.4620833438894</v>
      </c>
      <c r="H1654">
        <v>8</v>
      </c>
      <c r="I1654">
        <v>7</v>
      </c>
      <c r="J1654">
        <v>61</v>
      </c>
      <c r="K1654">
        <v>7</v>
      </c>
      <c r="L1654" t="s">
        <v>27</v>
      </c>
      <c r="M1654">
        <v>13.822124649999999</v>
      </c>
      <c r="N1654" t="s">
        <v>28</v>
      </c>
      <c r="O1654" t="s">
        <v>65</v>
      </c>
      <c r="P1654">
        <f>VLOOKUP(O1654, Coordinates!$A$2:$C$6, 2, FALSE)</f>
        <v>41.878100000000003</v>
      </c>
      <c r="Q1654">
        <f>VLOOKUP(O1654, Coordinates!$A$2:$C$6, 3, FALSE)</f>
        <v>-87.629800000000003</v>
      </c>
      <c r="R1654">
        <v>19</v>
      </c>
      <c r="S1654">
        <v>300</v>
      </c>
      <c r="T1654">
        <v>28</v>
      </c>
      <c r="U1654">
        <v>64.684111297038001</v>
      </c>
      <c r="V1654" t="s">
        <v>30</v>
      </c>
      <c r="W1654">
        <v>0.65968742379637102</v>
      </c>
      <c r="X1654" t="s">
        <v>40</v>
      </c>
      <c r="Y1654" t="s">
        <v>60</v>
      </c>
      <c r="Z1654">
        <v>558.21868011362005</v>
      </c>
    </row>
    <row r="1655" spans="1:26" x14ac:dyDescent="0.3">
      <c r="A1655" t="s">
        <v>72</v>
      </c>
      <c r="B1655" t="s">
        <v>1711</v>
      </c>
      <c r="C1655">
        <v>27.480498916051801</v>
      </c>
      <c r="D1655">
        <v>60</v>
      </c>
      <c r="E1655">
        <v>801</v>
      </c>
      <c r="F1655">
        <v>19810.691668581701</v>
      </c>
      <c r="G1655" t="s">
        <v>48</v>
      </c>
      <c r="H1655">
        <v>64</v>
      </c>
      <c r="I1655">
        <v>15</v>
      </c>
      <c r="J1655">
        <v>18</v>
      </c>
      <c r="K1655">
        <v>6</v>
      </c>
      <c r="L1655" t="s">
        <v>36</v>
      </c>
      <c r="M1655">
        <v>14.140908429621</v>
      </c>
      <c r="N1655" t="s">
        <v>51</v>
      </c>
      <c r="O1655" t="s">
        <v>38</v>
      </c>
      <c r="P1655">
        <f>VLOOKUP(O1655, Coordinates!$A$2:$C$6, 2, FALSE)</f>
        <v>25.761700000000001</v>
      </c>
      <c r="Q1655">
        <f>VLOOKUP(O1655, Coordinates!$A$2:$C$6, 3, FALSE)</f>
        <v>-80.191800000000001</v>
      </c>
      <c r="R1655">
        <v>26</v>
      </c>
      <c r="S1655">
        <v>425</v>
      </c>
      <c r="T1655">
        <v>27</v>
      </c>
      <c r="U1655">
        <v>84.919872137680002</v>
      </c>
      <c r="V1655" t="s">
        <v>30</v>
      </c>
      <c r="W1655">
        <v>2.3304480821460101</v>
      </c>
      <c r="X1655" t="s">
        <v>46</v>
      </c>
      <c r="Y1655" t="s">
        <v>60</v>
      </c>
      <c r="Z1655">
        <v>233.052998332806</v>
      </c>
    </row>
    <row r="1656" spans="1:26" x14ac:dyDescent="0.3">
      <c r="A1656" t="s">
        <v>61</v>
      </c>
      <c r="B1656" t="s">
        <v>1712</v>
      </c>
      <c r="C1656">
        <v>17.6968052339992</v>
      </c>
      <c r="D1656">
        <v>31</v>
      </c>
      <c r="E1656">
        <v>329</v>
      </c>
      <c r="G1656" t="s">
        <v>54</v>
      </c>
      <c r="H1656">
        <v>58</v>
      </c>
      <c r="I1656">
        <v>18</v>
      </c>
      <c r="J1656">
        <v>74</v>
      </c>
      <c r="K1656">
        <v>6</v>
      </c>
      <c r="L1656" t="s">
        <v>44</v>
      </c>
      <c r="M1656">
        <v>2.5001344755483101</v>
      </c>
      <c r="N1656" t="s">
        <v>51</v>
      </c>
      <c r="O1656" t="s">
        <v>38</v>
      </c>
      <c r="P1656">
        <f>VLOOKUP(O1656, Coordinates!$A$2:$C$6, 2, FALSE)</f>
        <v>25.761700000000001</v>
      </c>
      <c r="Q1656">
        <f>VLOOKUP(O1656, Coordinates!$A$2:$C$6, 3, FALSE)</f>
        <v>-80.191800000000001</v>
      </c>
      <c r="R1656">
        <v>20</v>
      </c>
      <c r="S1656">
        <v>132</v>
      </c>
      <c r="T1656">
        <v>16</v>
      </c>
      <c r="U1656">
        <v>48.709351054889403</v>
      </c>
      <c r="V1656" t="s">
        <v>30</v>
      </c>
      <c r="W1656">
        <v>3.8819141240000001</v>
      </c>
      <c r="X1656" t="s">
        <v>40</v>
      </c>
      <c r="Y1656" t="s">
        <v>32</v>
      </c>
      <c r="Z1656">
        <v>527.26657652239703</v>
      </c>
    </row>
    <row r="1657" spans="1:26" x14ac:dyDescent="0.3">
      <c r="A1657" t="s">
        <v>33</v>
      </c>
      <c r="B1657" t="s">
        <v>1713</v>
      </c>
      <c r="C1657">
        <v>47.166622900023597</v>
      </c>
      <c r="D1657">
        <v>73</v>
      </c>
      <c r="E1657">
        <v>714</v>
      </c>
      <c r="F1657">
        <v>9613.9638640004596</v>
      </c>
      <c r="G1657" t="s">
        <v>48</v>
      </c>
      <c r="H1657">
        <v>63</v>
      </c>
      <c r="I1657">
        <v>9</v>
      </c>
      <c r="J1657">
        <v>19</v>
      </c>
      <c r="K1657">
        <v>7</v>
      </c>
      <c r="L1657" t="s">
        <v>27</v>
      </c>
      <c r="M1657">
        <v>2.9374722949027401</v>
      </c>
      <c r="N1657" t="s">
        <v>37</v>
      </c>
      <c r="O1657" t="s">
        <v>29</v>
      </c>
      <c r="P1657">
        <f>VLOOKUP(O1657, Coordinates!$A$2:$C$6, 2, FALSE)</f>
        <v>29.760400000000001</v>
      </c>
      <c r="Q1657">
        <f>VLOOKUP(O1657, Coordinates!$A$2:$C$6, 3, FALSE)</f>
        <v>-95.369799999999998</v>
      </c>
      <c r="R1657">
        <v>13</v>
      </c>
      <c r="S1657">
        <v>196</v>
      </c>
      <c r="T1657">
        <v>14</v>
      </c>
      <c r="U1657">
        <v>14.668338763959399</v>
      </c>
      <c r="V1657" t="s">
        <v>30</v>
      </c>
      <c r="W1657">
        <v>0.77894354964379697</v>
      </c>
      <c r="X1657" t="s">
        <v>46</v>
      </c>
      <c r="Y1657" t="s">
        <v>60</v>
      </c>
      <c r="Z1657">
        <v>723.74073876502496</v>
      </c>
    </row>
    <row r="1658" spans="1:26" x14ac:dyDescent="0.3">
      <c r="A1658" t="s">
        <v>24</v>
      </c>
      <c r="B1658" t="s">
        <v>1714</v>
      </c>
      <c r="C1658">
        <v>37.109362602950497</v>
      </c>
      <c r="D1658">
        <v>95</v>
      </c>
      <c r="E1658">
        <v>675</v>
      </c>
      <c r="F1658">
        <v>22543.937781292399</v>
      </c>
      <c r="G1658" t="s">
        <v>26</v>
      </c>
      <c r="H1658">
        <v>7</v>
      </c>
      <c r="I1658">
        <v>8</v>
      </c>
      <c r="J1658">
        <v>55</v>
      </c>
      <c r="K1658">
        <v>8</v>
      </c>
      <c r="L1658" t="s">
        <v>44</v>
      </c>
      <c r="M1658">
        <v>6.0127687712535698</v>
      </c>
      <c r="N1658" t="s">
        <v>28</v>
      </c>
      <c r="O1658" t="s">
        <v>29</v>
      </c>
      <c r="P1658">
        <f>VLOOKUP(O1658, Coordinates!$A$2:$C$6, 2, FALSE)</f>
        <v>29.760400000000001</v>
      </c>
      <c r="Q1658">
        <f>VLOOKUP(O1658, Coordinates!$A$2:$C$6, 3, FALSE)</f>
        <v>-95.369799999999998</v>
      </c>
      <c r="R1658">
        <v>29</v>
      </c>
      <c r="S1658">
        <v>656</v>
      </c>
      <c r="T1658">
        <v>8</v>
      </c>
      <c r="U1658">
        <v>88.452506817394294</v>
      </c>
      <c r="V1658" t="s">
        <v>39</v>
      </c>
      <c r="W1658">
        <v>4.4021101620995102</v>
      </c>
      <c r="X1658" t="s">
        <v>40</v>
      </c>
      <c r="Y1658" t="s">
        <v>41</v>
      </c>
      <c r="Z1658">
        <v>106.669147940038</v>
      </c>
    </row>
    <row r="1659" spans="1:26" x14ac:dyDescent="0.3">
      <c r="A1659" t="s">
        <v>42</v>
      </c>
      <c r="B1659" t="s">
        <v>1715</v>
      </c>
      <c r="C1659">
        <v>96.057294388435295</v>
      </c>
      <c r="D1659">
        <v>78</v>
      </c>
      <c r="E1659">
        <v>84</v>
      </c>
      <c r="F1659">
        <v>6364.2714489999998</v>
      </c>
      <c r="G1659" t="s">
        <v>26</v>
      </c>
      <c r="H1659">
        <v>51</v>
      </c>
      <c r="I1659">
        <v>25</v>
      </c>
      <c r="J1659">
        <v>67</v>
      </c>
      <c r="K1659">
        <v>3</v>
      </c>
      <c r="L1659" t="s">
        <v>27</v>
      </c>
      <c r="M1659">
        <v>6.8972883466083204</v>
      </c>
      <c r="N1659" t="s">
        <v>51</v>
      </c>
      <c r="O1659" t="s">
        <v>65</v>
      </c>
      <c r="P1659">
        <f>VLOOKUP(O1659, Coordinates!$A$2:$C$6, 2, FALSE)</f>
        <v>41.878100000000003</v>
      </c>
      <c r="Q1659">
        <f>VLOOKUP(O1659, Coordinates!$A$2:$C$6, 3, FALSE)</f>
        <v>-87.629800000000003</v>
      </c>
      <c r="R1659">
        <v>9</v>
      </c>
      <c r="S1659">
        <v>362</v>
      </c>
      <c r="T1659">
        <v>11</v>
      </c>
      <c r="U1659">
        <v>96.299048720000002</v>
      </c>
      <c r="V1659" t="s">
        <v>30</v>
      </c>
      <c r="W1659">
        <v>2.84528775770253</v>
      </c>
      <c r="X1659" t="s">
        <v>52</v>
      </c>
      <c r="Y1659" t="s">
        <v>32</v>
      </c>
      <c r="Z1659">
        <v>200.03270938365199</v>
      </c>
    </row>
    <row r="1660" spans="1:26" x14ac:dyDescent="0.3">
      <c r="A1660" t="s">
        <v>61</v>
      </c>
      <c r="B1660" t="s">
        <v>1716</v>
      </c>
      <c r="C1660">
        <v>45.953251949212401</v>
      </c>
      <c r="D1660">
        <v>49</v>
      </c>
      <c r="E1660">
        <v>35</v>
      </c>
      <c r="F1660">
        <v>5143.4755810753604</v>
      </c>
      <c r="G1660" t="s">
        <v>48</v>
      </c>
      <c r="H1660">
        <v>17</v>
      </c>
      <c r="I1660">
        <v>10</v>
      </c>
      <c r="J1660">
        <v>46</v>
      </c>
      <c r="K1660">
        <v>3</v>
      </c>
      <c r="L1660" t="s">
        <v>36</v>
      </c>
      <c r="M1660">
        <v>9.2049336972557505</v>
      </c>
      <c r="N1660" t="s">
        <v>57</v>
      </c>
      <c r="O1660" t="s">
        <v>65</v>
      </c>
      <c r="P1660">
        <f>VLOOKUP(O1660, Coordinates!$A$2:$C$6, 2, FALSE)</f>
        <v>41.878100000000003</v>
      </c>
      <c r="Q1660">
        <f>VLOOKUP(O1660, Coordinates!$A$2:$C$6, 3, FALSE)</f>
        <v>-87.629800000000003</v>
      </c>
      <c r="R1660">
        <v>2</v>
      </c>
      <c r="S1660">
        <v>973</v>
      </c>
      <c r="T1660">
        <v>19</v>
      </c>
      <c r="U1660">
        <v>11.3168061554701</v>
      </c>
      <c r="V1660" t="s">
        <v>30</v>
      </c>
      <c r="W1660">
        <v>3.7447222739862198</v>
      </c>
      <c r="X1660" t="s">
        <v>40</v>
      </c>
      <c r="Y1660" t="s">
        <v>41</v>
      </c>
      <c r="Z1660">
        <v>965.93834715776495</v>
      </c>
    </row>
    <row r="1661" spans="1:26" x14ac:dyDescent="0.3">
      <c r="A1661" t="s">
        <v>72</v>
      </c>
      <c r="B1661" t="s">
        <v>1717</v>
      </c>
      <c r="C1661">
        <v>29.2478522340407</v>
      </c>
      <c r="D1661">
        <v>2</v>
      </c>
      <c r="E1661">
        <v>989</v>
      </c>
      <c r="F1661">
        <v>26033.513273519598</v>
      </c>
      <c r="G1661" t="s">
        <v>35</v>
      </c>
      <c r="H1661">
        <v>90</v>
      </c>
      <c r="I1661">
        <v>29</v>
      </c>
      <c r="J1661">
        <v>61</v>
      </c>
      <c r="K1661">
        <v>10</v>
      </c>
      <c r="L1661" t="s">
        <v>27</v>
      </c>
      <c r="M1661">
        <v>11.824236497027099</v>
      </c>
      <c r="N1661" t="s">
        <v>37</v>
      </c>
      <c r="O1661" t="s">
        <v>67</v>
      </c>
      <c r="P1661">
        <f>VLOOKUP(O1661, Coordinates!$A$2:$C$6, 2, FALSE)</f>
        <v>40.712800000000001</v>
      </c>
      <c r="Q1661">
        <f>VLOOKUP(O1661, Coordinates!$A$2:$C$6, 3, FALSE)</f>
        <v>-74.006</v>
      </c>
      <c r="R1661">
        <v>30</v>
      </c>
      <c r="S1661">
        <v>169</v>
      </c>
      <c r="T1661">
        <v>2</v>
      </c>
      <c r="U1661">
        <v>83.133705252235501</v>
      </c>
      <c r="V1661" t="s">
        <v>30</v>
      </c>
      <c r="W1661">
        <v>0.22577906053800101</v>
      </c>
      <c r="X1661" t="s">
        <v>31</v>
      </c>
      <c r="Y1661" t="s">
        <v>32</v>
      </c>
      <c r="Z1661">
        <v>935.14777191202404</v>
      </c>
    </row>
    <row r="1662" spans="1:26" x14ac:dyDescent="0.3">
      <c r="A1662" t="s">
        <v>42</v>
      </c>
      <c r="B1662" t="s">
        <v>1718</v>
      </c>
      <c r="C1662">
        <v>55.658882931514697</v>
      </c>
      <c r="D1662">
        <v>48</v>
      </c>
      <c r="E1662">
        <v>927</v>
      </c>
      <c r="F1662">
        <v>4177.0427587465201</v>
      </c>
      <c r="G1662" t="s">
        <v>35</v>
      </c>
      <c r="H1662">
        <v>0</v>
      </c>
      <c r="I1662">
        <v>24</v>
      </c>
      <c r="J1662">
        <v>90</v>
      </c>
      <c r="K1662">
        <v>8</v>
      </c>
      <c r="L1662" t="s">
        <v>36</v>
      </c>
      <c r="M1662">
        <v>2.90074787786439</v>
      </c>
      <c r="N1662" t="s">
        <v>37</v>
      </c>
      <c r="O1662" t="s">
        <v>67</v>
      </c>
      <c r="P1662">
        <f>VLOOKUP(O1662, Coordinates!$A$2:$C$6, 2, FALSE)</f>
        <v>40.712800000000001</v>
      </c>
      <c r="Q1662">
        <f>VLOOKUP(O1662, Coordinates!$A$2:$C$6, 3, FALSE)</f>
        <v>-74.006</v>
      </c>
      <c r="R1662">
        <v>20</v>
      </c>
      <c r="S1662">
        <v>912</v>
      </c>
      <c r="T1662">
        <v>5</v>
      </c>
      <c r="U1662">
        <v>38.4461011</v>
      </c>
      <c r="V1662" t="s">
        <v>55</v>
      </c>
      <c r="W1662">
        <v>0.469190766754358</v>
      </c>
      <c r="X1662" t="s">
        <v>52</v>
      </c>
      <c r="Y1662" t="s">
        <v>32</v>
      </c>
      <c r="Z1662">
        <v>476.12485661366497</v>
      </c>
    </row>
    <row r="1663" spans="1:26" x14ac:dyDescent="0.3">
      <c r="A1663" t="s">
        <v>49</v>
      </c>
      <c r="B1663" t="s">
        <v>1719</v>
      </c>
      <c r="C1663">
        <v>65.492363119211007</v>
      </c>
      <c r="D1663">
        <v>14</v>
      </c>
      <c r="E1663">
        <v>562</v>
      </c>
      <c r="F1663">
        <v>6727.3543513863096</v>
      </c>
      <c r="G1663" t="s">
        <v>48</v>
      </c>
      <c r="H1663">
        <v>95</v>
      </c>
      <c r="I1663">
        <v>20</v>
      </c>
      <c r="J1663">
        <v>22</v>
      </c>
      <c r="K1663">
        <v>7</v>
      </c>
      <c r="L1663" t="s">
        <v>44</v>
      </c>
      <c r="M1663">
        <v>12.236955745085501</v>
      </c>
      <c r="N1663" t="s">
        <v>45</v>
      </c>
      <c r="O1663" t="s">
        <v>38</v>
      </c>
      <c r="P1663">
        <f>VLOOKUP(O1663, Coordinates!$A$2:$C$6, 2, FALSE)</f>
        <v>25.761700000000001</v>
      </c>
      <c r="Q1663">
        <f>VLOOKUP(O1663, Coordinates!$A$2:$C$6, 3, FALSE)</f>
        <v>-80.191800000000001</v>
      </c>
      <c r="R1663">
        <v>25</v>
      </c>
      <c r="S1663">
        <v>392</v>
      </c>
      <c r="T1663">
        <v>11</v>
      </c>
      <c r="U1663">
        <v>78.925499909999999</v>
      </c>
      <c r="V1663" t="s">
        <v>55</v>
      </c>
      <c r="W1663">
        <v>4.0326677469999996</v>
      </c>
      <c r="X1663" t="s">
        <v>40</v>
      </c>
      <c r="Y1663" t="s">
        <v>41</v>
      </c>
      <c r="Z1663">
        <v>631.02953445768605</v>
      </c>
    </row>
    <row r="1664" spans="1:26" x14ac:dyDescent="0.3">
      <c r="A1664" t="s">
        <v>82</v>
      </c>
      <c r="B1664" t="s">
        <v>1720</v>
      </c>
      <c r="C1664">
        <v>76.082118976530097</v>
      </c>
      <c r="D1664">
        <v>59</v>
      </c>
      <c r="E1664">
        <v>869</v>
      </c>
      <c r="F1664">
        <v>7761.4580524397097</v>
      </c>
      <c r="G1664" t="s">
        <v>26</v>
      </c>
      <c r="H1664">
        <v>57</v>
      </c>
      <c r="I1664">
        <v>28</v>
      </c>
      <c r="J1664">
        <v>15</v>
      </c>
      <c r="K1664">
        <v>10</v>
      </c>
      <c r="L1664" t="s">
        <v>27</v>
      </c>
      <c r="M1664">
        <v>9.5403963886543899</v>
      </c>
      <c r="N1664" t="s">
        <v>45</v>
      </c>
      <c r="O1664" t="s">
        <v>38</v>
      </c>
      <c r="P1664">
        <f>VLOOKUP(O1664, Coordinates!$A$2:$C$6, 2, FALSE)</f>
        <v>25.761700000000001</v>
      </c>
      <c r="Q1664">
        <f>VLOOKUP(O1664, Coordinates!$A$2:$C$6, 3, FALSE)</f>
        <v>-80.191800000000001</v>
      </c>
      <c r="R1664">
        <v>28</v>
      </c>
      <c r="S1664">
        <v>829</v>
      </c>
      <c r="T1664">
        <v>7</v>
      </c>
      <c r="U1664">
        <v>39.094923022134502</v>
      </c>
      <c r="V1664" t="s">
        <v>55</v>
      </c>
      <c r="W1664">
        <v>4.6328890474958504</v>
      </c>
      <c r="X1664" t="s">
        <v>52</v>
      </c>
      <c r="Y1664" t="s">
        <v>32</v>
      </c>
      <c r="Z1664">
        <v>239.76319279927199</v>
      </c>
    </row>
    <row r="1665" spans="1:26" x14ac:dyDescent="0.3">
      <c r="A1665" t="s">
        <v>24</v>
      </c>
      <c r="B1665" t="s">
        <v>1721</v>
      </c>
      <c r="C1665">
        <v>38.5263826250292</v>
      </c>
      <c r="D1665">
        <v>97</v>
      </c>
      <c r="E1665">
        <v>721</v>
      </c>
      <c r="F1665">
        <v>24999.769685381401</v>
      </c>
      <c r="G1665" t="s">
        <v>48</v>
      </c>
      <c r="H1665">
        <v>48</v>
      </c>
      <c r="I1665">
        <v>8</v>
      </c>
      <c r="J1665">
        <v>67</v>
      </c>
      <c r="K1665">
        <v>5</v>
      </c>
      <c r="L1665" t="s">
        <v>27</v>
      </c>
      <c r="M1665">
        <v>14.73238245113</v>
      </c>
      <c r="N1665" t="s">
        <v>45</v>
      </c>
      <c r="O1665" t="s">
        <v>38</v>
      </c>
      <c r="P1665">
        <f>VLOOKUP(O1665, Coordinates!$A$2:$C$6, 2, FALSE)</f>
        <v>25.761700000000001</v>
      </c>
      <c r="Q1665">
        <f>VLOOKUP(O1665, Coordinates!$A$2:$C$6, 3, FALSE)</f>
        <v>-80.191800000000001</v>
      </c>
      <c r="R1665">
        <v>28</v>
      </c>
      <c r="S1665">
        <v>306</v>
      </c>
      <c r="T1665">
        <v>8</v>
      </c>
      <c r="U1665">
        <v>94.445830929757904</v>
      </c>
      <c r="V1665" t="s">
        <v>39</v>
      </c>
      <c r="W1665">
        <v>4.0746002595390403</v>
      </c>
      <c r="X1665" t="s">
        <v>52</v>
      </c>
      <c r="Y1665" t="s">
        <v>41</v>
      </c>
      <c r="Z1665">
        <v>397.91078989344498</v>
      </c>
    </row>
    <row r="1666" spans="1:26" x14ac:dyDescent="0.3">
      <c r="A1666" t="s">
        <v>72</v>
      </c>
      <c r="B1666" t="s">
        <v>1722</v>
      </c>
      <c r="C1666">
        <v>35.867692299747901</v>
      </c>
      <c r="D1666">
        <v>99</v>
      </c>
      <c r="E1666">
        <v>568</v>
      </c>
      <c r="F1666">
        <v>18335.564303631101</v>
      </c>
      <c r="G1666" t="s">
        <v>26</v>
      </c>
      <c r="H1666">
        <v>31</v>
      </c>
      <c r="I1666">
        <v>1</v>
      </c>
      <c r="J1666">
        <v>57</v>
      </c>
      <c r="K1666">
        <v>4</v>
      </c>
      <c r="L1666" t="s">
        <v>27</v>
      </c>
      <c r="M1666">
        <v>10.1163474931554</v>
      </c>
      <c r="N1666" t="s">
        <v>28</v>
      </c>
      <c r="O1666" t="s">
        <v>65</v>
      </c>
      <c r="P1666">
        <f>VLOOKUP(O1666, Coordinates!$A$2:$C$6, 2, FALSE)</f>
        <v>41.878100000000003</v>
      </c>
      <c r="Q1666">
        <f>VLOOKUP(O1666, Coordinates!$A$2:$C$6, 3, FALSE)</f>
        <v>-87.629800000000003</v>
      </c>
      <c r="R1666">
        <v>26</v>
      </c>
      <c r="S1666">
        <v>271</v>
      </c>
      <c r="T1666">
        <v>17</v>
      </c>
      <c r="U1666">
        <v>89.377298609999997</v>
      </c>
      <c r="V1666" t="s">
        <v>55</v>
      </c>
      <c r="W1666">
        <v>3.4418466263354</v>
      </c>
      <c r="X1666" t="s">
        <v>31</v>
      </c>
      <c r="Y1666" t="s">
        <v>32</v>
      </c>
      <c r="Z1666">
        <v>813.638960684734</v>
      </c>
    </row>
    <row r="1667" spans="1:26" x14ac:dyDescent="0.3">
      <c r="A1667" t="s">
        <v>49</v>
      </c>
      <c r="B1667" t="s">
        <v>1723</v>
      </c>
      <c r="C1667">
        <v>83.462182195022805</v>
      </c>
      <c r="D1667">
        <v>58</v>
      </c>
      <c r="E1667">
        <v>654</v>
      </c>
      <c r="F1667">
        <v>5445.8846210000002</v>
      </c>
      <c r="G1667" t="s">
        <v>48</v>
      </c>
      <c r="H1667">
        <v>47</v>
      </c>
      <c r="I1667">
        <v>8</v>
      </c>
      <c r="J1667">
        <v>41</v>
      </c>
      <c r="K1667">
        <v>6</v>
      </c>
      <c r="L1667" t="s">
        <v>44</v>
      </c>
      <c r="M1667">
        <v>11.025281066370001</v>
      </c>
      <c r="N1667" t="s">
        <v>37</v>
      </c>
      <c r="O1667" t="s">
        <v>29</v>
      </c>
      <c r="P1667">
        <f>VLOOKUP(O1667, Coordinates!$A$2:$C$6, 2, FALSE)</f>
        <v>29.760400000000001</v>
      </c>
      <c r="Q1667">
        <f>VLOOKUP(O1667, Coordinates!$A$2:$C$6, 3, FALSE)</f>
        <v>-95.369799999999998</v>
      </c>
      <c r="R1667">
        <v>20</v>
      </c>
      <c r="S1667">
        <v>857</v>
      </c>
      <c r="T1667">
        <v>12</v>
      </c>
      <c r="U1667">
        <v>14.176476006489899</v>
      </c>
      <c r="V1667" t="s">
        <v>30</v>
      </c>
      <c r="W1667">
        <v>1.00469360073671</v>
      </c>
      <c r="X1667" t="s">
        <v>40</v>
      </c>
      <c r="Y1667" t="s">
        <v>60</v>
      </c>
      <c r="Z1667">
        <v>870.36991708387995</v>
      </c>
    </row>
    <row r="1668" spans="1:26" x14ac:dyDescent="0.3">
      <c r="A1668" t="s">
        <v>61</v>
      </c>
      <c r="B1668" t="s">
        <v>1724</v>
      </c>
      <c r="C1668">
        <v>48.995897814563499</v>
      </c>
      <c r="D1668">
        <v>58</v>
      </c>
      <c r="E1668">
        <v>476</v>
      </c>
      <c r="F1668">
        <v>8124.7606496475601</v>
      </c>
      <c r="G1668" t="s">
        <v>35</v>
      </c>
      <c r="H1668">
        <v>44</v>
      </c>
      <c r="I1668">
        <v>23</v>
      </c>
      <c r="J1668">
        <v>20</v>
      </c>
      <c r="K1668">
        <v>9</v>
      </c>
      <c r="L1668" t="s">
        <v>36</v>
      </c>
      <c r="M1668">
        <v>3.7329241296303701</v>
      </c>
      <c r="N1668" t="s">
        <v>45</v>
      </c>
      <c r="O1668" t="s">
        <v>38</v>
      </c>
      <c r="P1668">
        <f>VLOOKUP(O1668, Coordinates!$A$2:$C$6, 2, FALSE)</f>
        <v>25.761700000000001</v>
      </c>
      <c r="Q1668">
        <f>VLOOKUP(O1668, Coordinates!$A$2:$C$6, 3, FALSE)</f>
        <v>-80.191800000000001</v>
      </c>
      <c r="R1668">
        <v>25</v>
      </c>
      <c r="S1668">
        <v>494</v>
      </c>
      <c r="T1668">
        <v>18</v>
      </c>
      <c r="U1668">
        <v>25.353717396287198</v>
      </c>
      <c r="V1668" t="s">
        <v>55</v>
      </c>
      <c r="W1668">
        <v>4.6709029515834501</v>
      </c>
      <c r="X1668" t="s">
        <v>52</v>
      </c>
      <c r="Y1668" t="s">
        <v>32</v>
      </c>
      <c r="Z1668">
        <v>464.76295019999998</v>
      </c>
    </row>
    <row r="1669" spans="1:26" x14ac:dyDescent="0.3">
      <c r="A1669" t="s">
        <v>33</v>
      </c>
      <c r="B1669" t="s">
        <v>1725</v>
      </c>
      <c r="D1669">
        <v>51</v>
      </c>
      <c r="E1669">
        <v>78</v>
      </c>
      <c r="F1669">
        <v>5281.3367037014996</v>
      </c>
      <c r="G1669" t="s">
        <v>54</v>
      </c>
      <c r="H1669">
        <v>53</v>
      </c>
      <c r="I1669">
        <v>12</v>
      </c>
      <c r="J1669">
        <v>90</v>
      </c>
      <c r="K1669">
        <v>6</v>
      </c>
      <c r="L1669" t="s">
        <v>36</v>
      </c>
      <c r="M1669">
        <v>11.764067375026499</v>
      </c>
      <c r="N1669" t="s">
        <v>37</v>
      </c>
      <c r="O1669" t="s">
        <v>58</v>
      </c>
      <c r="P1669">
        <f>VLOOKUP(O1669, Coordinates!$A$2:$C$6, 2, FALSE)</f>
        <v>34.052199999999999</v>
      </c>
      <c r="Q1669">
        <f>VLOOKUP(O1669, Coordinates!$A$2:$C$6, 3, FALSE)</f>
        <v>-118.2437</v>
      </c>
      <c r="R1669">
        <v>30</v>
      </c>
      <c r="S1669">
        <v>355</v>
      </c>
      <c r="T1669">
        <v>29</v>
      </c>
      <c r="U1669">
        <v>46.722720580249899</v>
      </c>
      <c r="V1669" t="s">
        <v>55</v>
      </c>
      <c r="W1669">
        <v>4.40681373678576</v>
      </c>
      <c r="X1669" t="s">
        <v>31</v>
      </c>
      <c r="Y1669" t="s">
        <v>41</v>
      </c>
      <c r="Z1669">
        <v>379.94742187900903</v>
      </c>
    </row>
    <row r="1670" spans="1:26" x14ac:dyDescent="0.3">
      <c r="A1670" t="s">
        <v>42</v>
      </c>
      <c r="B1670" t="s">
        <v>1726</v>
      </c>
      <c r="C1670">
        <v>67.197362158848406</v>
      </c>
      <c r="D1670">
        <v>84</v>
      </c>
      <c r="E1670">
        <v>557</v>
      </c>
      <c r="F1670">
        <v>5829.6095176194403</v>
      </c>
      <c r="G1670" t="s">
        <v>26</v>
      </c>
      <c r="H1670">
        <v>99</v>
      </c>
      <c r="I1670">
        <v>23</v>
      </c>
      <c r="J1670">
        <v>14</v>
      </c>
      <c r="K1670">
        <v>8</v>
      </c>
      <c r="L1670" t="s">
        <v>27</v>
      </c>
      <c r="M1670">
        <v>2.1097264875644299</v>
      </c>
      <c r="N1670" t="s">
        <v>57</v>
      </c>
      <c r="O1670" t="s">
        <v>65</v>
      </c>
      <c r="P1670">
        <f>VLOOKUP(O1670, Coordinates!$A$2:$C$6, 2, FALSE)</f>
        <v>41.878100000000003</v>
      </c>
      <c r="Q1670">
        <f>VLOOKUP(O1670, Coordinates!$A$2:$C$6, 3, FALSE)</f>
        <v>-87.629800000000003</v>
      </c>
      <c r="R1670">
        <v>17</v>
      </c>
      <c r="S1670">
        <v>363</v>
      </c>
      <c r="T1670">
        <v>7</v>
      </c>
      <c r="U1670">
        <v>42.003996610000002</v>
      </c>
      <c r="V1670" t="s">
        <v>55</v>
      </c>
      <c r="W1670">
        <v>0.56617692799999997</v>
      </c>
      <c r="X1670" t="s">
        <v>46</v>
      </c>
      <c r="Y1670" t="s">
        <v>60</v>
      </c>
      <c r="Z1670">
        <v>713.51370848539204</v>
      </c>
    </row>
    <row r="1671" spans="1:26" x14ac:dyDescent="0.3">
      <c r="A1671" t="s">
        <v>82</v>
      </c>
      <c r="B1671" t="s">
        <v>1727</v>
      </c>
      <c r="C1671">
        <v>83.257902600916594</v>
      </c>
      <c r="D1671">
        <v>2</v>
      </c>
      <c r="E1671">
        <v>483</v>
      </c>
      <c r="F1671">
        <v>7940.2244339999997</v>
      </c>
      <c r="H1671">
        <v>99</v>
      </c>
      <c r="I1671">
        <v>25</v>
      </c>
      <c r="J1671">
        <v>15</v>
      </c>
      <c r="K1671">
        <v>1</v>
      </c>
      <c r="L1671" t="s">
        <v>44</v>
      </c>
      <c r="M1671">
        <v>10.1914261066346</v>
      </c>
      <c r="N1671" t="s">
        <v>45</v>
      </c>
      <c r="O1671" t="s">
        <v>38</v>
      </c>
      <c r="P1671">
        <f>VLOOKUP(O1671, Coordinates!$A$2:$C$6, 2, FALSE)</f>
        <v>25.761700000000001</v>
      </c>
      <c r="Q1671">
        <f>VLOOKUP(O1671, Coordinates!$A$2:$C$6, 3, FALSE)</f>
        <v>-80.191800000000001</v>
      </c>
      <c r="R1671">
        <v>26</v>
      </c>
      <c r="S1671">
        <v>363</v>
      </c>
      <c r="T1671">
        <v>9</v>
      </c>
      <c r="U1671">
        <v>41.244923726502599</v>
      </c>
      <c r="V1671" t="s">
        <v>39</v>
      </c>
      <c r="W1671">
        <v>4.6141762064927399</v>
      </c>
      <c r="X1671" t="s">
        <v>46</v>
      </c>
      <c r="Y1671" t="s">
        <v>60</v>
      </c>
      <c r="Z1671">
        <v>746.11284109999997</v>
      </c>
    </row>
    <row r="1672" spans="1:26" x14ac:dyDescent="0.3">
      <c r="A1672" t="s">
        <v>42</v>
      </c>
      <c r="B1672" t="s">
        <v>1728</v>
      </c>
      <c r="C1672">
        <v>10.9983278281021</v>
      </c>
      <c r="D1672">
        <v>41</v>
      </c>
      <c r="E1672">
        <v>593</v>
      </c>
      <c r="F1672">
        <v>6951.3877563858196</v>
      </c>
      <c r="G1672" t="s">
        <v>35</v>
      </c>
      <c r="H1672">
        <v>84</v>
      </c>
      <c r="I1672">
        <v>15</v>
      </c>
      <c r="J1672">
        <v>83</v>
      </c>
      <c r="K1672">
        <v>6</v>
      </c>
      <c r="L1672" t="s">
        <v>36</v>
      </c>
      <c r="M1672">
        <v>1.77802072388181</v>
      </c>
      <c r="N1672" t="s">
        <v>37</v>
      </c>
      <c r="O1672" t="s">
        <v>29</v>
      </c>
      <c r="P1672">
        <f>VLOOKUP(O1672, Coordinates!$A$2:$C$6, 2, FALSE)</f>
        <v>29.760400000000001</v>
      </c>
      <c r="Q1672">
        <f>VLOOKUP(O1672, Coordinates!$A$2:$C$6, 3, FALSE)</f>
        <v>-95.369799999999998</v>
      </c>
      <c r="R1672">
        <v>17</v>
      </c>
      <c r="S1672">
        <v>616</v>
      </c>
      <c r="T1672">
        <v>19</v>
      </c>
      <c r="U1672">
        <v>19.7699511807695</v>
      </c>
      <c r="V1672" t="s">
        <v>55</v>
      </c>
      <c r="W1672">
        <v>2.6675341951837201</v>
      </c>
      <c r="X1672" t="s">
        <v>52</v>
      </c>
      <c r="Y1672" t="s">
        <v>60</v>
      </c>
      <c r="Z1672">
        <v>985.42632534237498</v>
      </c>
    </row>
    <row r="1673" spans="1:26" x14ac:dyDescent="0.3">
      <c r="A1673" t="s">
        <v>24</v>
      </c>
      <c r="B1673" t="s">
        <v>1729</v>
      </c>
      <c r="C1673">
        <v>37.230068271596998</v>
      </c>
      <c r="D1673">
        <v>83</v>
      </c>
      <c r="E1673">
        <v>391</v>
      </c>
      <c r="F1673">
        <v>13101.261024775</v>
      </c>
      <c r="G1673" t="s">
        <v>48</v>
      </c>
      <c r="H1673">
        <v>45</v>
      </c>
      <c r="I1673">
        <v>13</v>
      </c>
      <c r="J1673">
        <v>30</v>
      </c>
      <c r="K1673">
        <v>2</v>
      </c>
      <c r="L1673" t="s">
        <v>36</v>
      </c>
      <c r="M1673">
        <v>2.6131614983343501</v>
      </c>
      <c r="N1673" t="s">
        <v>28</v>
      </c>
      <c r="O1673" t="s">
        <v>58</v>
      </c>
      <c r="P1673">
        <f>VLOOKUP(O1673, Coordinates!$A$2:$C$6, 2, FALSE)</f>
        <v>34.052199999999999</v>
      </c>
      <c r="Q1673">
        <f>VLOOKUP(O1673, Coordinates!$A$2:$C$6, 3, FALSE)</f>
        <v>-118.2437</v>
      </c>
      <c r="R1673">
        <v>27</v>
      </c>
      <c r="S1673">
        <v>109</v>
      </c>
      <c r="T1673">
        <v>14</v>
      </c>
      <c r="U1673">
        <v>93.681335090743602</v>
      </c>
      <c r="V1673" t="s">
        <v>30</v>
      </c>
      <c r="W1673">
        <v>2.1071004806854199</v>
      </c>
      <c r="X1673" t="s">
        <v>52</v>
      </c>
      <c r="Y1673" t="s">
        <v>60</v>
      </c>
      <c r="Z1673">
        <v>727.59592724154595</v>
      </c>
    </row>
    <row r="1674" spans="1:26" x14ac:dyDescent="0.3">
      <c r="A1674" t="s">
        <v>61</v>
      </c>
      <c r="B1674" t="s">
        <v>1730</v>
      </c>
      <c r="C1674">
        <v>83.056553631368203</v>
      </c>
      <c r="D1674">
        <v>82</v>
      </c>
      <c r="E1674">
        <v>703</v>
      </c>
      <c r="F1674">
        <v>9058.7144009999993</v>
      </c>
      <c r="G1674" t="s">
        <v>35</v>
      </c>
      <c r="H1674">
        <v>95</v>
      </c>
      <c r="I1674">
        <v>16</v>
      </c>
      <c r="J1674">
        <v>51</v>
      </c>
      <c r="K1674">
        <v>3</v>
      </c>
      <c r="L1674" t="s">
        <v>36</v>
      </c>
      <c r="M1674">
        <v>2.5101278404322702</v>
      </c>
      <c r="N1674" t="s">
        <v>28</v>
      </c>
      <c r="O1674" t="s">
        <v>29</v>
      </c>
      <c r="P1674">
        <f>VLOOKUP(O1674, Coordinates!$A$2:$C$6, 2, FALSE)</f>
        <v>29.760400000000001</v>
      </c>
      <c r="Q1674">
        <f>VLOOKUP(O1674, Coordinates!$A$2:$C$6, 3, FALSE)</f>
        <v>-95.369799999999998</v>
      </c>
      <c r="R1674">
        <v>10</v>
      </c>
      <c r="S1674">
        <v>370</v>
      </c>
      <c r="T1674">
        <v>24</v>
      </c>
      <c r="U1674">
        <v>81.819349479226204</v>
      </c>
      <c r="V1674" t="s">
        <v>30</v>
      </c>
      <c r="W1674">
        <v>2.2016728308192701</v>
      </c>
      <c r="X1674" t="s">
        <v>52</v>
      </c>
      <c r="Y1674" t="s">
        <v>32</v>
      </c>
      <c r="Z1674">
        <v>316.14849769238202</v>
      </c>
    </row>
    <row r="1675" spans="1:26" x14ac:dyDescent="0.3">
      <c r="A1675" t="s">
        <v>42</v>
      </c>
      <c r="B1675" t="s">
        <v>1731</v>
      </c>
      <c r="C1675">
        <v>48.8446781209176</v>
      </c>
      <c r="D1675">
        <v>16</v>
      </c>
      <c r="E1675">
        <v>886</v>
      </c>
      <c r="F1675">
        <v>2463.1036179713001</v>
      </c>
      <c r="G1675" t="s">
        <v>54</v>
      </c>
      <c r="H1675">
        <v>30</v>
      </c>
      <c r="I1675">
        <v>26</v>
      </c>
      <c r="J1675">
        <v>90</v>
      </c>
      <c r="K1675">
        <v>6</v>
      </c>
      <c r="L1675" t="s">
        <v>36</v>
      </c>
      <c r="M1675">
        <v>1.73477690751578</v>
      </c>
      <c r="N1675" t="s">
        <v>28</v>
      </c>
      <c r="O1675" t="s">
        <v>38</v>
      </c>
      <c r="P1675">
        <f>VLOOKUP(O1675, Coordinates!$A$2:$C$6, 2, FALSE)</f>
        <v>25.761700000000001</v>
      </c>
      <c r="Q1675">
        <f>VLOOKUP(O1675, Coordinates!$A$2:$C$6, 3, FALSE)</f>
        <v>-80.191800000000001</v>
      </c>
      <c r="R1675">
        <v>27</v>
      </c>
      <c r="S1675">
        <v>841</v>
      </c>
      <c r="T1675">
        <v>30</v>
      </c>
      <c r="U1675">
        <v>47.2459781617655</v>
      </c>
      <c r="V1675" t="s">
        <v>30</v>
      </c>
      <c r="W1675">
        <v>4.7260368136759503</v>
      </c>
      <c r="X1675" t="s">
        <v>31</v>
      </c>
      <c r="Y1675" t="s">
        <v>41</v>
      </c>
      <c r="Z1675">
        <v>153.986124249661</v>
      </c>
    </row>
    <row r="1676" spans="1:26" x14ac:dyDescent="0.3">
      <c r="A1676" t="s">
        <v>82</v>
      </c>
      <c r="B1676" t="s">
        <v>1732</v>
      </c>
      <c r="C1676">
        <v>98.414037399999998</v>
      </c>
      <c r="D1676">
        <v>4</v>
      </c>
      <c r="E1676">
        <v>568</v>
      </c>
      <c r="F1676">
        <v>9959.6480373129198</v>
      </c>
      <c r="G1676" t="s">
        <v>35</v>
      </c>
      <c r="H1676">
        <v>36</v>
      </c>
      <c r="I1676">
        <v>23</v>
      </c>
      <c r="J1676">
        <v>36</v>
      </c>
      <c r="K1676">
        <v>2</v>
      </c>
      <c r="L1676" t="s">
        <v>36</v>
      </c>
      <c r="M1676">
        <v>5.4959448372425399</v>
      </c>
      <c r="N1676" t="s">
        <v>45</v>
      </c>
      <c r="O1676" t="s">
        <v>38</v>
      </c>
      <c r="P1676">
        <f>VLOOKUP(O1676, Coordinates!$A$2:$C$6, 2, FALSE)</f>
        <v>25.761700000000001</v>
      </c>
      <c r="Q1676">
        <f>VLOOKUP(O1676, Coordinates!$A$2:$C$6, 3, FALSE)</f>
        <v>-80.191800000000001</v>
      </c>
      <c r="R1676">
        <v>30</v>
      </c>
      <c r="S1676">
        <v>411</v>
      </c>
      <c r="T1676">
        <v>26</v>
      </c>
      <c r="U1676">
        <v>62.755406633411603</v>
      </c>
      <c r="V1676" t="s">
        <v>55</v>
      </c>
      <c r="W1676">
        <v>4.6915247013420496</v>
      </c>
      <c r="X1676" t="s">
        <v>31</v>
      </c>
      <c r="Y1676" t="s">
        <v>60</v>
      </c>
      <c r="Z1676">
        <v>331.844684083206</v>
      </c>
    </row>
    <row r="1677" spans="1:26" x14ac:dyDescent="0.3">
      <c r="A1677" t="s">
        <v>61</v>
      </c>
      <c r="B1677" t="s">
        <v>1733</v>
      </c>
      <c r="C1677">
        <v>79.7372923671943</v>
      </c>
      <c r="D1677">
        <v>12</v>
      </c>
      <c r="E1677">
        <v>934</v>
      </c>
      <c r="F1677">
        <v>2069.6732062861302</v>
      </c>
      <c r="G1677" t="s">
        <v>35</v>
      </c>
      <c r="H1677">
        <v>15</v>
      </c>
      <c r="I1677">
        <v>18</v>
      </c>
      <c r="J1677">
        <v>12</v>
      </c>
      <c r="K1677">
        <v>4</v>
      </c>
      <c r="L1677" t="s">
        <v>27</v>
      </c>
      <c r="M1677">
        <v>14.9209344106355</v>
      </c>
      <c r="N1677" t="s">
        <v>28</v>
      </c>
      <c r="O1677" t="s">
        <v>58</v>
      </c>
      <c r="P1677">
        <f>VLOOKUP(O1677, Coordinates!$A$2:$C$6, 2, FALSE)</f>
        <v>34.052199999999999</v>
      </c>
      <c r="Q1677">
        <f>VLOOKUP(O1677, Coordinates!$A$2:$C$6, 3, FALSE)</f>
        <v>-118.2437</v>
      </c>
      <c r="R1677">
        <v>14</v>
      </c>
      <c r="S1677">
        <v>469</v>
      </c>
      <c r="T1677">
        <v>19</v>
      </c>
      <c r="U1677">
        <v>24.722146838558501</v>
      </c>
      <c r="V1677" t="s">
        <v>55</v>
      </c>
      <c r="W1677">
        <v>4.3249193190000002</v>
      </c>
      <c r="X1677" t="s">
        <v>40</v>
      </c>
      <c r="Y1677" t="s">
        <v>41</v>
      </c>
      <c r="Z1677">
        <v>303.987361687038</v>
      </c>
    </row>
    <row r="1678" spans="1:26" x14ac:dyDescent="0.3">
      <c r="A1678" t="s">
        <v>42</v>
      </c>
      <c r="B1678" t="s">
        <v>1734</v>
      </c>
      <c r="C1678">
        <v>78.497943665088201</v>
      </c>
      <c r="D1678">
        <v>29</v>
      </c>
      <c r="E1678">
        <v>437</v>
      </c>
      <c r="F1678">
        <v>1134.54973993815</v>
      </c>
      <c r="G1678" t="s">
        <v>48</v>
      </c>
      <c r="H1678">
        <v>45</v>
      </c>
      <c r="I1678">
        <v>1</v>
      </c>
      <c r="J1678">
        <v>69</v>
      </c>
      <c r="K1678">
        <v>6</v>
      </c>
      <c r="L1678" t="s">
        <v>27</v>
      </c>
      <c r="M1678">
        <v>5.8751551584615003</v>
      </c>
      <c r="N1678" t="s">
        <v>51</v>
      </c>
      <c r="O1678" t="s">
        <v>58</v>
      </c>
      <c r="P1678">
        <f>VLOOKUP(O1678, Coordinates!$A$2:$C$6, 2, FALSE)</f>
        <v>34.052199999999999</v>
      </c>
      <c r="Q1678">
        <f>VLOOKUP(O1678, Coordinates!$A$2:$C$6, 3, FALSE)</f>
        <v>-118.2437</v>
      </c>
      <c r="R1678">
        <v>28</v>
      </c>
      <c r="S1678">
        <v>666</v>
      </c>
      <c r="T1678">
        <v>20</v>
      </c>
      <c r="U1678">
        <v>16.274022712171799</v>
      </c>
      <c r="V1678" t="s">
        <v>39</v>
      </c>
      <c r="W1678">
        <v>2.03309154071811</v>
      </c>
      <c r="X1678" t="s">
        <v>46</v>
      </c>
      <c r="Y1678" t="s">
        <v>41</v>
      </c>
      <c r="Z1678">
        <v>183.550853426061</v>
      </c>
    </row>
    <row r="1679" spans="1:26" x14ac:dyDescent="0.3">
      <c r="A1679" t="s">
        <v>33</v>
      </c>
      <c r="B1679" t="s">
        <v>1735</v>
      </c>
      <c r="C1679">
        <v>76.044664569146804</v>
      </c>
      <c r="D1679">
        <v>7</v>
      </c>
      <c r="E1679">
        <v>416</v>
      </c>
      <c r="F1679">
        <v>9010.1701103388805</v>
      </c>
      <c r="G1679" t="s">
        <v>54</v>
      </c>
      <c r="H1679">
        <v>45</v>
      </c>
      <c r="I1679">
        <v>17</v>
      </c>
      <c r="J1679">
        <v>75</v>
      </c>
      <c r="K1679">
        <v>5</v>
      </c>
      <c r="L1679" t="s">
        <v>27</v>
      </c>
      <c r="M1679">
        <v>11.6508627867396</v>
      </c>
      <c r="N1679" t="s">
        <v>57</v>
      </c>
      <c r="O1679" t="s">
        <v>65</v>
      </c>
      <c r="P1679">
        <f>VLOOKUP(O1679, Coordinates!$A$2:$C$6, 2, FALSE)</f>
        <v>41.878100000000003</v>
      </c>
      <c r="Q1679">
        <f>VLOOKUP(O1679, Coordinates!$A$2:$C$6, 3, FALSE)</f>
        <v>-87.629800000000003</v>
      </c>
      <c r="R1679">
        <v>26</v>
      </c>
      <c r="S1679">
        <v>998</v>
      </c>
      <c r="T1679">
        <v>18</v>
      </c>
      <c r="U1679">
        <v>89.196043773840401</v>
      </c>
      <c r="V1679" t="s">
        <v>55</v>
      </c>
      <c r="W1679">
        <v>0.53490604368653605</v>
      </c>
      <c r="X1679" t="s">
        <v>52</v>
      </c>
      <c r="Y1679" t="s">
        <v>60</v>
      </c>
      <c r="Z1679">
        <v>499.94882226961698</v>
      </c>
    </row>
    <row r="1680" spans="1:26" x14ac:dyDescent="0.3">
      <c r="A1680" t="s">
        <v>72</v>
      </c>
      <c r="B1680" t="s">
        <v>1736</v>
      </c>
      <c r="C1680">
        <v>22.682962690421199</v>
      </c>
      <c r="D1680">
        <v>14</v>
      </c>
      <c r="E1680">
        <v>471</v>
      </c>
      <c r="F1680">
        <v>9615.3078844695501</v>
      </c>
      <c r="G1680" t="s">
        <v>54</v>
      </c>
      <c r="H1680">
        <v>77</v>
      </c>
      <c r="I1680">
        <v>16</v>
      </c>
      <c r="J1680">
        <v>58</v>
      </c>
      <c r="K1680">
        <v>6</v>
      </c>
      <c r="L1680" t="s">
        <v>36</v>
      </c>
      <c r="M1680">
        <v>2.8524382219994</v>
      </c>
      <c r="N1680" t="s">
        <v>37</v>
      </c>
      <c r="O1680" t="s">
        <v>29</v>
      </c>
      <c r="P1680">
        <f>VLOOKUP(O1680, Coordinates!$A$2:$C$6, 2, FALSE)</f>
        <v>29.760400000000001</v>
      </c>
      <c r="Q1680">
        <f>VLOOKUP(O1680, Coordinates!$A$2:$C$6, 3, FALSE)</f>
        <v>-95.369799999999998</v>
      </c>
      <c r="R1680">
        <v>12</v>
      </c>
      <c r="S1680">
        <v>652</v>
      </c>
      <c r="T1680">
        <v>25</v>
      </c>
      <c r="U1680">
        <v>93.157823919999998</v>
      </c>
      <c r="V1680" t="s">
        <v>39</v>
      </c>
      <c r="W1680">
        <v>4.9891971655881999</v>
      </c>
      <c r="X1680" t="s">
        <v>52</v>
      </c>
      <c r="Y1680" t="s">
        <v>41</v>
      </c>
      <c r="Z1680">
        <v>359.325211036962</v>
      </c>
    </row>
    <row r="1681" spans="1:26" x14ac:dyDescent="0.3">
      <c r="A1681" t="s">
        <v>61</v>
      </c>
      <c r="B1681" t="s">
        <v>1737</v>
      </c>
      <c r="C1681">
        <v>25.636934213036</v>
      </c>
      <c r="D1681">
        <v>12</v>
      </c>
      <c r="E1681">
        <v>603</v>
      </c>
      <c r="G1681" t="s">
        <v>54</v>
      </c>
      <c r="H1681">
        <v>87</v>
      </c>
      <c r="I1681">
        <v>23</v>
      </c>
      <c r="J1681">
        <v>43</v>
      </c>
      <c r="K1681">
        <v>6</v>
      </c>
      <c r="L1681" t="s">
        <v>36</v>
      </c>
      <c r="M1681">
        <v>7.3628751237163597</v>
      </c>
      <c r="N1681" t="s">
        <v>51</v>
      </c>
      <c r="O1681" t="s">
        <v>29</v>
      </c>
      <c r="P1681">
        <f>VLOOKUP(O1681, Coordinates!$A$2:$C$6, 2, FALSE)</f>
        <v>29.760400000000001</v>
      </c>
      <c r="Q1681">
        <f>VLOOKUP(O1681, Coordinates!$A$2:$C$6, 3, FALSE)</f>
        <v>-95.369799999999998</v>
      </c>
      <c r="R1681">
        <v>29</v>
      </c>
      <c r="S1681">
        <v>749</v>
      </c>
      <c r="T1681">
        <v>30</v>
      </c>
      <c r="U1681">
        <v>41.530350976131899</v>
      </c>
      <c r="V1681" t="s">
        <v>39</v>
      </c>
      <c r="W1681">
        <v>0.72671543627740698</v>
      </c>
      <c r="X1681" t="s">
        <v>31</v>
      </c>
      <c r="Y1681" t="s">
        <v>41</v>
      </c>
      <c r="Z1681">
        <v>932.58151081339895</v>
      </c>
    </row>
    <row r="1682" spans="1:26" x14ac:dyDescent="0.3">
      <c r="A1682" t="s">
        <v>72</v>
      </c>
      <c r="B1682" t="s">
        <v>1738</v>
      </c>
      <c r="C1682">
        <v>22.9757308995733</v>
      </c>
      <c r="D1682">
        <v>99</v>
      </c>
      <c r="E1682">
        <v>625</v>
      </c>
      <c r="F1682">
        <v>12923.84863101</v>
      </c>
      <c r="G1682" t="s">
        <v>26</v>
      </c>
      <c r="H1682">
        <v>88</v>
      </c>
      <c r="I1682">
        <v>5</v>
      </c>
      <c r="J1682">
        <v>46</v>
      </c>
      <c r="K1682">
        <v>8</v>
      </c>
      <c r="L1682" t="s">
        <v>36</v>
      </c>
      <c r="M1682">
        <v>3.5916216979084901</v>
      </c>
      <c r="N1682" t="s">
        <v>45</v>
      </c>
      <c r="O1682" t="s">
        <v>38</v>
      </c>
      <c r="P1682">
        <f>VLOOKUP(O1682, Coordinates!$A$2:$C$6, 2, FALSE)</f>
        <v>25.761700000000001</v>
      </c>
      <c r="Q1682">
        <f>VLOOKUP(O1682, Coordinates!$A$2:$C$6, 3, FALSE)</f>
        <v>-80.191800000000001</v>
      </c>
      <c r="R1682">
        <v>25</v>
      </c>
      <c r="S1682">
        <v>490</v>
      </c>
      <c r="T1682">
        <v>15</v>
      </c>
      <c r="U1682">
        <v>77.633943197018098</v>
      </c>
      <c r="V1682" t="s">
        <v>39</v>
      </c>
      <c r="W1682">
        <v>3.78090846829928</v>
      </c>
      <c r="X1682" t="s">
        <v>31</v>
      </c>
      <c r="Y1682" t="s">
        <v>41</v>
      </c>
      <c r="Z1682">
        <v>463.51877383517399</v>
      </c>
    </row>
    <row r="1683" spans="1:26" x14ac:dyDescent="0.3">
      <c r="A1683" t="s">
        <v>61</v>
      </c>
      <c r="B1683" t="s">
        <v>1739</v>
      </c>
      <c r="D1683">
        <v>5</v>
      </c>
      <c r="E1683">
        <v>996</v>
      </c>
      <c r="F1683">
        <v>8730.8775192890498</v>
      </c>
      <c r="G1683" t="s">
        <v>35</v>
      </c>
      <c r="H1683">
        <v>60</v>
      </c>
      <c r="I1683">
        <v>20</v>
      </c>
      <c r="J1683">
        <v>51</v>
      </c>
      <c r="K1683">
        <v>9</v>
      </c>
      <c r="L1683" t="s">
        <v>27</v>
      </c>
      <c r="M1683">
        <v>3.6893603813048501</v>
      </c>
      <c r="N1683" t="s">
        <v>37</v>
      </c>
      <c r="O1683" t="s">
        <v>65</v>
      </c>
      <c r="P1683">
        <f>VLOOKUP(O1683, Coordinates!$A$2:$C$6, 2, FALSE)</f>
        <v>41.878100000000003</v>
      </c>
      <c r="Q1683">
        <f>VLOOKUP(O1683, Coordinates!$A$2:$C$6, 3, FALSE)</f>
        <v>-87.629800000000003</v>
      </c>
      <c r="R1683">
        <v>12</v>
      </c>
      <c r="S1683">
        <v>214</v>
      </c>
      <c r="T1683">
        <v>21</v>
      </c>
      <c r="U1683">
        <v>73.699421401786907</v>
      </c>
      <c r="V1683" t="s">
        <v>30</v>
      </c>
      <c r="W1683">
        <v>1.32309594299196</v>
      </c>
      <c r="X1683" t="s">
        <v>40</v>
      </c>
      <c r="Y1683" t="s">
        <v>41</v>
      </c>
      <c r="Z1683">
        <v>888.95494993478701</v>
      </c>
    </row>
    <row r="1684" spans="1:26" x14ac:dyDescent="0.3">
      <c r="A1684" t="s">
        <v>33</v>
      </c>
      <c r="B1684" t="s">
        <v>1740</v>
      </c>
      <c r="C1684">
        <v>44.447892371733801</v>
      </c>
      <c r="D1684">
        <v>81</v>
      </c>
      <c r="E1684">
        <v>913</v>
      </c>
      <c r="F1684">
        <v>9924.3481210000009</v>
      </c>
      <c r="G1684" t="s">
        <v>54</v>
      </c>
      <c r="H1684">
        <v>45</v>
      </c>
      <c r="I1684">
        <v>21</v>
      </c>
      <c r="J1684">
        <v>74</v>
      </c>
      <c r="K1684">
        <v>5</v>
      </c>
      <c r="L1684" t="s">
        <v>36</v>
      </c>
      <c r="M1684">
        <v>2.39566051203653</v>
      </c>
      <c r="N1684" t="s">
        <v>37</v>
      </c>
      <c r="O1684" t="s">
        <v>65</v>
      </c>
      <c r="P1684">
        <f>VLOOKUP(O1684, Coordinates!$A$2:$C$6, 2, FALSE)</f>
        <v>41.878100000000003</v>
      </c>
      <c r="Q1684">
        <f>VLOOKUP(O1684, Coordinates!$A$2:$C$6, 3, FALSE)</f>
        <v>-87.629800000000003</v>
      </c>
      <c r="R1684">
        <v>17</v>
      </c>
      <c r="S1684">
        <v>674</v>
      </c>
      <c r="T1684">
        <v>21</v>
      </c>
      <c r="U1684">
        <v>78.063643988885104</v>
      </c>
      <c r="V1684" t="s">
        <v>55</v>
      </c>
      <c r="W1684">
        <v>2.5537143082495399</v>
      </c>
      <c r="X1684" t="s">
        <v>46</v>
      </c>
      <c r="Y1684" t="s">
        <v>32</v>
      </c>
      <c r="Z1684">
        <v>376.05885433665202</v>
      </c>
    </row>
    <row r="1685" spans="1:26" x14ac:dyDescent="0.3">
      <c r="A1685" t="s">
        <v>72</v>
      </c>
      <c r="B1685" t="s">
        <v>1741</v>
      </c>
      <c r="C1685">
        <v>24.732525828935199</v>
      </c>
      <c r="D1685">
        <v>32</v>
      </c>
      <c r="E1685">
        <v>741</v>
      </c>
      <c r="F1685">
        <v>16494.121480000002</v>
      </c>
      <c r="G1685" t="s">
        <v>35</v>
      </c>
      <c r="H1685">
        <v>50</v>
      </c>
      <c r="I1685">
        <v>10</v>
      </c>
      <c r="J1685">
        <v>69</v>
      </c>
      <c r="K1685">
        <v>6</v>
      </c>
      <c r="L1685" t="s">
        <v>27</v>
      </c>
      <c r="M1685">
        <v>7.0486181423910397</v>
      </c>
      <c r="N1685" t="s">
        <v>28</v>
      </c>
      <c r="O1685" t="s">
        <v>38</v>
      </c>
      <c r="P1685">
        <f>VLOOKUP(O1685, Coordinates!$A$2:$C$6, 2, FALSE)</f>
        <v>25.761700000000001</v>
      </c>
      <c r="Q1685">
        <f>VLOOKUP(O1685, Coordinates!$A$2:$C$6, 3, FALSE)</f>
        <v>-80.191800000000001</v>
      </c>
      <c r="R1685">
        <v>19</v>
      </c>
      <c r="S1685">
        <v>443</v>
      </c>
      <c r="T1685">
        <v>4</v>
      </c>
      <c r="U1685">
        <v>88.372584328397394</v>
      </c>
      <c r="V1685" t="s">
        <v>55</v>
      </c>
      <c r="W1685">
        <v>1.5246659705132399</v>
      </c>
      <c r="X1685" t="s">
        <v>52</v>
      </c>
      <c r="Y1685" t="s">
        <v>32</v>
      </c>
      <c r="Z1685">
        <v>848.34153289999995</v>
      </c>
    </row>
    <row r="1686" spans="1:26" x14ac:dyDescent="0.3">
      <c r="A1686" t="s">
        <v>49</v>
      </c>
      <c r="B1686" t="s">
        <v>1742</v>
      </c>
      <c r="C1686">
        <v>83.311054728530493</v>
      </c>
      <c r="D1686">
        <v>74</v>
      </c>
      <c r="E1686">
        <v>998</v>
      </c>
      <c r="F1686">
        <v>7392.1900773453299</v>
      </c>
      <c r="G1686" t="s">
        <v>48</v>
      </c>
      <c r="H1686">
        <v>61</v>
      </c>
      <c r="I1686">
        <v>26</v>
      </c>
      <c r="J1686">
        <v>99</v>
      </c>
      <c r="K1686">
        <v>6</v>
      </c>
      <c r="L1686" t="s">
        <v>36</v>
      </c>
      <c r="M1686">
        <v>2.0574888904813702</v>
      </c>
      <c r="N1686" t="s">
        <v>37</v>
      </c>
      <c r="O1686" t="s">
        <v>38</v>
      </c>
      <c r="P1686">
        <f>VLOOKUP(O1686, Coordinates!$A$2:$C$6, 2, FALSE)</f>
        <v>25.761700000000001</v>
      </c>
      <c r="Q1686">
        <f>VLOOKUP(O1686, Coordinates!$A$2:$C$6, 3, FALSE)</f>
        <v>-80.191800000000001</v>
      </c>
      <c r="R1686">
        <v>28</v>
      </c>
      <c r="S1686">
        <v>509</v>
      </c>
      <c r="T1686">
        <v>13</v>
      </c>
      <c r="U1686">
        <v>19.5213020312382</v>
      </c>
      <c r="V1686" t="s">
        <v>30</v>
      </c>
      <c r="W1686">
        <v>4.48443320310479</v>
      </c>
      <c r="X1686" t="s">
        <v>31</v>
      </c>
      <c r="Y1686" t="s">
        <v>32</v>
      </c>
      <c r="Z1686">
        <v>509.06309820000001</v>
      </c>
    </row>
    <row r="1687" spans="1:26" x14ac:dyDescent="0.3">
      <c r="A1687" t="s">
        <v>82</v>
      </c>
      <c r="B1687" t="s">
        <v>1743</v>
      </c>
      <c r="C1687">
        <v>64.853788460000004</v>
      </c>
      <c r="D1687">
        <v>43</v>
      </c>
      <c r="E1687">
        <v>997</v>
      </c>
      <c r="F1687">
        <v>2038.59872452745</v>
      </c>
      <c r="G1687" t="s">
        <v>48</v>
      </c>
      <c r="H1687">
        <v>34</v>
      </c>
      <c r="I1687">
        <v>6</v>
      </c>
      <c r="J1687">
        <v>10</v>
      </c>
      <c r="K1687">
        <v>6</v>
      </c>
      <c r="L1687" t="s">
        <v>27</v>
      </c>
      <c r="M1687">
        <v>13.737358988979199</v>
      </c>
      <c r="N1687" t="s">
        <v>37</v>
      </c>
      <c r="O1687" t="s">
        <v>58</v>
      </c>
      <c r="P1687">
        <f>VLOOKUP(O1687, Coordinates!$A$2:$C$6, 2, FALSE)</f>
        <v>34.052199999999999</v>
      </c>
      <c r="Q1687">
        <f>VLOOKUP(O1687, Coordinates!$A$2:$C$6, 3, FALSE)</f>
        <v>-118.2437</v>
      </c>
      <c r="R1687">
        <v>23</v>
      </c>
      <c r="S1687">
        <v>645</v>
      </c>
      <c r="T1687">
        <v>5</v>
      </c>
      <c r="U1687">
        <v>96.219623900000002</v>
      </c>
      <c r="V1687" t="s">
        <v>55</v>
      </c>
      <c r="W1687">
        <v>4.8417079785442896</v>
      </c>
      <c r="X1687" t="s">
        <v>46</v>
      </c>
      <c r="Y1687" t="s">
        <v>41</v>
      </c>
      <c r="Z1687">
        <v>129.122378914211</v>
      </c>
    </row>
    <row r="1688" spans="1:26" x14ac:dyDescent="0.3">
      <c r="A1688" t="s">
        <v>49</v>
      </c>
      <c r="B1688" t="s">
        <v>1744</v>
      </c>
      <c r="C1688">
        <v>86.521437453854801</v>
      </c>
      <c r="D1688">
        <v>81</v>
      </c>
      <c r="E1688">
        <v>252</v>
      </c>
      <c r="F1688">
        <v>4661.2836222116402</v>
      </c>
      <c r="G1688" t="s">
        <v>26</v>
      </c>
      <c r="H1688">
        <v>80</v>
      </c>
      <c r="I1688">
        <v>12</v>
      </c>
      <c r="J1688">
        <v>68</v>
      </c>
      <c r="K1688">
        <v>2</v>
      </c>
      <c r="L1688" t="s">
        <v>44</v>
      </c>
      <c r="M1688">
        <v>7.2706045020073597</v>
      </c>
      <c r="N1688" t="s">
        <v>57</v>
      </c>
      <c r="O1688" t="s">
        <v>65</v>
      </c>
      <c r="P1688">
        <f>VLOOKUP(O1688, Coordinates!$A$2:$C$6, 2, FALSE)</f>
        <v>41.878100000000003</v>
      </c>
      <c r="Q1688">
        <f>VLOOKUP(O1688, Coordinates!$A$2:$C$6, 3, FALSE)</f>
        <v>-87.629800000000003</v>
      </c>
      <c r="R1688">
        <v>14</v>
      </c>
      <c r="S1688">
        <v>477</v>
      </c>
      <c r="T1688">
        <v>12</v>
      </c>
      <c r="U1688">
        <v>91.822265841513399</v>
      </c>
      <c r="V1688" t="s">
        <v>39</v>
      </c>
      <c r="W1688">
        <v>2.0503214131894101</v>
      </c>
      <c r="X1688" t="s">
        <v>40</v>
      </c>
      <c r="Y1688" t="s">
        <v>32</v>
      </c>
      <c r="Z1688">
        <v>538.25808712567004</v>
      </c>
    </row>
    <row r="1689" spans="1:26" x14ac:dyDescent="0.3">
      <c r="A1689" t="s">
        <v>42</v>
      </c>
      <c r="B1689" t="s">
        <v>1745</v>
      </c>
      <c r="C1689">
        <v>79.458376956638602</v>
      </c>
      <c r="D1689">
        <v>69</v>
      </c>
      <c r="E1689">
        <v>585</v>
      </c>
      <c r="F1689">
        <v>8631.74523981331</v>
      </c>
      <c r="G1689" t="s">
        <v>26</v>
      </c>
      <c r="H1689">
        <v>41</v>
      </c>
      <c r="I1689">
        <v>10</v>
      </c>
      <c r="J1689">
        <v>13</v>
      </c>
      <c r="K1689">
        <v>4</v>
      </c>
      <c r="L1689" t="s">
        <v>36</v>
      </c>
      <c r="M1689">
        <v>12.7399259801303</v>
      </c>
      <c r="N1689" t="s">
        <v>45</v>
      </c>
      <c r="O1689" t="s">
        <v>38</v>
      </c>
      <c r="P1689">
        <f>VLOOKUP(O1689, Coordinates!$A$2:$C$6, 2, FALSE)</f>
        <v>25.761700000000001</v>
      </c>
      <c r="Q1689">
        <f>VLOOKUP(O1689, Coordinates!$A$2:$C$6, 3, FALSE)</f>
        <v>-80.191800000000001</v>
      </c>
      <c r="R1689">
        <v>25</v>
      </c>
      <c r="S1689">
        <v>863</v>
      </c>
      <c r="T1689">
        <v>30</v>
      </c>
      <c r="U1689">
        <v>31.259811410000001</v>
      </c>
      <c r="V1689" t="s">
        <v>39</v>
      </c>
      <c r="W1689">
        <v>4.2740502800951701</v>
      </c>
      <c r="X1689" t="s">
        <v>46</v>
      </c>
      <c r="Y1689" t="s">
        <v>60</v>
      </c>
      <c r="Z1689">
        <v>304.091369457486</v>
      </c>
    </row>
    <row r="1690" spans="1:26" x14ac:dyDescent="0.3">
      <c r="A1690" t="s">
        <v>33</v>
      </c>
      <c r="B1690" t="s">
        <v>1746</v>
      </c>
      <c r="C1690">
        <v>45.753568520000002</v>
      </c>
      <c r="D1690">
        <v>45</v>
      </c>
      <c r="E1690">
        <v>124</v>
      </c>
      <c r="F1690">
        <v>4308.9224145319704</v>
      </c>
      <c r="G1690" t="s">
        <v>48</v>
      </c>
      <c r="H1690">
        <v>44</v>
      </c>
      <c r="I1690">
        <v>22</v>
      </c>
      <c r="J1690">
        <v>23</v>
      </c>
      <c r="K1690">
        <v>1</v>
      </c>
      <c r="L1690" t="s">
        <v>36</v>
      </c>
      <c r="M1690">
        <v>14.712502295877099</v>
      </c>
      <c r="N1690" t="s">
        <v>51</v>
      </c>
      <c r="O1690" t="s">
        <v>38</v>
      </c>
      <c r="P1690">
        <f>VLOOKUP(O1690, Coordinates!$A$2:$C$6, 2, FALSE)</f>
        <v>25.761700000000001</v>
      </c>
      <c r="Q1690">
        <f>VLOOKUP(O1690, Coordinates!$A$2:$C$6, 3, FALSE)</f>
        <v>-80.191800000000001</v>
      </c>
      <c r="R1690">
        <v>17</v>
      </c>
      <c r="S1690">
        <v>555</v>
      </c>
      <c r="T1690">
        <v>17</v>
      </c>
      <c r="U1690">
        <v>82.359477202945698</v>
      </c>
      <c r="V1690" t="s">
        <v>30</v>
      </c>
      <c r="W1690">
        <v>3.3166804967274</v>
      </c>
      <c r="X1690" t="s">
        <v>52</v>
      </c>
      <c r="Y1690" t="s">
        <v>41</v>
      </c>
      <c r="Z1690">
        <v>376.69795055004101</v>
      </c>
    </row>
    <row r="1691" spans="1:26" x14ac:dyDescent="0.3">
      <c r="A1691" t="s">
        <v>49</v>
      </c>
      <c r="B1691" t="s">
        <v>1747</v>
      </c>
      <c r="C1691">
        <v>24.101189444744701</v>
      </c>
      <c r="D1691">
        <v>9</v>
      </c>
      <c r="E1691">
        <v>71</v>
      </c>
      <c r="F1691">
        <v>6319.8584248205198</v>
      </c>
      <c r="G1691" t="s">
        <v>54</v>
      </c>
      <c r="H1691">
        <v>67</v>
      </c>
      <c r="I1691">
        <v>17</v>
      </c>
      <c r="J1691">
        <v>27</v>
      </c>
      <c r="K1691">
        <v>1</v>
      </c>
      <c r="L1691" t="s">
        <v>27</v>
      </c>
      <c r="M1691">
        <v>10.4889085034833</v>
      </c>
      <c r="N1691" t="s">
        <v>28</v>
      </c>
      <c r="O1691" t="s">
        <v>38</v>
      </c>
      <c r="P1691">
        <f>VLOOKUP(O1691, Coordinates!$A$2:$C$6, 2, FALSE)</f>
        <v>25.761700000000001</v>
      </c>
      <c r="Q1691">
        <f>VLOOKUP(O1691, Coordinates!$A$2:$C$6, 3, FALSE)</f>
        <v>-80.191800000000001</v>
      </c>
      <c r="R1691">
        <v>15</v>
      </c>
      <c r="S1691">
        <v>522</v>
      </c>
      <c r="T1691">
        <v>10</v>
      </c>
      <c r="U1691">
        <v>46.845678829999997</v>
      </c>
      <c r="V1691" t="s">
        <v>39</v>
      </c>
      <c r="W1691">
        <v>1.88312782024234</v>
      </c>
      <c r="X1691" t="s">
        <v>31</v>
      </c>
      <c r="Y1691" t="s">
        <v>32</v>
      </c>
      <c r="Z1691">
        <v>715.92166210000005</v>
      </c>
    </row>
    <row r="1692" spans="1:26" x14ac:dyDescent="0.3">
      <c r="A1692" t="s">
        <v>61</v>
      </c>
      <c r="B1692" t="s">
        <v>1748</v>
      </c>
      <c r="C1692">
        <v>53.849098800887198</v>
      </c>
      <c r="D1692">
        <v>49</v>
      </c>
      <c r="E1692">
        <v>577</v>
      </c>
      <c r="F1692">
        <v>5533.9609935217004</v>
      </c>
      <c r="G1692" t="s">
        <v>48</v>
      </c>
      <c r="H1692">
        <v>74</v>
      </c>
      <c r="I1692">
        <v>2</v>
      </c>
      <c r="J1692">
        <v>43</v>
      </c>
      <c r="K1692">
        <v>1</v>
      </c>
      <c r="L1692" t="s">
        <v>36</v>
      </c>
      <c r="M1692">
        <v>13.621150599878399</v>
      </c>
      <c r="N1692" t="s">
        <v>57</v>
      </c>
      <c r="O1692" t="s">
        <v>58</v>
      </c>
      <c r="P1692">
        <f>VLOOKUP(O1692, Coordinates!$A$2:$C$6, 2, FALSE)</f>
        <v>34.052199999999999</v>
      </c>
      <c r="Q1692">
        <f>VLOOKUP(O1692, Coordinates!$A$2:$C$6, 3, FALSE)</f>
        <v>-118.2437</v>
      </c>
      <c r="R1692">
        <v>21</v>
      </c>
      <c r="S1692">
        <v>543</v>
      </c>
      <c r="T1692">
        <v>30</v>
      </c>
      <c r="U1692">
        <v>71.539027107803406</v>
      </c>
      <c r="V1692" t="s">
        <v>30</v>
      </c>
      <c r="W1692">
        <v>4.9298432797821299</v>
      </c>
      <c r="X1692" t="s">
        <v>52</v>
      </c>
      <c r="Y1692" t="s">
        <v>32</v>
      </c>
      <c r="Z1692">
        <v>576.55419087635596</v>
      </c>
    </row>
    <row r="1693" spans="1:26" x14ac:dyDescent="0.3">
      <c r="A1693" t="s">
        <v>42</v>
      </c>
      <c r="B1693" t="s">
        <v>1749</v>
      </c>
      <c r="C1693">
        <v>74.941743840212197</v>
      </c>
      <c r="D1693">
        <v>33</v>
      </c>
      <c r="E1693">
        <v>960</v>
      </c>
      <c r="F1693">
        <v>6813.5637800083996</v>
      </c>
      <c r="G1693" t="s">
        <v>35</v>
      </c>
      <c r="H1693">
        <v>46</v>
      </c>
      <c r="I1693">
        <v>19</v>
      </c>
      <c r="J1693">
        <v>10</v>
      </c>
      <c r="K1693">
        <v>7</v>
      </c>
      <c r="L1693" t="s">
        <v>27</v>
      </c>
      <c r="M1693">
        <v>2.89514528704203</v>
      </c>
      <c r="N1693" t="s">
        <v>51</v>
      </c>
      <c r="O1693" t="s">
        <v>65</v>
      </c>
      <c r="P1693">
        <f>VLOOKUP(O1693, Coordinates!$A$2:$C$6, 2, FALSE)</f>
        <v>41.878100000000003</v>
      </c>
      <c r="Q1693">
        <f>VLOOKUP(O1693, Coordinates!$A$2:$C$6, 3, FALSE)</f>
        <v>-87.629800000000003</v>
      </c>
      <c r="R1693">
        <v>6</v>
      </c>
      <c r="S1693">
        <v>296</v>
      </c>
      <c r="T1693">
        <v>26</v>
      </c>
      <c r="U1693">
        <v>24.904269983191</v>
      </c>
      <c r="V1693" t="s">
        <v>39</v>
      </c>
      <c r="W1693">
        <v>0.44687388942460199</v>
      </c>
      <c r="X1693" t="s">
        <v>46</v>
      </c>
      <c r="Y1693" t="s">
        <v>41</v>
      </c>
      <c r="Z1693">
        <v>899.75124951707403</v>
      </c>
    </row>
    <row r="1694" spans="1:26" x14ac:dyDescent="0.3">
      <c r="A1694" t="s">
        <v>42</v>
      </c>
      <c r="B1694" t="s">
        <v>1750</v>
      </c>
      <c r="C1694">
        <v>46.459861879311298</v>
      </c>
      <c r="D1694">
        <v>100</v>
      </c>
      <c r="E1694">
        <v>331</v>
      </c>
      <c r="F1694">
        <v>9756.0495044892505</v>
      </c>
      <c r="G1694" t="s">
        <v>26</v>
      </c>
      <c r="H1694">
        <v>78</v>
      </c>
      <c r="I1694">
        <v>20</v>
      </c>
      <c r="J1694">
        <v>62</v>
      </c>
      <c r="K1694">
        <v>1</v>
      </c>
      <c r="L1694" t="s">
        <v>27</v>
      </c>
      <c r="M1694">
        <v>12.619911042074101</v>
      </c>
      <c r="N1694" t="s">
        <v>51</v>
      </c>
      <c r="O1694" t="s">
        <v>58</v>
      </c>
      <c r="P1694">
        <f>VLOOKUP(O1694, Coordinates!$A$2:$C$6, 2, FALSE)</f>
        <v>34.052199999999999</v>
      </c>
      <c r="Q1694">
        <f>VLOOKUP(O1694, Coordinates!$A$2:$C$6, 3, FALSE)</f>
        <v>-118.2437</v>
      </c>
      <c r="R1694">
        <v>30</v>
      </c>
      <c r="S1694">
        <v>967</v>
      </c>
      <c r="T1694">
        <v>12</v>
      </c>
      <c r="U1694">
        <v>58.469882559077803</v>
      </c>
      <c r="V1694" t="s">
        <v>30</v>
      </c>
      <c r="W1694">
        <v>0.59563220347581303</v>
      </c>
      <c r="X1694" t="s">
        <v>31</v>
      </c>
      <c r="Y1694" t="s">
        <v>41</v>
      </c>
      <c r="Z1694">
        <v>942.359191296468</v>
      </c>
    </row>
    <row r="1695" spans="1:26" x14ac:dyDescent="0.3">
      <c r="A1695" t="s">
        <v>49</v>
      </c>
      <c r="B1695" t="s">
        <v>1751</v>
      </c>
      <c r="C1695">
        <v>68.343331429470197</v>
      </c>
      <c r="D1695">
        <v>100</v>
      </c>
      <c r="E1695">
        <v>924</v>
      </c>
      <c r="F1695">
        <v>1501.61973851261</v>
      </c>
      <c r="G1695" t="s">
        <v>26</v>
      </c>
      <c r="H1695">
        <v>29</v>
      </c>
      <c r="I1695">
        <v>6</v>
      </c>
      <c r="J1695">
        <v>31</v>
      </c>
      <c r="K1695">
        <v>6</v>
      </c>
      <c r="L1695" t="s">
        <v>44</v>
      </c>
      <c r="M1695">
        <v>4.79704266493966</v>
      </c>
      <c r="N1695" t="s">
        <v>57</v>
      </c>
      <c r="O1695" t="s">
        <v>38</v>
      </c>
      <c r="P1695">
        <f>VLOOKUP(O1695, Coordinates!$A$2:$C$6, 2, FALSE)</f>
        <v>25.761700000000001</v>
      </c>
      <c r="Q1695">
        <f>VLOOKUP(O1695, Coordinates!$A$2:$C$6, 3, FALSE)</f>
        <v>-80.191800000000001</v>
      </c>
      <c r="R1695">
        <v>19</v>
      </c>
      <c r="S1695">
        <v>462</v>
      </c>
      <c r="T1695">
        <v>6</v>
      </c>
      <c r="U1695">
        <v>21.395466960391499</v>
      </c>
      <c r="V1695" t="s">
        <v>30</v>
      </c>
      <c r="W1695">
        <v>3.49711557093273</v>
      </c>
      <c r="X1695" t="s">
        <v>40</v>
      </c>
      <c r="Y1695" t="s">
        <v>41</v>
      </c>
      <c r="Z1695">
        <v>721.86164208124899</v>
      </c>
    </row>
    <row r="1696" spans="1:26" x14ac:dyDescent="0.3">
      <c r="A1696" t="s">
        <v>49</v>
      </c>
      <c r="B1696" t="s">
        <v>1752</v>
      </c>
      <c r="C1696">
        <v>13.9611054976491</v>
      </c>
      <c r="D1696">
        <v>18</v>
      </c>
      <c r="E1696">
        <v>707</v>
      </c>
      <c r="F1696">
        <v>6165.6536575146602</v>
      </c>
      <c r="G1696" t="s">
        <v>48</v>
      </c>
      <c r="H1696">
        <v>23</v>
      </c>
      <c r="I1696">
        <v>28</v>
      </c>
      <c r="J1696">
        <v>89</v>
      </c>
      <c r="K1696">
        <v>2</v>
      </c>
      <c r="L1696" t="s">
        <v>44</v>
      </c>
      <c r="M1696">
        <v>7.6163725437902503</v>
      </c>
      <c r="N1696" t="s">
        <v>28</v>
      </c>
      <c r="O1696" t="s">
        <v>29</v>
      </c>
      <c r="P1696">
        <f>VLOOKUP(O1696, Coordinates!$A$2:$C$6, 2, FALSE)</f>
        <v>29.760400000000001</v>
      </c>
      <c r="Q1696">
        <f>VLOOKUP(O1696, Coordinates!$A$2:$C$6, 3, FALSE)</f>
        <v>-95.369799999999998</v>
      </c>
      <c r="R1696">
        <v>29</v>
      </c>
      <c r="S1696">
        <v>509</v>
      </c>
      <c r="T1696">
        <v>27</v>
      </c>
      <c r="U1696">
        <v>58.255044882230401</v>
      </c>
      <c r="V1696" t="s">
        <v>39</v>
      </c>
      <c r="W1696">
        <v>3.7932480117687901</v>
      </c>
      <c r="X1696" t="s">
        <v>40</v>
      </c>
      <c r="Y1696" t="s">
        <v>60</v>
      </c>
      <c r="Z1696">
        <v>877.18187203726495</v>
      </c>
    </row>
    <row r="1697" spans="1:26" x14ac:dyDescent="0.3">
      <c r="A1697" t="s">
        <v>33</v>
      </c>
      <c r="B1697" t="s">
        <v>1753</v>
      </c>
      <c r="C1697">
        <v>76.060449955283303</v>
      </c>
      <c r="D1697">
        <v>9</v>
      </c>
      <c r="E1697">
        <v>474</v>
      </c>
      <c r="F1697">
        <v>8767.2590132525602</v>
      </c>
      <c r="G1697" t="s">
        <v>54</v>
      </c>
      <c r="H1697">
        <v>65</v>
      </c>
      <c r="I1697">
        <v>28</v>
      </c>
      <c r="J1697">
        <v>70</v>
      </c>
      <c r="K1697">
        <v>6</v>
      </c>
      <c r="L1697" t="s">
        <v>36</v>
      </c>
      <c r="M1697">
        <v>10.0521570873206</v>
      </c>
      <c r="N1697" t="s">
        <v>45</v>
      </c>
      <c r="O1697" t="s">
        <v>38</v>
      </c>
      <c r="P1697">
        <f>VLOOKUP(O1697, Coordinates!$A$2:$C$6, 2, FALSE)</f>
        <v>25.761700000000001</v>
      </c>
      <c r="Q1697">
        <f>VLOOKUP(O1697, Coordinates!$A$2:$C$6, 3, FALSE)</f>
        <v>-80.191800000000001</v>
      </c>
      <c r="R1697">
        <v>30</v>
      </c>
      <c r="S1697">
        <v>863</v>
      </c>
      <c r="T1697">
        <v>20</v>
      </c>
      <c r="U1697">
        <v>31.923456045149099</v>
      </c>
      <c r="V1697" t="s">
        <v>39</v>
      </c>
      <c r="W1697">
        <v>4.5690376827471102</v>
      </c>
      <c r="X1697" t="s">
        <v>31</v>
      </c>
      <c r="Y1697" t="s">
        <v>32</v>
      </c>
      <c r="Z1697">
        <v>275.56695282233301</v>
      </c>
    </row>
    <row r="1698" spans="1:26" x14ac:dyDescent="0.3">
      <c r="A1698" t="s">
        <v>82</v>
      </c>
      <c r="B1698" t="s">
        <v>1754</v>
      </c>
      <c r="C1698">
        <v>82.207793889840801</v>
      </c>
      <c r="D1698">
        <v>62</v>
      </c>
      <c r="E1698">
        <v>497</v>
      </c>
      <c r="F1698">
        <v>5332.4444057358396</v>
      </c>
      <c r="G1698" t="s">
        <v>54</v>
      </c>
      <c r="H1698">
        <v>42</v>
      </c>
      <c r="I1698">
        <v>27</v>
      </c>
      <c r="J1698">
        <v>31</v>
      </c>
      <c r="K1698">
        <v>6</v>
      </c>
      <c r="L1698" t="s">
        <v>36</v>
      </c>
      <c r="M1698">
        <v>13.6496102954929</v>
      </c>
      <c r="N1698" t="s">
        <v>57</v>
      </c>
      <c r="O1698" t="s">
        <v>65</v>
      </c>
      <c r="P1698">
        <f>VLOOKUP(O1698, Coordinates!$A$2:$C$6, 2, FALSE)</f>
        <v>41.878100000000003</v>
      </c>
      <c r="Q1698">
        <f>VLOOKUP(O1698, Coordinates!$A$2:$C$6, 3, FALSE)</f>
        <v>-87.629800000000003</v>
      </c>
      <c r="R1698">
        <v>20</v>
      </c>
      <c r="S1698">
        <v>673</v>
      </c>
      <c r="T1698">
        <v>28</v>
      </c>
      <c r="U1698">
        <v>50.721987589193297</v>
      </c>
      <c r="V1698" t="s">
        <v>55</v>
      </c>
      <c r="W1698">
        <v>1.38632301220068</v>
      </c>
      <c r="X1698" t="s">
        <v>40</v>
      </c>
      <c r="Y1698" t="s">
        <v>60</v>
      </c>
      <c r="Z1698">
        <v>171.34703017250001</v>
      </c>
    </row>
    <row r="1699" spans="1:26" x14ac:dyDescent="0.3">
      <c r="A1699" t="s">
        <v>49</v>
      </c>
      <c r="B1699" t="s">
        <v>1755</v>
      </c>
      <c r="C1699">
        <v>72.149596299151398</v>
      </c>
      <c r="D1699">
        <v>57</v>
      </c>
      <c r="E1699">
        <v>705</v>
      </c>
      <c r="F1699">
        <v>1706.74467347415</v>
      </c>
      <c r="G1699" t="s">
        <v>35</v>
      </c>
      <c r="H1699">
        <v>33</v>
      </c>
      <c r="I1699">
        <v>13</v>
      </c>
      <c r="J1699">
        <v>59</v>
      </c>
      <c r="K1699">
        <v>3</v>
      </c>
      <c r="L1699" t="s">
        <v>27</v>
      </c>
      <c r="M1699">
        <v>13.7539132130163</v>
      </c>
      <c r="N1699" t="s">
        <v>57</v>
      </c>
      <c r="O1699" t="s">
        <v>58</v>
      </c>
      <c r="P1699">
        <f>VLOOKUP(O1699, Coordinates!$A$2:$C$6, 2, FALSE)</f>
        <v>34.052199999999999</v>
      </c>
      <c r="Q1699">
        <f>VLOOKUP(O1699, Coordinates!$A$2:$C$6, 3, FALSE)</f>
        <v>-118.2437</v>
      </c>
      <c r="R1699">
        <v>6</v>
      </c>
      <c r="S1699">
        <v>493</v>
      </c>
      <c r="T1699">
        <v>20</v>
      </c>
      <c r="U1699">
        <v>70.1172430456987</v>
      </c>
      <c r="V1699" t="s">
        <v>55</v>
      </c>
      <c r="W1699">
        <v>1.5490502456522599</v>
      </c>
      <c r="X1699" t="s">
        <v>40</v>
      </c>
      <c r="Y1699" t="s">
        <v>32</v>
      </c>
      <c r="Z1699">
        <v>399.672197551875</v>
      </c>
    </row>
    <row r="1700" spans="1:26" x14ac:dyDescent="0.3">
      <c r="A1700" t="s">
        <v>24</v>
      </c>
      <c r="B1700" t="s">
        <v>1756</v>
      </c>
      <c r="C1700">
        <v>33.252420488577201</v>
      </c>
      <c r="D1700">
        <v>29</v>
      </c>
      <c r="E1700">
        <v>667</v>
      </c>
      <c r="F1700">
        <v>19961.4280192929</v>
      </c>
      <c r="G1700" t="s">
        <v>26</v>
      </c>
      <c r="H1700">
        <v>22</v>
      </c>
      <c r="I1700">
        <v>9</v>
      </c>
      <c r="J1700">
        <v>25</v>
      </c>
      <c r="K1700">
        <v>8</v>
      </c>
      <c r="L1700" t="s">
        <v>27</v>
      </c>
      <c r="M1700">
        <v>2.2894332799999999</v>
      </c>
      <c r="N1700" t="s">
        <v>57</v>
      </c>
      <c r="O1700" t="s">
        <v>65</v>
      </c>
      <c r="P1700">
        <f>VLOOKUP(O1700, Coordinates!$A$2:$C$6, 2, FALSE)</f>
        <v>41.878100000000003</v>
      </c>
      <c r="Q1700">
        <f>VLOOKUP(O1700, Coordinates!$A$2:$C$6, 3, FALSE)</f>
        <v>-87.629800000000003</v>
      </c>
      <c r="R1700">
        <v>6</v>
      </c>
      <c r="S1700">
        <v>836</v>
      </c>
      <c r="T1700">
        <v>12</v>
      </c>
      <c r="U1700">
        <v>86.933744681854904</v>
      </c>
      <c r="V1700" t="s">
        <v>55</v>
      </c>
      <c r="W1700">
        <v>1.6898648321063501</v>
      </c>
      <c r="X1700" t="s">
        <v>31</v>
      </c>
      <c r="Y1700" t="s">
        <v>41</v>
      </c>
      <c r="Z1700">
        <v>393.14466649964697</v>
      </c>
    </row>
    <row r="1701" spans="1:26" x14ac:dyDescent="0.3">
      <c r="A1701" t="s">
        <v>49</v>
      </c>
      <c r="B1701" t="s">
        <v>1757</v>
      </c>
      <c r="C1701">
        <v>83.531945458760802</v>
      </c>
      <c r="D1701">
        <v>78</v>
      </c>
      <c r="E1701">
        <v>290</v>
      </c>
      <c r="F1701">
        <v>3988.6650174143801</v>
      </c>
      <c r="G1701" t="s">
        <v>48</v>
      </c>
      <c r="H1701">
        <v>60</v>
      </c>
      <c r="I1701">
        <v>12</v>
      </c>
      <c r="J1701">
        <v>37</v>
      </c>
      <c r="K1701">
        <v>4</v>
      </c>
      <c r="L1701" t="s">
        <v>27</v>
      </c>
      <c r="M1701">
        <v>6.1037768434948099</v>
      </c>
      <c r="N1701" t="s">
        <v>28</v>
      </c>
      <c r="O1701" t="s">
        <v>38</v>
      </c>
      <c r="P1701">
        <f>VLOOKUP(O1701, Coordinates!$A$2:$C$6, 2, FALSE)</f>
        <v>25.761700000000001</v>
      </c>
      <c r="Q1701">
        <f>VLOOKUP(O1701, Coordinates!$A$2:$C$6, 3, FALSE)</f>
        <v>-80.191800000000001</v>
      </c>
      <c r="R1701">
        <v>4</v>
      </c>
      <c r="S1701">
        <v>608</v>
      </c>
      <c r="T1701">
        <v>13</v>
      </c>
      <c r="U1701">
        <v>24.876010277675</v>
      </c>
      <c r="V1701" t="s">
        <v>30</v>
      </c>
      <c r="W1701">
        <v>1.1264099532068601</v>
      </c>
      <c r="X1701" t="s">
        <v>52</v>
      </c>
      <c r="Y1701" t="s">
        <v>32</v>
      </c>
      <c r="Z1701">
        <v>698.58326614654698</v>
      </c>
    </row>
    <row r="1702" spans="1:26" x14ac:dyDescent="0.3">
      <c r="A1702" t="s">
        <v>72</v>
      </c>
      <c r="B1702" t="s">
        <v>1758</v>
      </c>
      <c r="C1702">
        <v>29.525740153663499</v>
      </c>
      <c r="D1702">
        <v>25</v>
      </c>
      <c r="E1702">
        <v>960</v>
      </c>
      <c r="F1702">
        <v>25510.239492765199</v>
      </c>
      <c r="G1702" t="s">
        <v>48</v>
      </c>
      <c r="H1702">
        <v>94</v>
      </c>
      <c r="I1702">
        <v>18</v>
      </c>
      <c r="J1702">
        <v>95</v>
      </c>
      <c r="K1702">
        <v>7</v>
      </c>
      <c r="L1702" t="s">
        <v>27</v>
      </c>
      <c r="M1702">
        <v>12.104452893578999</v>
      </c>
      <c r="N1702" t="s">
        <v>57</v>
      </c>
      <c r="O1702" t="s">
        <v>38</v>
      </c>
      <c r="P1702">
        <f>VLOOKUP(O1702, Coordinates!$A$2:$C$6, 2, FALSE)</f>
        <v>25.761700000000001</v>
      </c>
      <c r="Q1702">
        <f>VLOOKUP(O1702, Coordinates!$A$2:$C$6, 3, FALSE)</f>
        <v>-80.191800000000001</v>
      </c>
      <c r="R1702">
        <v>1</v>
      </c>
      <c r="S1702">
        <v>967</v>
      </c>
      <c r="T1702">
        <v>21</v>
      </c>
      <c r="U1702">
        <v>76.096614590000001</v>
      </c>
      <c r="V1702" t="s">
        <v>30</v>
      </c>
      <c r="W1702">
        <v>4.2532127407367399</v>
      </c>
      <c r="X1702" t="s">
        <v>46</v>
      </c>
      <c r="Y1702" t="s">
        <v>41</v>
      </c>
      <c r="Z1702">
        <v>856.32378451901002</v>
      </c>
    </row>
    <row r="1703" spans="1:26" x14ac:dyDescent="0.3">
      <c r="A1703" t="s">
        <v>61</v>
      </c>
      <c r="B1703" t="s">
        <v>1759</v>
      </c>
      <c r="C1703">
        <v>93.689252928476506</v>
      </c>
      <c r="D1703">
        <v>15</v>
      </c>
      <c r="E1703">
        <v>918</v>
      </c>
      <c r="F1703">
        <v>8641.3106195512501</v>
      </c>
      <c r="G1703" t="s">
        <v>26</v>
      </c>
      <c r="H1703">
        <v>36</v>
      </c>
      <c r="I1703">
        <v>8</v>
      </c>
      <c r="J1703">
        <v>79</v>
      </c>
      <c r="K1703">
        <v>4</v>
      </c>
      <c r="L1703" t="s">
        <v>36</v>
      </c>
      <c r="M1703">
        <v>10.8441964492511</v>
      </c>
      <c r="N1703" t="s">
        <v>57</v>
      </c>
      <c r="O1703" t="s">
        <v>67</v>
      </c>
      <c r="P1703">
        <f>VLOOKUP(O1703, Coordinates!$A$2:$C$6, 2, FALSE)</f>
        <v>40.712800000000001</v>
      </c>
      <c r="Q1703">
        <f>VLOOKUP(O1703, Coordinates!$A$2:$C$6, 3, FALSE)</f>
        <v>-74.006</v>
      </c>
      <c r="R1703">
        <v>19</v>
      </c>
      <c r="S1703">
        <v>665</v>
      </c>
      <c r="T1703">
        <v>30</v>
      </c>
      <c r="U1703">
        <v>45.103388313456101</v>
      </c>
      <c r="V1703" t="s">
        <v>30</v>
      </c>
      <c r="W1703">
        <v>0.325386037773987</v>
      </c>
      <c r="X1703" t="s">
        <v>52</v>
      </c>
      <c r="Y1703" t="s">
        <v>32</v>
      </c>
      <c r="Z1703">
        <v>367.19410884098602</v>
      </c>
    </row>
    <row r="1704" spans="1:26" x14ac:dyDescent="0.3">
      <c r="A1704" t="s">
        <v>24</v>
      </c>
      <c r="B1704" t="s">
        <v>1760</v>
      </c>
      <c r="C1704">
        <v>23.396267780754599</v>
      </c>
      <c r="D1704">
        <v>6</v>
      </c>
      <c r="E1704">
        <v>612</v>
      </c>
      <c r="F1704">
        <v>12886.6642936396</v>
      </c>
      <c r="G1704" t="s">
        <v>48</v>
      </c>
      <c r="H1704">
        <v>12</v>
      </c>
      <c r="I1704">
        <v>25</v>
      </c>
      <c r="J1704">
        <v>98</v>
      </c>
      <c r="K1704">
        <v>1</v>
      </c>
      <c r="L1704" t="s">
        <v>44</v>
      </c>
      <c r="M1704">
        <v>1.3689342302915899</v>
      </c>
      <c r="N1704" t="s">
        <v>37</v>
      </c>
      <c r="O1704" t="s">
        <v>38</v>
      </c>
      <c r="P1704">
        <f>VLOOKUP(O1704, Coordinates!$A$2:$C$6, 2, FALSE)</f>
        <v>25.761700000000001</v>
      </c>
      <c r="Q1704">
        <f>VLOOKUP(O1704, Coordinates!$A$2:$C$6, 3, FALSE)</f>
        <v>-80.191800000000001</v>
      </c>
      <c r="R1704">
        <v>11</v>
      </c>
      <c r="S1704">
        <v>770</v>
      </c>
      <c r="T1704">
        <v>17</v>
      </c>
      <c r="U1704">
        <v>81.357742047984203</v>
      </c>
      <c r="V1704" t="s">
        <v>30</v>
      </c>
      <c r="W1704">
        <v>2.0363891203915698</v>
      </c>
      <c r="X1704" t="s">
        <v>46</v>
      </c>
      <c r="Y1704" t="s">
        <v>60</v>
      </c>
      <c r="Z1704">
        <v>482.29570059083198</v>
      </c>
    </row>
    <row r="1705" spans="1:26" x14ac:dyDescent="0.3">
      <c r="A1705" t="s">
        <v>24</v>
      </c>
      <c r="B1705" t="s">
        <v>1761</v>
      </c>
      <c r="C1705">
        <v>34.915651419505402</v>
      </c>
      <c r="D1705">
        <v>42</v>
      </c>
      <c r="E1705">
        <v>316</v>
      </c>
      <c r="F1705">
        <v>9930.0112640000007</v>
      </c>
      <c r="G1705" t="s">
        <v>26</v>
      </c>
      <c r="H1705">
        <v>96</v>
      </c>
      <c r="I1705">
        <v>18</v>
      </c>
      <c r="J1705">
        <v>51</v>
      </c>
      <c r="K1705">
        <v>6</v>
      </c>
      <c r="L1705" t="s">
        <v>36</v>
      </c>
      <c r="M1705">
        <v>7.2984516707972897</v>
      </c>
      <c r="N1705" t="s">
        <v>37</v>
      </c>
      <c r="O1705" t="s">
        <v>65</v>
      </c>
      <c r="P1705">
        <f>VLOOKUP(O1705, Coordinates!$A$2:$C$6, 2, FALSE)</f>
        <v>41.878100000000003</v>
      </c>
      <c r="Q1705">
        <f>VLOOKUP(O1705, Coordinates!$A$2:$C$6, 3, FALSE)</f>
        <v>-87.629800000000003</v>
      </c>
      <c r="R1705">
        <v>26</v>
      </c>
      <c r="S1705">
        <v>393</v>
      </c>
      <c r="T1705">
        <v>20</v>
      </c>
      <c r="U1705">
        <v>85.691570321313904</v>
      </c>
      <c r="V1705" t="s">
        <v>39</v>
      </c>
      <c r="W1705">
        <v>3.7380157242049599</v>
      </c>
      <c r="X1705" t="s">
        <v>46</v>
      </c>
      <c r="Y1705" t="s">
        <v>32</v>
      </c>
      <c r="Z1705">
        <v>194.45982451892101</v>
      </c>
    </row>
    <row r="1706" spans="1:26" x14ac:dyDescent="0.3">
      <c r="A1706" t="s">
        <v>72</v>
      </c>
      <c r="B1706" t="s">
        <v>1762</v>
      </c>
      <c r="C1706">
        <v>30.349510344053499</v>
      </c>
      <c r="D1706">
        <v>29</v>
      </c>
      <c r="E1706">
        <v>313</v>
      </c>
      <c r="F1706">
        <v>8549.4570639198791</v>
      </c>
      <c r="G1706" t="s">
        <v>54</v>
      </c>
      <c r="H1706">
        <v>70</v>
      </c>
      <c r="I1706">
        <v>25</v>
      </c>
      <c r="J1706">
        <v>75</v>
      </c>
      <c r="K1706">
        <v>5</v>
      </c>
      <c r="L1706" t="s">
        <v>36</v>
      </c>
      <c r="M1706">
        <v>12.609543331730601</v>
      </c>
      <c r="N1706" t="s">
        <v>37</v>
      </c>
      <c r="O1706" t="s">
        <v>58</v>
      </c>
      <c r="P1706">
        <f>VLOOKUP(O1706, Coordinates!$A$2:$C$6, 2, FALSE)</f>
        <v>34.052199999999999</v>
      </c>
      <c r="Q1706">
        <f>VLOOKUP(O1706, Coordinates!$A$2:$C$6, 3, FALSE)</f>
        <v>-118.2437</v>
      </c>
      <c r="R1706">
        <v>7</v>
      </c>
      <c r="S1706">
        <v>981</v>
      </c>
      <c r="T1706">
        <v>10</v>
      </c>
      <c r="U1706">
        <v>85.963090220090805</v>
      </c>
      <c r="V1706" t="s">
        <v>30</v>
      </c>
      <c r="W1706">
        <v>1.91273722336332E-2</v>
      </c>
      <c r="X1706" t="s">
        <v>31</v>
      </c>
      <c r="Y1706" t="s">
        <v>41</v>
      </c>
      <c r="Z1706">
        <v>471.46684598513002</v>
      </c>
    </row>
    <row r="1707" spans="1:26" x14ac:dyDescent="0.3">
      <c r="A1707" t="s">
        <v>72</v>
      </c>
      <c r="B1707" t="s">
        <v>1763</v>
      </c>
      <c r="C1707">
        <v>34.619932531812601</v>
      </c>
      <c r="D1707">
        <v>79</v>
      </c>
      <c r="E1707">
        <v>779</v>
      </c>
      <c r="F1707">
        <v>24272.034698053802</v>
      </c>
      <c r="G1707" t="s">
        <v>54</v>
      </c>
      <c r="H1707">
        <v>95</v>
      </c>
      <c r="I1707">
        <v>23</v>
      </c>
      <c r="J1707">
        <v>80</v>
      </c>
      <c r="K1707">
        <v>9</v>
      </c>
      <c r="L1707" t="s">
        <v>36</v>
      </c>
      <c r="M1707">
        <v>11.3275821226728</v>
      </c>
      <c r="N1707" t="s">
        <v>37</v>
      </c>
      <c r="O1707" t="s">
        <v>58</v>
      </c>
      <c r="P1707">
        <f>VLOOKUP(O1707, Coordinates!$A$2:$C$6, 2, FALSE)</f>
        <v>34.052199999999999</v>
      </c>
      <c r="Q1707">
        <f>VLOOKUP(O1707, Coordinates!$A$2:$C$6, 3, FALSE)</f>
        <v>-118.2437</v>
      </c>
      <c r="R1707">
        <v>2</v>
      </c>
      <c r="S1707">
        <v>124</v>
      </c>
      <c r="T1707">
        <v>19</v>
      </c>
      <c r="U1707">
        <v>91.281552930000004</v>
      </c>
      <c r="V1707" t="s">
        <v>30</v>
      </c>
      <c r="W1707">
        <v>4.3901625839046403</v>
      </c>
      <c r="X1707" t="s">
        <v>40</v>
      </c>
      <c r="Y1707" t="s">
        <v>60</v>
      </c>
      <c r="Z1707">
        <v>292.96783475445</v>
      </c>
    </row>
    <row r="1708" spans="1:26" x14ac:dyDescent="0.3">
      <c r="A1708" t="s">
        <v>42</v>
      </c>
      <c r="B1708" t="s">
        <v>1764</v>
      </c>
      <c r="C1708">
        <v>59.260418369124203</v>
      </c>
      <c r="D1708">
        <v>93</v>
      </c>
      <c r="E1708">
        <v>908</v>
      </c>
      <c r="F1708">
        <v>1045.2295302877999</v>
      </c>
      <c r="G1708" t="s">
        <v>48</v>
      </c>
      <c r="H1708">
        <v>6</v>
      </c>
      <c r="I1708">
        <v>29</v>
      </c>
      <c r="J1708">
        <v>90</v>
      </c>
      <c r="K1708">
        <v>9</v>
      </c>
      <c r="L1708" t="s">
        <v>44</v>
      </c>
      <c r="M1708">
        <v>6.7658970926525104</v>
      </c>
      <c r="N1708" t="s">
        <v>57</v>
      </c>
      <c r="O1708" t="s">
        <v>67</v>
      </c>
      <c r="P1708">
        <f>VLOOKUP(O1708, Coordinates!$A$2:$C$6, 2, FALSE)</f>
        <v>40.712800000000001</v>
      </c>
      <c r="Q1708">
        <f>VLOOKUP(O1708, Coordinates!$A$2:$C$6, 3, FALSE)</f>
        <v>-74.006</v>
      </c>
      <c r="R1708">
        <v>4</v>
      </c>
      <c r="S1708">
        <v>336</v>
      </c>
      <c r="T1708">
        <v>5</v>
      </c>
      <c r="U1708">
        <v>55.784452655509099</v>
      </c>
      <c r="V1708" t="s">
        <v>30</v>
      </c>
      <c r="W1708">
        <v>3.5314660618968201</v>
      </c>
      <c r="X1708" t="s">
        <v>40</v>
      </c>
      <c r="Y1708" t="s">
        <v>60</v>
      </c>
      <c r="Z1708">
        <v>444.20984360827401</v>
      </c>
    </row>
    <row r="1709" spans="1:26" x14ac:dyDescent="0.3">
      <c r="A1709" t="s">
        <v>82</v>
      </c>
      <c r="B1709" t="s">
        <v>1765</v>
      </c>
      <c r="C1709">
        <v>33.882875882559901</v>
      </c>
      <c r="D1709">
        <v>4</v>
      </c>
      <c r="E1709">
        <v>969</v>
      </c>
      <c r="F1709">
        <v>4850.4111097442401</v>
      </c>
      <c r="G1709" t="s">
        <v>54</v>
      </c>
      <c r="H1709">
        <v>41</v>
      </c>
      <c r="I1709">
        <v>22</v>
      </c>
      <c r="J1709">
        <v>44</v>
      </c>
      <c r="K1709">
        <v>8</v>
      </c>
      <c r="L1709" t="s">
        <v>36</v>
      </c>
      <c r="M1709">
        <v>11.2922557128545</v>
      </c>
      <c r="N1709" t="s">
        <v>37</v>
      </c>
      <c r="O1709" t="s">
        <v>65</v>
      </c>
      <c r="P1709">
        <f>VLOOKUP(O1709, Coordinates!$A$2:$C$6, 2, FALSE)</f>
        <v>41.878100000000003</v>
      </c>
      <c r="Q1709">
        <f>VLOOKUP(O1709, Coordinates!$A$2:$C$6, 3, FALSE)</f>
        <v>-87.629800000000003</v>
      </c>
      <c r="R1709">
        <v>6</v>
      </c>
      <c r="S1709">
        <v>560</v>
      </c>
      <c r="T1709">
        <v>26</v>
      </c>
      <c r="U1709">
        <v>38.128476970029503</v>
      </c>
      <c r="V1709" t="s">
        <v>30</v>
      </c>
      <c r="W1709">
        <v>0.36686978399999998</v>
      </c>
      <c r="X1709" t="s">
        <v>46</v>
      </c>
      <c r="Y1709" t="s">
        <v>32</v>
      </c>
      <c r="Z1709">
        <v>339.71253386456698</v>
      </c>
    </row>
    <row r="1710" spans="1:26" x14ac:dyDescent="0.3">
      <c r="A1710" t="s">
        <v>61</v>
      </c>
      <c r="B1710" t="s">
        <v>1766</v>
      </c>
      <c r="C1710">
        <v>35.219922455829803</v>
      </c>
      <c r="D1710">
        <v>82</v>
      </c>
      <c r="E1710">
        <v>117</v>
      </c>
      <c r="F1710">
        <v>2777.37653486829</v>
      </c>
      <c r="G1710" t="s">
        <v>54</v>
      </c>
      <c r="H1710">
        <v>37</v>
      </c>
      <c r="I1710">
        <v>2</v>
      </c>
      <c r="J1710">
        <v>29</v>
      </c>
      <c r="K1710">
        <v>7</v>
      </c>
      <c r="L1710" t="s">
        <v>44</v>
      </c>
      <c r="M1710">
        <v>8.7169499279124896</v>
      </c>
      <c r="N1710" t="s">
        <v>51</v>
      </c>
      <c r="O1710" t="s">
        <v>38</v>
      </c>
      <c r="P1710">
        <f>VLOOKUP(O1710, Coordinates!$A$2:$C$6, 2, FALSE)</f>
        <v>25.761700000000001</v>
      </c>
      <c r="Q1710">
        <f>VLOOKUP(O1710, Coordinates!$A$2:$C$6, 3, FALSE)</f>
        <v>-80.191800000000001</v>
      </c>
      <c r="R1710">
        <v>5</v>
      </c>
      <c r="S1710">
        <v>420</v>
      </c>
      <c r="T1710">
        <v>5</v>
      </c>
      <c r="U1710">
        <v>97.201817885678906</v>
      </c>
      <c r="V1710" t="s">
        <v>55</v>
      </c>
      <c r="W1710">
        <v>4.4749829449721901</v>
      </c>
      <c r="X1710" t="s">
        <v>46</v>
      </c>
      <c r="Y1710" t="s">
        <v>32</v>
      </c>
      <c r="Z1710">
        <v>827.856581305286</v>
      </c>
    </row>
    <row r="1711" spans="1:26" x14ac:dyDescent="0.3">
      <c r="A1711" t="s">
        <v>33</v>
      </c>
      <c r="B1711" t="s">
        <v>1767</v>
      </c>
      <c r="C1711">
        <v>96.310144489999999</v>
      </c>
      <c r="D1711">
        <v>57</v>
      </c>
      <c r="E1711">
        <v>992</v>
      </c>
      <c r="F1711">
        <v>9197.1811990000006</v>
      </c>
      <c r="G1711" t="s">
        <v>35</v>
      </c>
      <c r="H1711">
        <v>51</v>
      </c>
      <c r="I1711">
        <v>8</v>
      </c>
      <c r="J1711">
        <v>11</v>
      </c>
      <c r="K1711">
        <v>2</v>
      </c>
      <c r="L1711" t="s">
        <v>27</v>
      </c>
      <c r="M1711">
        <v>13.776805972956</v>
      </c>
      <c r="N1711" t="s">
        <v>45</v>
      </c>
      <c r="O1711" t="s">
        <v>38</v>
      </c>
      <c r="P1711">
        <f>VLOOKUP(O1711, Coordinates!$A$2:$C$6, 2, FALSE)</f>
        <v>25.761700000000001</v>
      </c>
      <c r="Q1711">
        <f>VLOOKUP(O1711, Coordinates!$A$2:$C$6, 3, FALSE)</f>
        <v>-80.191800000000001</v>
      </c>
      <c r="R1711">
        <v>30</v>
      </c>
      <c r="S1711">
        <v>199</v>
      </c>
      <c r="T1711">
        <v>8</v>
      </c>
      <c r="U1711">
        <v>82.080789190000004</v>
      </c>
      <c r="V1711" t="s">
        <v>39</v>
      </c>
      <c r="W1711">
        <v>3.9262620554885799</v>
      </c>
      <c r="X1711" t="s">
        <v>31</v>
      </c>
      <c r="Y1711" t="s">
        <v>60</v>
      </c>
      <c r="Z1711">
        <v>103.656418922158</v>
      </c>
    </row>
    <row r="1712" spans="1:26" x14ac:dyDescent="0.3">
      <c r="A1712" t="s">
        <v>24</v>
      </c>
      <c r="B1712" t="s">
        <v>1768</v>
      </c>
      <c r="C1712">
        <v>38.189448537381097</v>
      </c>
      <c r="D1712">
        <v>49</v>
      </c>
      <c r="E1712">
        <v>641</v>
      </c>
      <c r="F1712">
        <v>22031.492861215102</v>
      </c>
      <c r="G1712" t="s">
        <v>26</v>
      </c>
      <c r="H1712">
        <v>43</v>
      </c>
      <c r="I1712">
        <v>10</v>
      </c>
      <c r="J1712">
        <v>16</v>
      </c>
      <c r="K1712">
        <v>8</v>
      </c>
      <c r="L1712" t="s">
        <v>36</v>
      </c>
      <c r="M1712">
        <v>9.2197804416076092</v>
      </c>
      <c r="N1712" t="s">
        <v>37</v>
      </c>
      <c r="O1712" t="s">
        <v>58</v>
      </c>
      <c r="P1712">
        <f>VLOOKUP(O1712, Coordinates!$A$2:$C$6, 2, FALSE)</f>
        <v>34.052199999999999</v>
      </c>
      <c r="Q1712">
        <f>VLOOKUP(O1712, Coordinates!$A$2:$C$6, 3, FALSE)</f>
        <v>-118.2437</v>
      </c>
      <c r="R1712">
        <v>22</v>
      </c>
      <c r="S1712">
        <v>839</v>
      </c>
      <c r="T1712">
        <v>30</v>
      </c>
      <c r="U1712">
        <v>86.752749615768494</v>
      </c>
      <c r="V1712" t="s">
        <v>39</v>
      </c>
      <c r="W1712">
        <v>3.2611966694515502</v>
      </c>
      <c r="X1712" t="s">
        <v>46</v>
      </c>
      <c r="Y1712" t="s">
        <v>32</v>
      </c>
      <c r="Z1712">
        <v>404.83743557341199</v>
      </c>
    </row>
    <row r="1713" spans="1:26" x14ac:dyDescent="0.3">
      <c r="A1713" t="s">
        <v>33</v>
      </c>
      <c r="B1713" t="s">
        <v>1769</v>
      </c>
      <c r="C1713">
        <v>85.672005519999999</v>
      </c>
      <c r="D1713">
        <v>44</v>
      </c>
      <c r="E1713">
        <v>460</v>
      </c>
      <c r="H1713">
        <v>63</v>
      </c>
      <c r="I1713">
        <v>9</v>
      </c>
      <c r="J1713">
        <v>58</v>
      </c>
      <c r="K1713">
        <v>3</v>
      </c>
      <c r="L1713" t="s">
        <v>27</v>
      </c>
      <c r="M1713">
        <v>6.6102785031211502</v>
      </c>
      <c r="N1713" t="s">
        <v>28</v>
      </c>
      <c r="O1713" t="s">
        <v>65</v>
      </c>
      <c r="P1713">
        <f>VLOOKUP(O1713, Coordinates!$A$2:$C$6, 2, FALSE)</f>
        <v>41.878100000000003</v>
      </c>
      <c r="Q1713">
        <f>VLOOKUP(O1713, Coordinates!$A$2:$C$6, 3, FALSE)</f>
        <v>-87.629800000000003</v>
      </c>
      <c r="R1713">
        <v>21</v>
      </c>
      <c r="S1713">
        <v>789</v>
      </c>
      <c r="T1713">
        <v>17</v>
      </c>
      <c r="U1713">
        <v>25.005123375314099</v>
      </c>
      <c r="V1713" t="s">
        <v>30</v>
      </c>
      <c r="W1713">
        <v>4.4101668729999997</v>
      </c>
      <c r="X1713" t="s">
        <v>52</v>
      </c>
      <c r="Y1713" t="s">
        <v>41</v>
      </c>
      <c r="Z1713">
        <v>972.31207643972505</v>
      </c>
    </row>
    <row r="1714" spans="1:26" x14ac:dyDescent="0.3">
      <c r="A1714" t="s">
        <v>49</v>
      </c>
      <c r="B1714" t="s">
        <v>1770</v>
      </c>
      <c r="C1714">
        <v>43.571121162080502</v>
      </c>
      <c r="D1714">
        <v>80</v>
      </c>
      <c r="E1714">
        <v>467</v>
      </c>
      <c r="F1714">
        <v>5651.5309096104902</v>
      </c>
      <c r="G1714" t="s">
        <v>48</v>
      </c>
      <c r="H1714">
        <v>12</v>
      </c>
      <c r="I1714">
        <v>28</v>
      </c>
      <c r="J1714">
        <v>92</v>
      </c>
      <c r="K1714">
        <v>6</v>
      </c>
      <c r="L1714" t="s">
        <v>27</v>
      </c>
      <c r="M1714">
        <v>13.0808887439552</v>
      </c>
      <c r="N1714" t="s">
        <v>45</v>
      </c>
      <c r="O1714" t="s">
        <v>38</v>
      </c>
      <c r="P1714">
        <f>VLOOKUP(O1714, Coordinates!$A$2:$C$6, 2, FALSE)</f>
        <v>25.761700000000001</v>
      </c>
      <c r="Q1714">
        <f>VLOOKUP(O1714, Coordinates!$A$2:$C$6, 3, FALSE)</f>
        <v>-80.191800000000001</v>
      </c>
      <c r="R1714">
        <v>25</v>
      </c>
      <c r="S1714">
        <v>507</v>
      </c>
      <c r="T1714">
        <v>3</v>
      </c>
      <c r="U1714">
        <v>80.158187673396398</v>
      </c>
      <c r="V1714" t="s">
        <v>39</v>
      </c>
      <c r="W1714">
        <v>4.7570396279248</v>
      </c>
      <c r="X1714" t="s">
        <v>46</v>
      </c>
      <c r="Y1714" t="s">
        <v>41</v>
      </c>
      <c r="Z1714">
        <v>711.09342717248398</v>
      </c>
    </row>
    <row r="1715" spans="1:26" x14ac:dyDescent="0.3">
      <c r="A1715" t="s">
        <v>49</v>
      </c>
      <c r="B1715" t="s">
        <v>1771</v>
      </c>
      <c r="C1715">
        <v>6.3013622888468799</v>
      </c>
      <c r="D1715">
        <v>75</v>
      </c>
      <c r="E1715">
        <v>952</v>
      </c>
      <c r="F1715">
        <v>3370.27257098271</v>
      </c>
      <c r="G1715" t="s">
        <v>26</v>
      </c>
      <c r="H1715">
        <v>87</v>
      </c>
      <c r="I1715">
        <v>24</v>
      </c>
      <c r="J1715">
        <v>85</v>
      </c>
      <c r="K1715">
        <v>10</v>
      </c>
      <c r="L1715" t="s">
        <v>27</v>
      </c>
      <c r="M1715">
        <v>1.69816379229297</v>
      </c>
      <c r="N1715" t="s">
        <v>51</v>
      </c>
      <c r="O1715" t="s">
        <v>29</v>
      </c>
      <c r="P1715">
        <f>VLOOKUP(O1715, Coordinates!$A$2:$C$6, 2, FALSE)</f>
        <v>29.760400000000001</v>
      </c>
      <c r="Q1715">
        <f>VLOOKUP(O1715, Coordinates!$A$2:$C$6, 3, FALSE)</f>
        <v>-95.369799999999998</v>
      </c>
      <c r="R1715">
        <v>11</v>
      </c>
      <c r="S1715">
        <v>254</v>
      </c>
      <c r="T1715">
        <v>21</v>
      </c>
      <c r="U1715">
        <v>99.094985899999998</v>
      </c>
      <c r="V1715" t="s">
        <v>55</v>
      </c>
      <c r="W1715">
        <v>2.0437205925374999</v>
      </c>
      <c r="X1715" t="s">
        <v>52</v>
      </c>
      <c r="Y1715" t="s">
        <v>32</v>
      </c>
      <c r="Z1715">
        <v>794.95050813031696</v>
      </c>
    </row>
    <row r="1716" spans="1:26" x14ac:dyDescent="0.3">
      <c r="A1716" t="s">
        <v>33</v>
      </c>
      <c r="B1716" t="s">
        <v>1772</v>
      </c>
      <c r="C1716">
        <v>12.6211134132928</v>
      </c>
      <c r="D1716">
        <v>14</v>
      </c>
      <c r="E1716">
        <v>136</v>
      </c>
      <c r="F1716">
        <v>2888.7820955120901</v>
      </c>
      <c r="G1716" t="s">
        <v>35</v>
      </c>
      <c r="H1716">
        <v>27</v>
      </c>
      <c r="I1716">
        <v>18</v>
      </c>
      <c r="J1716">
        <v>18</v>
      </c>
      <c r="K1716">
        <v>7</v>
      </c>
      <c r="L1716" t="s">
        <v>36</v>
      </c>
      <c r="M1716">
        <v>13.6071490109246</v>
      </c>
      <c r="N1716" t="s">
        <v>45</v>
      </c>
      <c r="O1716" t="s">
        <v>38</v>
      </c>
      <c r="P1716">
        <f>VLOOKUP(O1716, Coordinates!$A$2:$C$6, 2, FALSE)</f>
        <v>25.761700000000001</v>
      </c>
      <c r="Q1716">
        <f>VLOOKUP(O1716, Coordinates!$A$2:$C$6, 3, FALSE)</f>
        <v>-80.191800000000001</v>
      </c>
      <c r="R1716">
        <v>27</v>
      </c>
      <c r="S1716">
        <v>533</v>
      </c>
      <c r="T1716">
        <v>16</v>
      </c>
      <c r="U1716">
        <v>35.107745841322398</v>
      </c>
      <c r="V1716" t="s">
        <v>55</v>
      </c>
      <c r="W1716">
        <v>4.6689679487853297</v>
      </c>
      <c r="X1716" t="s">
        <v>31</v>
      </c>
      <c r="Y1716" t="s">
        <v>60</v>
      </c>
      <c r="Z1716">
        <v>873.88638684010698</v>
      </c>
    </row>
    <row r="1717" spans="1:26" x14ac:dyDescent="0.3">
      <c r="A1717" t="s">
        <v>49</v>
      </c>
      <c r="B1717" t="s">
        <v>1773</v>
      </c>
      <c r="C1717">
        <v>34.658654980672303</v>
      </c>
      <c r="D1717">
        <v>3</v>
      </c>
      <c r="E1717">
        <v>934</v>
      </c>
      <c r="F1717">
        <v>6391.89392592477</v>
      </c>
      <c r="G1717" t="s">
        <v>48</v>
      </c>
      <c r="H1717">
        <v>95</v>
      </c>
      <c r="I1717">
        <v>8</v>
      </c>
      <c r="J1717">
        <v>36</v>
      </c>
      <c r="K1717">
        <v>6</v>
      </c>
      <c r="L1717" t="s">
        <v>27</v>
      </c>
      <c r="M1717">
        <v>10.7488554029689</v>
      </c>
      <c r="N1717" t="s">
        <v>45</v>
      </c>
      <c r="O1717" t="s">
        <v>38</v>
      </c>
      <c r="P1717">
        <f>VLOOKUP(O1717, Coordinates!$A$2:$C$6, 2, FALSE)</f>
        <v>25.761700000000001</v>
      </c>
      <c r="Q1717">
        <f>VLOOKUP(O1717, Coordinates!$A$2:$C$6, 3, FALSE)</f>
        <v>-80.191800000000001</v>
      </c>
      <c r="R1717">
        <v>25</v>
      </c>
      <c r="S1717">
        <v>850</v>
      </c>
      <c r="T1717">
        <v>27</v>
      </c>
      <c r="U1717">
        <v>92.427676510149595</v>
      </c>
      <c r="V1717" t="s">
        <v>39</v>
      </c>
      <c r="W1717">
        <v>3.67981479162522</v>
      </c>
      <c r="X1717" t="s">
        <v>46</v>
      </c>
      <c r="Y1717" t="s">
        <v>32</v>
      </c>
      <c r="Z1717">
        <v>425.65968107104402</v>
      </c>
    </row>
    <row r="1718" spans="1:26" x14ac:dyDescent="0.3">
      <c r="A1718" t="s">
        <v>82</v>
      </c>
      <c r="B1718" t="s">
        <v>1774</v>
      </c>
      <c r="C1718">
        <v>6.4955767345893101</v>
      </c>
      <c r="D1718">
        <v>62</v>
      </c>
      <c r="E1718">
        <v>969</v>
      </c>
      <c r="F1718">
        <v>1800.3657047952099</v>
      </c>
      <c r="G1718" t="s">
        <v>48</v>
      </c>
      <c r="H1718">
        <v>81</v>
      </c>
      <c r="I1718">
        <v>19</v>
      </c>
      <c r="J1718">
        <v>87</v>
      </c>
      <c r="K1718">
        <v>5</v>
      </c>
      <c r="L1718" t="s">
        <v>36</v>
      </c>
      <c r="M1718">
        <v>14.168482045936999</v>
      </c>
      <c r="N1718" t="s">
        <v>51</v>
      </c>
      <c r="O1718" t="s">
        <v>58</v>
      </c>
      <c r="P1718">
        <f>VLOOKUP(O1718, Coordinates!$A$2:$C$6, 2, FALSE)</f>
        <v>34.052199999999999</v>
      </c>
      <c r="Q1718">
        <f>VLOOKUP(O1718, Coordinates!$A$2:$C$6, 3, FALSE)</f>
        <v>-118.2437</v>
      </c>
      <c r="R1718">
        <v>18</v>
      </c>
      <c r="S1718">
        <v>533</v>
      </c>
      <c r="T1718">
        <v>19</v>
      </c>
      <c r="U1718">
        <v>21.283363502912799</v>
      </c>
      <c r="V1718" t="s">
        <v>30</v>
      </c>
      <c r="W1718">
        <v>3.8297079319186298</v>
      </c>
      <c r="X1718" t="s">
        <v>40</v>
      </c>
      <c r="Y1718" t="s">
        <v>60</v>
      </c>
      <c r="Z1718">
        <v>159.350158226112</v>
      </c>
    </row>
    <row r="1719" spans="1:26" x14ac:dyDescent="0.3">
      <c r="A1719" t="s">
        <v>72</v>
      </c>
      <c r="B1719" t="s">
        <v>1775</v>
      </c>
      <c r="C1719">
        <v>38.294957465546297</v>
      </c>
      <c r="D1719">
        <v>64</v>
      </c>
      <c r="E1719">
        <v>933</v>
      </c>
      <c r="F1719">
        <v>32156.275783819201</v>
      </c>
      <c r="G1719" t="s">
        <v>26</v>
      </c>
      <c r="H1719">
        <v>97</v>
      </c>
      <c r="I1719">
        <v>3</v>
      </c>
      <c r="J1719">
        <v>11</v>
      </c>
      <c r="K1719">
        <v>4</v>
      </c>
      <c r="L1719" t="s">
        <v>27</v>
      </c>
      <c r="M1719">
        <v>4.50706816777741</v>
      </c>
      <c r="N1719" t="s">
        <v>37</v>
      </c>
      <c r="O1719" t="s">
        <v>38</v>
      </c>
      <c r="P1719">
        <f>VLOOKUP(O1719, Coordinates!$A$2:$C$6, 2, FALSE)</f>
        <v>25.761700000000001</v>
      </c>
      <c r="Q1719">
        <f>VLOOKUP(O1719, Coordinates!$A$2:$C$6, 3, FALSE)</f>
        <v>-80.191800000000001</v>
      </c>
      <c r="R1719">
        <v>20</v>
      </c>
      <c r="S1719">
        <v>242</v>
      </c>
      <c r="T1719">
        <v>6</v>
      </c>
      <c r="U1719">
        <v>84.330129749552398</v>
      </c>
      <c r="V1719" t="s">
        <v>30</v>
      </c>
      <c r="W1719">
        <v>4.6471518050206999</v>
      </c>
      <c r="X1719" t="s">
        <v>31</v>
      </c>
      <c r="Y1719" t="s">
        <v>60</v>
      </c>
      <c r="Z1719">
        <v>469.62096067383999</v>
      </c>
    </row>
    <row r="1720" spans="1:26" x14ac:dyDescent="0.3">
      <c r="A1720" t="s">
        <v>49</v>
      </c>
      <c r="B1720" t="s">
        <v>1776</v>
      </c>
      <c r="C1720">
        <v>92.077313656029006</v>
      </c>
      <c r="D1720">
        <v>45</v>
      </c>
      <c r="E1720">
        <v>125</v>
      </c>
      <c r="F1720">
        <v>4350.20765667464</v>
      </c>
      <c r="G1720" t="s">
        <v>54</v>
      </c>
      <c r="H1720">
        <v>97</v>
      </c>
      <c r="I1720">
        <v>9</v>
      </c>
      <c r="J1720">
        <v>94</v>
      </c>
      <c r="K1720">
        <v>2</v>
      </c>
      <c r="L1720" t="s">
        <v>36</v>
      </c>
      <c r="M1720">
        <v>10.728899104958</v>
      </c>
      <c r="N1720" t="s">
        <v>51</v>
      </c>
      <c r="O1720" t="s">
        <v>67</v>
      </c>
      <c r="P1720">
        <f>VLOOKUP(O1720, Coordinates!$A$2:$C$6, 2, FALSE)</f>
        <v>40.712800000000001</v>
      </c>
      <c r="Q1720">
        <f>VLOOKUP(O1720, Coordinates!$A$2:$C$6, 3, FALSE)</f>
        <v>-74.006</v>
      </c>
      <c r="R1720">
        <v>17</v>
      </c>
      <c r="S1720">
        <v>628</v>
      </c>
      <c r="T1720">
        <v>10</v>
      </c>
      <c r="U1720">
        <v>77.080502120000006</v>
      </c>
      <c r="V1720" t="s">
        <v>55</v>
      </c>
      <c r="W1720">
        <v>0.36115336656824898</v>
      </c>
      <c r="X1720" t="s">
        <v>46</v>
      </c>
      <c r="Y1720" t="s">
        <v>41</v>
      </c>
      <c r="Z1720">
        <v>687.43579769601297</v>
      </c>
    </row>
    <row r="1721" spans="1:26" x14ac:dyDescent="0.3">
      <c r="A1721" t="s">
        <v>42</v>
      </c>
      <c r="B1721" t="s">
        <v>1777</v>
      </c>
      <c r="C1721">
        <v>72.085057701310106</v>
      </c>
      <c r="D1721">
        <v>82</v>
      </c>
      <c r="E1721">
        <v>201</v>
      </c>
      <c r="F1721">
        <v>7485.9800905707598</v>
      </c>
      <c r="G1721" t="s">
        <v>54</v>
      </c>
      <c r="H1721">
        <v>0</v>
      </c>
      <c r="I1721">
        <v>13</v>
      </c>
      <c r="J1721">
        <v>77</v>
      </c>
      <c r="K1721">
        <v>9</v>
      </c>
      <c r="L1721" t="s">
        <v>36</v>
      </c>
      <c r="M1721">
        <v>12.3324857366839</v>
      </c>
      <c r="N1721" t="s">
        <v>28</v>
      </c>
      <c r="O1721" t="s">
        <v>58</v>
      </c>
      <c r="P1721">
        <f>VLOOKUP(O1721, Coordinates!$A$2:$C$6, 2, FALSE)</f>
        <v>34.052199999999999</v>
      </c>
      <c r="Q1721">
        <f>VLOOKUP(O1721, Coordinates!$A$2:$C$6, 3, FALSE)</f>
        <v>-118.2437</v>
      </c>
      <c r="R1721">
        <v>28</v>
      </c>
      <c r="S1721">
        <v>384</v>
      </c>
      <c r="T1721">
        <v>16</v>
      </c>
      <c r="U1721">
        <v>41.193660633733302</v>
      </c>
      <c r="V1721" t="s">
        <v>55</v>
      </c>
      <c r="W1721">
        <v>7.5098639999999994E-2</v>
      </c>
      <c r="X1721" t="s">
        <v>46</v>
      </c>
      <c r="Y1721" t="s">
        <v>32</v>
      </c>
      <c r="Z1721">
        <v>433.71242216043601</v>
      </c>
    </row>
    <row r="1722" spans="1:26" x14ac:dyDescent="0.3">
      <c r="A1722" t="s">
        <v>49</v>
      </c>
      <c r="B1722" t="s">
        <v>1778</v>
      </c>
      <c r="C1722">
        <v>34.350819056474499</v>
      </c>
      <c r="D1722">
        <v>58</v>
      </c>
      <c r="E1722">
        <v>810</v>
      </c>
      <c r="F1722">
        <v>5993.2608244655303</v>
      </c>
      <c r="G1722" t="s">
        <v>54</v>
      </c>
      <c r="H1722">
        <v>42</v>
      </c>
      <c r="I1722">
        <v>9</v>
      </c>
      <c r="J1722">
        <v>69</v>
      </c>
      <c r="K1722">
        <v>7</v>
      </c>
      <c r="L1722" t="s">
        <v>36</v>
      </c>
      <c r="M1722">
        <v>10.829436117002199</v>
      </c>
      <c r="N1722" t="s">
        <v>51</v>
      </c>
      <c r="O1722" t="s">
        <v>29</v>
      </c>
      <c r="P1722">
        <f>VLOOKUP(O1722, Coordinates!$A$2:$C$6, 2, FALSE)</f>
        <v>29.760400000000001</v>
      </c>
      <c r="Q1722">
        <f>VLOOKUP(O1722, Coordinates!$A$2:$C$6, 3, FALSE)</f>
        <v>-95.369799999999998</v>
      </c>
      <c r="R1722">
        <v>13</v>
      </c>
      <c r="S1722">
        <v>104</v>
      </c>
      <c r="T1722">
        <v>13</v>
      </c>
      <c r="U1722">
        <v>37.416864006661001</v>
      </c>
      <c r="V1722" t="s">
        <v>30</v>
      </c>
      <c r="W1722">
        <v>4.1146753073636999</v>
      </c>
      <c r="X1722" t="s">
        <v>52</v>
      </c>
      <c r="Y1722" t="s">
        <v>60</v>
      </c>
      <c r="Z1722">
        <v>503.481260112538</v>
      </c>
    </row>
    <row r="1723" spans="1:26" x14ac:dyDescent="0.3">
      <c r="A1723" t="s">
        <v>61</v>
      </c>
      <c r="B1723" t="s">
        <v>1779</v>
      </c>
      <c r="D1723">
        <v>20</v>
      </c>
      <c r="E1723">
        <v>486</v>
      </c>
      <c r="F1723">
        <v>4805.8882162010004</v>
      </c>
      <c r="G1723" t="s">
        <v>54</v>
      </c>
      <c r="H1723">
        <v>41</v>
      </c>
      <c r="I1723">
        <v>25</v>
      </c>
      <c r="J1723">
        <v>94</v>
      </c>
      <c r="K1723">
        <v>7</v>
      </c>
      <c r="L1723" t="s">
        <v>27</v>
      </c>
      <c r="M1723">
        <v>3.9446718320497101</v>
      </c>
      <c r="N1723" t="s">
        <v>57</v>
      </c>
      <c r="O1723" t="s">
        <v>58</v>
      </c>
      <c r="P1723">
        <f>VLOOKUP(O1723, Coordinates!$A$2:$C$6, 2, FALSE)</f>
        <v>34.052199999999999</v>
      </c>
      <c r="Q1723">
        <f>VLOOKUP(O1723, Coordinates!$A$2:$C$6, 3, FALSE)</f>
        <v>-118.2437</v>
      </c>
      <c r="R1723">
        <v>23</v>
      </c>
      <c r="S1723">
        <v>622</v>
      </c>
      <c r="T1723">
        <v>3</v>
      </c>
      <c r="U1723">
        <v>67.9091818545416</v>
      </c>
      <c r="V1723" t="s">
        <v>30</v>
      </c>
      <c r="W1723">
        <v>1.9330130162702901</v>
      </c>
      <c r="X1723" t="s">
        <v>46</v>
      </c>
      <c r="Y1723" t="s">
        <v>60</v>
      </c>
      <c r="Z1723">
        <v>842.95358550000003</v>
      </c>
    </row>
    <row r="1724" spans="1:26" x14ac:dyDescent="0.3">
      <c r="A1724" t="s">
        <v>82</v>
      </c>
      <c r="B1724" t="s">
        <v>1780</v>
      </c>
      <c r="C1724">
        <v>53.605393200032303</v>
      </c>
      <c r="D1724">
        <v>58</v>
      </c>
      <c r="E1724">
        <v>638</v>
      </c>
      <c r="F1724">
        <v>6091.7640780212396</v>
      </c>
      <c r="G1724" t="s">
        <v>35</v>
      </c>
      <c r="H1724">
        <v>94</v>
      </c>
      <c r="I1724">
        <v>20</v>
      </c>
      <c r="J1724">
        <v>95</v>
      </c>
      <c r="K1724">
        <v>4</v>
      </c>
      <c r="L1724" t="s">
        <v>36</v>
      </c>
      <c r="M1724">
        <v>4.8582539530198101</v>
      </c>
      <c r="N1724" t="s">
        <v>57</v>
      </c>
      <c r="O1724" t="s">
        <v>38</v>
      </c>
      <c r="P1724">
        <f>VLOOKUP(O1724, Coordinates!$A$2:$C$6, 2, FALSE)</f>
        <v>25.761700000000001</v>
      </c>
      <c r="Q1724">
        <f>VLOOKUP(O1724, Coordinates!$A$2:$C$6, 3, FALSE)</f>
        <v>-80.191800000000001</v>
      </c>
      <c r="R1724">
        <v>17</v>
      </c>
      <c r="S1724">
        <v>819</v>
      </c>
      <c r="T1724">
        <v>22</v>
      </c>
      <c r="U1724">
        <v>63.41564262</v>
      </c>
      <c r="V1724" t="s">
        <v>39</v>
      </c>
      <c r="W1724">
        <v>1.3822462247908001</v>
      </c>
      <c r="X1724" t="s">
        <v>52</v>
      </c>
      <c r="Y1724" t="s">
        <v>60</v>
      </c>
      <c r="Z1724">
        <v>132.61341225682</v>
      </c>
    </row>
    <row r="1725" spans="1:26" x14ac:dyDescent="0.3">
      <c r="A1725" t="s">
        <v>61</v>
      </c>
      <c r="B1725" t="s">
        <v>1781</v>
      </c>
      <c r="C1725">
        <v>5.5078852811646204</v>
      </c>
      <c r="D1725">
        <v>89</v>
      </c>
      <c r="E1725">
        <v>798</v>
      </c>
      <c r="F1725">
        <v>4289.06336187946</v>
      </c>
      <c r="G1725" t="s">
        <v>48</v>
      </c>
      <c r="H1725">
        <v>49</v>
      </c>
      <c r="I1725">
        <v>12</v>
      </c>
      <c r="J1725">
        <v>58</v>
      </c>
      <c r="K1725">
        <v>5</v>
      </c>
      <c r="L1725" t="s">
        <v>27</v>
      </c>
      <c r="M1725">
        <v>8.9343928783374302</v>
      </c>
      <c r="N1725" t="s">
        <v>45</v>
      </c>
      <c r="O1725" t="s">
        <v>38</v>
      </c>
      <c r="P1725">
        <f>VLOOKUP(O1725, Coordinates!$A$2:$C$6, 2, FALSE)</f>
        <v>25.761700000000001</v>
      </c>
      <c r="Q1725">
        <f>VLOOKUP(O1725, Coordinates!$A$2:$C$6, 3, FALSE)</f>
        <v>-80.191800000000001</v>
      </c>
      <c r="R1725">
        <v>29</v>
      </c>
      <c r="S1725">
        <v>535</v>
      </c>
      <c r="T1725">
        <v>8</v>
      </c>
      <c r="U1725">
        <v>92.704303134431697</v>
      </c>
      <c r="V1725" t="s">
        <v>39</v>
      </c>
      <c r="W1725">
        <v>3.8268319775244199</v>
      </c>
      <c r="X1725" t="s">
        <v>52</v>
      </c>
      <c r="Y1725" t="s">
        <v>60</v>
      </c>
      <c r="Z1725">
        <v>401.24892336230198</v>
      </c>
    </row>
    <row r="1726" spans="1:26" x14ac:dyDescent="0.3">
      <c r="A1726" t="s">
        <v>61</v>
      </c>
      <c r="B1726" t="s">
        <v>1782</v>
      </c>
      <c r="C1726">
        <v>94.149305666523603</v>
      </c>
      <c r="D1726">
        <v>57</v>
      </c>
      <c r="E1726">
        <v>901</v>
      </c>
      <c r="F1726">
        <v>9425.3170188890108</v>
      </c>
      <c r="G1726" t="s">
        <v>54</v>
      </c>
      <c r="H1726">
        <v>59</v>
      </c>
      <c r="I1726">
        <v>30</v>
      </c>
      <c r="J1726">
        <v>11</v>
      </c>
      <c r="K1726">
        <v>6</v>
      </c>
      <c r="L1726" t="s">
        <v>44</v>
      </c>
      <c r="M1726">
        <v>7.2545084376707702</v>
      </c>
      <c r="N1726" t="s">
        <v>37</v>
      </c>
      <c r="O1726" t="s">
        <v>65</v>
      </c>
      <c r="P1726">
        <f>VLOOKUP(O1726, Coordinates!$A$2:$C$6, 2, FALSE)</f>
        <v>41.878100000000003</v>
      </c>
      <c r="Q1726">
        <f>VLOOKUP(O1726, Coordinates!$A$2:$C$6, 3, FALSE)</f>
        <v>-87.629800000000003</v>
      </c>
      <c r="R1726">
        <v>26</v>
      </c>
      <c r="S1726">
        <v>517</v>
      </c>
      <c r="T1726">
        <v>20</v>
      </c>
      <c r="U1726">
        <v>78.961882078829206</v>
      </c>
      <c r="V1726" t="s">
        <v>55</v>
      </c>
      <c r="W1726">
        <v>1.7324030491412199</v>
      </c>
      <c r="X1726" t="s">
        <v>40</v>
      </c>
      <c r="Y1726" t="s">
        <v>41</v>
      </c>
      <c r="Z1726">
        <v>539.57172509260704</v>
      </c>
    </row>
    <row r="1727" spans="1:26" x14ac:dyDescent="0.3">
      <c r="A1727" t="s">
        <v>42</v>
      </c>
      <c r="B1727" t="s">
        <v>1783</v>
      </c>
      <c r="C1727">
        <v>44.407436341949897</v>
      </c>
      <c r="D1727">
        <v>77</v>
      </c>
      <c r="E1727">
        <v>776</v>
      </c>
      <c r="F1727">
        <v>1494.1440181969599</v>
      </c>
      <c r="G1727" t="s">
        <v>35</v>
      </c>
      <c r="H1727">
        <v>0</v>
      </c>
      <c r="I1727">
        <v>23</v>
      </c>
      <c r="J1727">
        <v>26</v>
      </c>
      <c r="K1727">
        <v>2</v>
      </c>
      <c r="L1727" t="s">
        <v>27</v>
      </c>
      <c r="M1727">
        <v>11.2916406378313</v>
      </c>
      <c r="N1727" t="s">
        <v>37</v>
      </c>
      <c r="O1727" t="s">
        <v>65</v>
      </c>
      <c r="P1727">
        <f>VLOOKUP(O1727, Coordinates!$A$2:$C$6, 2, FALSE)</f>
        <v>41.878100000000003</v>
      </c>
      <c r="Q1727">
        <f>VLOOKUP(O1727, Coordinates!$A$2:$C$6, 3, FALSE)</f>
        <v>-87.629800000000003</v>
      </c>
      <c r="R1727">
        <v>10</v>
      </c>
      <c r="S1727">
        <v>180</v>
      </c>
      <c r="T1727">
        <v>8</v>
      </c>
      <c r="U1727">
        <v>58.632838531653398</v>
      </c>
      <c r="V1727" t="s">
        <v>39</v>
      </c>
      <c r="W1727">
        <v>4.8573404463900296</v>
      </c>
      <c r="X1727" t="s">
        <v>40</v>
      </c>
      <c r="Y1727" t="s">
        <v>41</v>
      </c>
      <c r="Z1727">
        <v>369.26833138020697</v>
      </c>
    </row>
    <row r="1728" spans="1:26" x14ac:dyDescent="0.3">
      <c r="A1728" t="s">
        <v>82</v>
      </c>
      <c r="B1728" t="s">
        <v>1784</v>
      </c>
      <c r="C1728">
        <v>43.221820747546602</v>
      </c>
      <c r="D1728">
        <v>68</v>
      </c>
      <c r="E1728">
        <v>43</v>
      </c>
      <c r="F1728">
        <v>7060.52331126851</v>
      </c>
      <c r="G1728" t="s">
        <v>48</v>
      </c>
      <c r="H1728">
        <v>50</v>
      </c>
      <c r="I1728">
        <v>13</v>
      </c>
      <c r="J1728">
        <v>92</v>
      </c>
      <c r="K1728">
        <v>4</v>
      </c>
      <c r="L1728" t="s">
        <v>27</v>
      </c>
      <c r="M1728">
        <v>6.3014736805284803</v>
      </c>
      <c r="N1728" t="s">
        <v>57</v>
      </c>
      <c r="O1728" t="s">
        <v>67</v>
      </c>
      <c r="P1728">
        <f>VLOOKUP(O1728, Coordinates!$A$2:$C$6, 2, FALSE)</f>
        <v>40.712800000000001</v>
      </c>
      <c r="Q1728">
        <f>VLOOKUP(O1728, Coordinates!$A$2:$C$6, 3, FALSE)</f>
        <v>-74.006</v>
      </c>
      <c r="R1728">
        <v>29</v>
      </c>
      <c r="S1728">
        <v>644</v>
      </c>
      <c r="T1728">
        <v>7</v>
      </c>
      <c r="U1728">
        <v>93.480925765568898</v>
      </c>
      <c r="V1728" t="s">
        <v>30</v>
      </c>
      <c r="W1728">
        <v>4.8853988727184801</v>
      </c>
      <c r="X1728" t="s">
        <v>40</v>
      </c>
      <c r="Y1728" t="s">
        <v>41</v>
      </c>
      <c r="Z1728">
        <v>501.246414611521</v>
      </c>
    </row>
    <row r="1729" spans="1:26" x14ac:dyDescent="0.3">
      <c r="A1729" t="s">
        <v>82</v>
      </c>
      <c r="B1729" t="s">
        <v>1785</v>
      </c>
      <c r="C1729">
        <v>42.106392720269298</v>
      </c>
      <c r="D1729">
        <v>78</v>
      </c>
      <c r="E1729">
        <v>570</v>
      </c>
      <c r="F1729">
        <v>9021.5439834497502</v>
      </c>
      <c r="G1729" t="s">
        <v>26</v>
      </c>
      <c r="H1729">
        <v>15</v>
      </c>
      <c r="I1729">
        <v>8</v>
      </c>
      <c r="J1729">
        <v>97</v>
      </c>
      <c r="K1729">
        <v>4</v>
      </c>
      <c r="L1729" t="s">
        <v>36</v>
      </c>
      <c r="M1729">
        <v>13.032727306036101</v>
      </c>
      <c r="N1729" t="s">
        <v>28</v>
      </c>
      <c r="O1729" t="s">
        <v>67</v>
      </c>
      <c r="P1729">
        <f>VLOOKUP(O1729, Coordinates!$A$2:$C$6, 2, FALSE)</f>
        <v>40.712800000000001</v>
      </c>
      <c r="Q1729">
        <f>VLOOKUP(O1729, Coordinates!$A$2:$C$6, 3, FALSE)</f>
        <v>-74.006</v>
      </c>
      <c r="R1729">
        <v>25</v>
      </c>
      <c r="S1729">
        <v>916</v>
      </c>
      <c r="T1729">
        <v>27</v>
      </c>
      <c r="U1729">
        <v>63.345756819989603</v>
      </c>
      <c r="V1729" t="s">
        <v>30</v>
      </c>
      <c r="W1729">
        <v>1.65756763278352</v>
      </c>
      <c r="X1729" t="s">
        <v>31</v>
      </c>
      <c r="Y1729" t="s">
        <v>41</v>
      </c>
      <c r="Z1729">
        <v>461.587906205156</v>
      </c>
    </row>
    <row r="1730" spans="1:26" x14ac:dyDescent="0.3">
      <c r="A1730" t="s">
        <v>82</v>
      </c>
      <c r="B1730" t="s">
        <v>1786</v>
      </c>
      <c r="C1730">
        <v>11.5861913868376</v>
      </c>
      <c r="D1730">
        <v>97</v>
      </c>
      <c r="E1730">
        <v>516</v>
      </c>
      <c r="F1730">
        <v>8234.9623786172797</v>
      </c>
      <c r="G1730" t="s">
        <v>26</v>
      </c>
      <c r="H1730">
        <v>38</v>
      </c>
      <c r="I1730">
        <v>15</v>
      </c>
      <c r="J1730">
        <v>29</v>
      </c>
      <c r="K1730">
        <v>4</v>
      </c>
      <c r="L1730" t="s">
        <v>27</v>
      </c>
      <c r="M1730">
        <v>7.0468856705145004</v>
      </c>
      <c r="N1730" t="s">
        <v>51</v>
      </c>
      <c r="O1730" t="s">
        <v>65</v>
      </c>
      <c r="P1730">
        <f>VLOOKUP(O1730, Coordinates!$A$2:$C$6, 2, FALSE)</f>
        <v>41.878100000000003</v>
      </c>
      <c r="Q1730">
        <f>VLOOKUP(O1730, Coordinates!$A$2:$C$6, 3, FALSE)</f>
        <v>-87.629800000000003</v>
      </c>
      <c r="R1730">
        <v>18</v>
      </c>
      <c r="S1730">
        <v>476</v>
      </c>
      <c r="T1730">
        <v>11</v>
      </c>
      <c r="U1730">
        <v>86.471635209460899</v>
      </c>
      <c r="V1730" t="s">
        <v>55</v>
      </c>
      <c r="W1730">
        <v>4.8184505914455702</v>
      </c>
      <c r="X1730" t="s">
        <v>40</v>
      </c>
      <c r="Y1730" t="s">
        <v>41</v>
      </c>
      <c r="Z1730">
        <v>931.51804879999997</v>
      </c>
    </row>
    <row r="1731" spans="1:26" x14ac:dyDescent="0.3">
      <c r="A1731" t="s">
        <v>82</v>
      </c>
      <c r="B1731" t="s">
        <v>1787</v>
      </c>
      <c r="C1731">
        <v>65.640612780223506</v>
      </c>
      <c r="D1731">
        <v>92</v>
      </c>
      <c r="E1731">
        <v>478</v>
      </c>
      <c r="F1731">
        <v>2656.3693133930201</v>
      </c>
      <c r="G1731" t="s">
        <v>35</v>
      </c>
      <c r="H1731">
        <v>14</v>
      </c>
      <c r="I1731">
        <v>29</v>
      </c>
      <c r="J1731">
        <v>85</v>
      </c>
      <c r="K1731">
        <v>7</v>
      </c>
      <c r="L1731" t="s">
        <v>44</v>
      </c>
      <c r="M1731">
        <v>1.5605779300070901</v>
      </c>
      <c r="N1731" t="s">
        <v>51</v>
      </c>
      <c r="O1731" t="s">
        <v>29</v>
      </c>
      <c r="P1731">
        <f>VLOOKUP(O1731, Coordinates!$A$2:$C$6, 2, FALSE)</f>
        <v>29.760400000000001</v>
      </c>
      <c r="Q1731">
        <f>VLOOKUP(O1731, Coordinates!$A$2:$C$6, 3, FALSE)</f>
        <v>-95.369799999999998</v>
      </c>
      <c r="R1731">
        <v>17</v>
      </c>
      <c r="S1731">
        <v>258</v>
      </c>
      <c r="T1731">
        <v>29</v>
      </c>
      <c r="U1731">
        <v>85.684838688807005</v>
      </c>
      <c r="V1731" t="s">
        <v>55</v>
      </c>
      <c r="W1731">
        <v>1.4993172486980799</v>
      </c>
      <c r="X1731" t="s">
        <v>52</v>
      </c>
      <c r="Y1731" t="s">
        <v>32</v>
      </c>
      <c r="Z1731">
        <v>543.81029182583302</v>
      </c>
    </row>
    <row r="1732" spans="1:26" x14ac:dyDescent="0.3">
      <c r="A1732" t="s">
        <v>82</v>
      </c>
      <c r="B1732" t="s">
        <v>1788</v>
      </c>
      <c r="C1732">
        <v>74.635343864693496</v>
      </c>
      <c r="D1732">
        <v>52</v>
      </c>
      <c r="E1732">
        <v>165</v>
      </c>
      <c r="F1732">
        <v>3663.3371408225898</v>
      </c>
      <c r="H1732">
        <v>32</v>
      </c>
      <c r="I1732">
        <v>13</v>
      </c>
      <c r="J1732">
        <v>98</v>
      </c>
      <c r="K1732">
        <v>7</v>
      </c>
      <c r="L1732" t="s">
        <v>36</v>
      </c>
      <c r="M1732">
        <v>1.2430970619999999</v>
      </c>
      <c r="N1732" t="s">
        <v>51</v>
      </c>
      <c r="O1732" t="s">
        <v>38</v>
      </c>
      <c r="P1732">
        <f>VLOOKUP(O1732, Coordinates!$A$2:$C$6, 2, FALSE)</f>
        <v>25.761700000000001</v>
      </c>
      <c r="Q1732">
        <f>VLOOKUP(O1732, Coordinates!$A$2:$C$6, 3, FALSE)</f>
        <v>-80.191800000000001</v>
      </c>
      <c r="R1732">
        <v>12</v>
      </c>
      <c r="S1732">
        <v>885</v>
      </c>
      <c r="T1732">
        <v>20</v>
      </c>
      <c r="U1732">
        <v>92.727537305458199</v>
      </c>
      <c r="V1732" t="s">
        <v>30</v>
      </c>
      <c r="W1732">
        <v>4.2724054763353596</v>
      </c>
      <c r="X1732" t="s">
        <v>46</v>
      </c>
      <c r="Y1732" t="s">
        <v>32</v>
      </c>
      <c r="Z1732">
        <v>528.68976221565094</v>
      </c>
    </row>
    <row r="1733" spans="1:26" x14ac:dyDescent="0.3">
      <c r="A1733" t="s">
        <v>42</v>
      </c>
      <c r="B1733" t="s">
        <v>1789</v>
      </c>
      <c r="C1733">
        <v>69.231912770887504</v>
      </c>
      <c r="D1733">
        <v>37</v>
      </c>
      <c r="E1733">
        <v>293</v>
      </c>
      <c r="F1733">
        <v>7453.43144836394</v>
      </c>
      <c r="H1733">
        <v>86</v>
      </c>
      <c r="I1733">
        <v>21</v>
      </c>
      <c r="J1733">
        <v>96</v>
      </c>
      <c r="K1733">
        <v>7</v>
      </c>
      <c r="L1733" t="s">
        <v>27</v>
      </c>
      <c r="M1733">
        <v>10.0543962051836</v>
      </c>
      <c r="N1733" t="s">
        <v>28</v>
      </c>
      <c r="O1733" t="s">
        <v>29</v>
      </c>
      <c r="P1733">
        <f>VLOOKUP(O1733, Coordinates!$A$2:$C$6, 2, FALSE)</f>
        <v>29.760400000000001</v>
      </c>
      <c r="Q1733">
        <f>VLOOKUP(O1733, Coordinates!$A$2:$C$6, 3, FALSE)</f>
        <v>-95.369799999999998</v>
      </c>
      <c r="R1733">
        <v>15</v>
      </c>
      <c r="S1733">
        <v>726</v>
      </c>
      <c r="T1733">
        <v>3</v>
      </c>
      <c r="U1733">
        <v>16.084182815119402</v>
      </c>
      <c r="V1733" t="s">
        <v>30</v>
      </c>
      <c r="W1733">
        <v>1.06002104577379</v>
      </c>
      <c r="X1733" t="s">
        <v>52</v>
      </c>
      <c r="Y1733" t="s">
        <v>41</v>
      </c>
      <c r="Z1733">
        <v>329.03928625058802</v>
      </c>
    </row>
    <row r="1734" spans="1:26" x14ac:dyDescent="0.3">
      <c r="A1734" t="s">
        <v>49</v>
      </c>
      <c r="B1734" t="s">
        <v>1790</v>
      </c>
      <c r="C1734">
        <v>18.151371866292401</v>
      </c>
      <c r="D1734">
        <v>8</v>
      </c>
      <c r="E1734">
        <v>204</v>
      </c>
      <c r="G1734" t="s">
        <v>48</v>
      </c>
      <c r="H1734">
        <v>52</v>
      </c>
      <c r="I1734">
        <v>13</v>
      </c>
      <c r="J1734">
        <v>41</v>
      </c>
      <c r="K1734">
        <v>7</v>
      </c>
      <c r="L1734" t="s">
        <v>27</v>
      </c>
      <c r="M1734">
        <v>8.5677436559455593</v>
      </c>
      <c r="N1734" t="s">
        <v>28</v>
      </c>
      <c r="O1734" t="s">
        <v>65</v>
      </c>
      <c r="P1734">
        <f>VLOOKUP(O1734, Coordinates!$A$2:$C$6, 2, FALSE)</f>
        <v>41.878100000000003</v>
      </c>
      <c r="Q1734">
        <f>VLOOKUP(O1734, Coordinates!$A$2:$C$6, 3, FALSE)</f>
        <v>-87.629800000000003</v>
      </c>
      <c r="R1734">
        <v>27</v>
      </c>
      <c r="S1734">
        <v>316</v>
      </c>
      <c r="T1734">
        <v>21</v>
      </c>
      <c r="U1734">
        <v>62.543770115209902</v>
      </c>
      <c r="V1734" t="s">
        <v>39</v>
      </c>
      <c r="W1734">
        <v>4.1324379418599504</v>
      </c>
      <c r="X1734" t="s">
        <v>40</v>
      </c>
      <c r="Y1734" t="s">
        <v>60</v>
      </c>
      <c r="Z1734">
        <v>141.690542510603</v>
      </c>
    </row>
    <row r="1735" spans="1:26" x14ac:dyDescent="0.3">
      <c r="A1735" t="s">
        <v>61</v>
      </c>
      <c r="B1735" t="s">
        <v>1791</v>
      </c>
      <c r="C1735">
        <v>59.989815960000001</v>
      </c>
      <c r="D1735">
        <v>44</v>
      </c>
      <c r="E1735">
        <v>792</v>
      </c>
      <c r="F1735">
        <v>8306.7552984932499</v>
      </c>
      <c r="G1735" t="s">
        <v>54</v>
      </c>
      <c r="H1735">
        <v>97</v>
      </c>
      <c r="I1735">
        <v>17</v>
      </c>
      <c r="J1735">
        <v>60</v>
      </c>
      <c r="K1735">
        <v>2</v>
      </c>
      <c r="L1735" t="s">
        <v>36</v>
      </c>
      <c r="M1735">
        <v>8.5984250069880392</v>
      </c>
      <c r="N1735" t="s">
        <v>51</v>
      </c>
      <c r="O1735" t="s">
        <v>38</v>
      </c>
      <c r="P1735">
        <f>VLOOKUP(O1735, Coordinates!$A$2:$C$6, 2, FALSE)</f>
        <v>25.761700000000001</v>
      </c>
      <c r="Q1735">
        <f>VLOOKUP(O1735, Coordinates!$A$2:$C$6, 3, FALSE)</f>
        <v>-80.191800000000001</v>
      </c>
      <c r="R1735">
        <v>27</v>
      </c>
      <c r="S1735">
        <v>872</v>
      </c>
      <c r="T1735">
        <v>21</v>
      </c>
      <c r="U1735">
        <v>52.155333205394399</v>
      </c>
      <c r="V1735" t="s">
        <v>30</v>
      </c>
      <c r="W1735">
        <v>1.7686519877859099</v>
      </c>
      <c r="X1735" t="s">
        <v>46</v>
      </c>
      <c r="Y1735" t="s">
        <v>60</v>
      </c>
      <c r="Z1735">
        <v>369.53029400000003</v>
      </c>
    </row>
    <row r="1736" spans="1:26" x14ac:dyDescent="0.3">
      <c r="A1736" t="s">
        <v>82</v>
      </c>
      <c r="B1736" t="s">
        <v>1792</v>
      </c>
      <c r="C1736">
        <v>59.1010259963641</v>
      </c>
      <c r="D1736">
        <v>98</v>
      </c>
      <c r="E1736">
        <v>532</v>
      </c>
      <c r="F1736">
        <v>7470.1625014431102</v>
      </c>
      <c r="H1736">
        <v>16</v>
      </c>
      <c r="I1736">
        <v>15</v>
      </c>
      <c r="J1736">
        <v>97</v>
      </c>
      <c r="K1736">
        <v>5</v>
      </c>
      <c r="L1736" t="s">
        <v>36</v>
      </c>
      <c r="M1736">
        <v>12.0601262243982</v>
      </c>
      <c r="N1736" t="s">
        <v>51</v>
      </c>
      <c r="O1736" t="s">
        <v>67</v>
      </c>
      <c r="P1736">
        <f>VLOOKUP(O1736, Coordinates!$A$2:$C$6, 2, FALSE)</f>
        <v>40.712800000000001</v>
      </c>
      <c r="Q1736">
        <f>VLOOKUP(O1736, Coordinates!$A$2:$C$6, 3, FALSE)</f>
        <v>-74.006</v>
      </c>
      <c r="R1736">
        <v>27</v>
      </c>
      <c r="S1736">
        <v>769</v>
      </c>
      <c r="T1736">
        <v>30</v>
      </c>
      <c r="U1736">
        <v>54.148814511820497</v>
      </c>
      <c r="V1736" t="s">
        <v>39</v>
      </c>
      <c r="W1736">
        <v>0.97861759971475604</v>
      </c>
      <c r="X1736" t="s">
        <v>52</v>
      </c>
      <c r="Y1736" t="s">
        <v>32</v>
      </c>
      <c r="Z1736">
        <v>124.48736201024801</v>
      </c>
    </row>
    <row r="1737" spans="1:26" x14ac:dyDescent="0.3">
      <c r="A1737" t="s">
        <v>24</v>
      </c>
      <c r="B1737" t="s">
        <v>1793</v>
      </c>
      <c r="C1737">
        <v>26.022352364967301</v>
      </c>
      <c r="D1737">
        <v>5</v>
      </c>
      <c r="E1737">
        <v>921</v>
      </c>
      <c r="F1737">
        <v>21569.927875321398</v>
      </c>
      <c r="G1737" t="s">
        <v>54</v>
      </c>
      <c r="H1737">
        <v>88</v>
      </c>
      <c r="I1737">
        <v>25</v>
      </c>
      <c r="J1737">
        <v>51</v>
      </c>
      <c r="K1737">
        <v>10</v>
      </c>
      <c r="L1737" t="s">
        <v>27</v>
      </c>
      <c r="M1737">
        <v>6.2600832849560701</v>
      </c>
      <c r="N1737" t="s">
        <v>28</v>
      </c>
      <c r="O1737" t="s">
        <v>58</v>
      </c>
      <c r="P1737">
        <f>VLOOKUP(O1737, Coordinates!$A$2:$C$6, 2, FALSE)</f>
        <v>34.052199999999999</v>
      </c>
      <c r="Q1737">
        <f>VLOOKUP(O1737, Coordinates!$A$2:$C$6, 3, FALSE)</f>
        <v>-118.2437</v>
      </c>
      <c r="R1737">
        <v>26</v>
      </c>
      <c r="S1737">
        <v>144</v>
      </c>
      <c r="T1737">
        <v>7</v>
      </c>
      <c r="U1737">
        <v>90.039188010000004</v>
      </c>
      <c r="V1737" t="s">
        <v>39</v>
      </c>
      <c r="W1737">
        <v>4.6738995371181504</v>
      </c>
      <c r="X1737" t="s">
        <v>46</v>
      </c>
      <c r="Y1737" t="s">
        <v>32</v>
      </c>
      <c r="Z1737">
        <v>844.09682485884605</v>
      </c>
    </row>
    <row r="1738" spans="1:26" x14ac:dyDescent="0.3">
      <c r="A1738" t="s">
        <v>49</v>
      </c>
      <c r="B1738" t="s">
        <v>1794</v>
      </c>
      <c r="C1738">
        <v>41.0171275456864</v>
      </c>
      <c r="D1738">
        <v>69</v>
      </c>
      <c r="E1738">
        <v>689</v>
      </c>
      <c r="F1738">
        <v>1902.17233240832</v>
      </c>
      <c r="G1738" t="s">
        <v>35</v>
      </c>
      <c r="H1738">
        <v>5</v>
      </c>
      <c r="I1738">
        <v>22</v>
      </c>
      <c r="J1738">
        <v>72</v>
      </c>
      <c r="K1738">
        <v>2</v>
      </c>
      <c r="L1738" t="s">
        <v>27</v>
      </c>
      <c r="M1738">
        <v>14.9362579663297</v>
      </c>
      <c r="N1738" t="s">
        <v>51</v>
      </c>
      <c r="O1738" t="s">
        <v>58</v>
      </c>
      <c r="P1738">
        <f>VLOOKUP(O1738, Coordinates!$A$2:$C$6, 2, FALSE)</f>
        <v>34.052199999999999</v>
      </c>
      <c r="Q1738">
        <f>VLOOKUP(O1738, Coordinates!$A$2:$C$6, 3, FALSE)</f>
        <v>-118.2437</v>
      </c>
      <c r="R1738">
        <v>29</v>
      </c>
      <c r="S1738">
        <v>731</v>
      </c>
      <c r="T1738">
        <v>11</v>
      </c>
      <c r="U1738">
        <v>85.3720020480106</v>
      </c>
      <c r="V1738" t="s">
        <v>55</v>
      </c>
      <c r="W1738">
        <v>1.0709216621433399</v>
      </c>
      <c r="X1738" t="s">
        <v>52</v>
      </c>
      <c r="Y1738" t="s">
        <v>32</v>
      </c>
      <c r="Z1738">
        <v>283.85889767349698</v>
      </c>
    </row>
    <row r="1739" spans="1:26" x14ac:dyDescent="0.3">
      <c r="A1739" t="s">
        <v>49</v>
      </c>
      <c r="B1739" t="s">
        <v>1795</v>
      </c>
      <c r="C1739">
        <v>40.291164647646198</v>
      </c>
      <c r="D1739">
        <v>31</v>
      </c>
      <c r="E1739">
        <v>507</v>
      </c>
      <c r="F1739">
        <v>7459.8449033460702</v>
      </c>
      <c r="G1739" t="s">
        <v>48</v>
      </c>
      <c r="H1739">
        <v>30</v>
      </c>
      <c r="I1739">
        <v>19</v>
      </c>
      <c r="J1739">
        <v>98</v>
      </c>
      <c r="K1739">
        <v>5</v>
      </c>
      <c r="L1739" t="s">
        <v>36</v>
      </c>
      <c r="M1739">
        <v>14.2374214085379</v>
      </c>
      <c r="N1739" t="s">
        <v>28</v>
      </c>
      <c r="O1739" t="s">
        <v>38</v>
      </c>
      <c r="P1739">
        <f>VLOOKUP(O1739, Coordinates!$A$2:$C$6, 2, FALSE)</f>
        <v>25.761700000000001</v>
      </c>
      <c r="Q1739">
        <f>VLOOKUP(O1739, Coordinates!$A$2:$C$6, 3, FALSE)</f>
        <v>-80.191800000000001</v>
      </c>
      <c r="R1739">
        <v>19</v>
      </c>
      <c r="S1739">
        <v>314</v>
      </c>
      <c r="T1739">
        <v>17</v>
      </c>
      <c r="U1739">
        <v>38.658960767524398</v>
      </c>
      <c r="V1739" t="s">
        <v>55</v>
      </c>
      <c r="W1739">
        <v>4.9591761287961997</v>
      </c>
      <c r="X1739" t="s">
        <v>46</v>
      </c>
      <c r="Y1739" t="s">
        <v>41</v>
      </c>
      <c r="Z1739">
        <v>920.07417605246701</v>
      </c>
    </row>
    <row r="1740" spans="1:26" x14ac:dyDescent="0.3">
      <c r="A1740" t="s">
        <v>61</v>
      </c>
      <c r="B1740" t="s">
        <v>1796</v>
      </c>
      <c r="C1740">
        <v>63.760070578227598</v>
      </c>
      <c r="D1740">
        <v>45</v>
      </c>
      <c r="E1740">
        <v>252</v>
      </c>
      <c r="F1740">
        <v>7118.3631269999996</v>
      </c>
      <c r="G1740" t="s">
        <v>48</v>
      </c>
      <c r="H1740">
        <v>68</v>
      </c>
      <c r="I1740">
        <v>3</v>
      </c>
      <c r="J1740">
        <v>70</v>
      </c>
      <c r="K1740">
        <v>6</v>
      </c>
      <c r="L1740" t="s">
        <v>36</v>
      </c>
      <c r="M1740">
        <v>1.18146474020954</v>
      </c>
      <c r="N1740" t="s">
        <v>45</v>
      </c>
      <c r="O1740" t="s">
        <v>38</v>
      </c>
      <c r="P1740">
        <f>VLOOKUP(O1740, Coordinates!$A$2:$C$6, 2, FALSE)</f>
        <v>25.761700000000001</v>
      </c>
      <c r="Q1740">
        <f>VLOOKUP(O1740, Coordinates!$A$2:$C$6, 3, FALSE)</f>
        <v>-80.191800000000001</v>
      </c>
      <c r="R1740">
        <v>25</v>
      </c>
      <c r="S1740">
        <v>610</v>
      </c>
      <c r="T1740">
        <v>25</v>
      </c>
      <c r="U1740">
        <v>51.647597346680001</v>
      </c>
      <c r="V1740" t="s">
        <v>39</v>
      </c>
      <c r="W1740">
        <v>3.8560600936362999</v>
      </c>
      <c r="X1740" t="s">
        <v>46</v>
      </c>
      <c r="Y1740" t="s">
        <v>60</v>
      </c>
      <c r="Z1740">
        <v>897.25244159023998</v>
      </c>
    </row>
    <row r="1741" spans="1:26" x14ac:dyDescent="0.3">
      <c r="A1741" t="s">
        <v>42</v>
      </c>
      <c r="B1741" t="s">
        <v>1797</v>
      </c>
      <c r="C1741">
        <v>65.141902082453697</v>
      </c>
      <c r="D1741">
        <v>9</v>
      </c>
      <c r="E1741">
        <v>387</v>
      </c>
      <c r="F1741">
        <v>8478.3024173966496</v>
      </c>
      <c r="G1741" t="s">
        <v>54</v>
      </c>
      <c r="H1741">
        <v>39</v>
      </c>
      <c r="I1741">
        <v>14</v>
      </c>
      <c r="J1741">
        <v>71</v>
      </c>
      <c r="K1741">
        <v>3</v>
      </c>
      <c r="L1741" t="s">
        <v>44</v>
      </c>
      <c r="M1741">
        <v>13.540398754782499</v>
      </c>
      <c r="N1741" t="s">
        <v>57</v>
      </c>
      <c r="O1741" t="s">
        <v>38</v>
      </c>
      <c r="P1741">
        <f>VLOOKUP(O1741, Coordinates!$A$2:$C$6, 2, FALSE)</f>
        <v>25.761700000000001</v>
      </c>
      <c r="Q1741">
        <f>VLOOKUP(O1741, Coordinates!$A$2:$C$6, 3, FALSE)</f>
        <v>-80.191800000000001</v>
      </c>
      <c r="R1741">
        <v>15</v>
      </c>
      <c r="S1741">
        <v>227</v>
      </c>
      <c r="T1741">
        <v>18</v>
      </c>
      <c r="U1741">
        <v>28.061428861097699</v>
      </c>
      <c r="V1741" t="s">
        <v>39</v>
      </c>
      <c r="W1741">
        <v>5.0103916999999998E-2</v>
      </c>
      <c r="X1741" t="s">
        <v>40</v>
      </c>
      <c r="Y1741" t="s">
        <v>60</v>
      </c>
      <c r="Z1741">
        <v>698.22628861088197</v>
      </c>
    </row>
    <row r="1742" spans="1:26" x14ac:dyDescent="0.3">
      <c r="A1742" t="s">
        <v>33</v>
      </c>
      <c r="B1742" t="s">
        <v>1798</v>
      </c>
      <c r="C1742">
        <v>49.582096595949999</v>
      </c>
      <c r="D1742">
        <v>32</v>
      </c>
      <c r="E1742">
        <v>222</v>
      </c>
      <c r="F1742">
        <v>1374.3636063082199</v>
      </c>
      <c r="G1742" t="s">
        <v>48</v>
      </c>
      <c r="H1742">
        <v>29</v>
      </c>
      <c r="I1742">
        <v>30</v>
      </c>
      <c r="J1742">
        <v>12</v>
      </c>
      <c r="K1742">
        <v>6</v>
      </c>
      <c r="L1742" t="s">
        <v>44</v>
      </c>
      <c r="M1742">
        <v>10.52769511</v>
      </c>
      <c r="N1742" t="s">
        <v>57</v>
      </c>
      <c r="O1742" t="s">
        <v>29</v>
      </c>
      <c r="P1742">
        <f>VLOOKUP(O1742, Coordinates!$A$2:$C$6, 2, FALSE)</f>
        <v>29.760400000000001</v>
      </c>
      <c r="Q1742">
        <f>VLOOKUP(O1742, Coordinates!$A$2:$C$6, 3, FALSE)</f>
        <v>-95.369799999999998</v>
      </c>
      <c r="R1742">
        <v>13</v>
      </c>
      <c r="S1742">
        <v>353</v>
      </c>
      <c r="T1742">
        <v>25</v>
      </c>
      <c r="U1742">
        <v>32.654495433226103</v>
      </c>
      <c r="V1742" t="s">
        <v>30</v>
      </c>
      <c r="W1742">
        <v>4.3539677303854099</v>
      </c>
      <c r="X1742" t="s">
        <v>31</v>
      </c>
      <c r="Y1742" t="s">
        <v>32</v>
      </c>
      <c r="Z1742">
        <v>876.28931321741095</v>
      </c>
    </row>
    <row r="1743" spans="1:26" x14ac:dyDescent="0.3">
      <c r="A1743" t="s">
        <v>33</v>
      </c>
      <c r="B1743" t="s">
        <v>1799</v>
      </c>
      <c r="C1743">
        <v>47.090639420000002</v>
      </c>
      <c r="D1743">
        <v>33</v>
      </c>
      <c r="E1743">
        <v>91</v>
      </c>
      <c r="F1743">
        <v>1207.9960162101199</v>
      </c>
      <c r="H1743">
        <v>68</v>
      </c>
      <c r="I1743">
        <v>10</v>
      </c>
      <c r="J1743">
        <v>98</v>
      </c>
      <c r="K1743">
        <v>5</v>
      </c>
      <c r="L1743" t="s">
        <v>44</v>
      </c>
      <c r="M1743">
        <v>8.0292647154244801</v>
      </c>
      <c r="N1743" t="s">
        <v>28</v>
      </c>
      <c r="O1743" t="s">
        <v>29</v>
      </c>
      <c r="P1743">
        <f>VLOOKUP(O1743, Coordinates!$A$2:$C$6, 2, FALSE)</f>
        <v>29.760400000000001</v>
      </c>
      <c r="Q1743">
        <f>VLOOKUP(O1743, Coordinates!$A$2:$C$6, 3, FALSE)</f>
        <v>-95.369799999999998</v>
      </c>
      <c r="R1743">
        <v>7</v>
      </c>
      <c r="S1743">
        <v>649</v>
      </c>
      <c r="T1743">
        <v>9</v>
      </c>
      <c r="U1743">
        <v>69.437807500948693</v>
      </c>
      <c r="V1743" t="s">
        <v>55</v>
      </c>
      <c r="W1743">
        <v>2.9330220415424</v>
      </c>
      <c r="X1743" t="s">
        <v>40</v>
      </c>
      <c r="Y1743" t="s">
        <v>32</v>
      </c>
      <c r="Z1743">
        <v>890.12353162577199</v>
      </c>
    </row>
    <row r="1744" spans="1:26" x14ac:dyDescent="0.3">
      <c r="A1744" t="s">
        <v>49</v>
      </c>
      <c r="B1744" t="s">
        <v>1800</v>
      </c>
      <c r="C1744">
        <v>51.944028710598801</v>
      </c>
      <c r="D1744">
        <v>67</v>
      </c>
      <c r="E1744">
        <v>86</v>
      </c>
      <c r="F1744">
        <v>4357.0638989070403</v>
      </c>
      <c r="G1744" t="s">
        <v>48</v>
      </c>
      <c r="H1744">
        <v>75</v>
      </c>
      <c r="I1744">
        <v>17</v>
      </c>
      <c r="J1744">
        <v>85</v>
      </c>
      <c r="K1744">
        <v>4</v>
      </c>
      <c r="L1744" t="s">
        <v>36</v>
      </c>
      <c r="M1744">
        <v>9.1584646373165892</v>
      </c>
      <c r="N1744" t="s">
        <v>51</v>
      </c>
      <c r="O1744" t="s">
        <v>58</v>
      </c>
      <c r="P1744">
        <f>VLOOKUP(O1744, Coordinates!$A$2:$C$6, 2, FALSE)</f>
        <v>34.052199999999999</v>
      </c>
      <c r="Q1744">
        <f>VLOOKUP(O1744, Coordinates!$A$2:$C$6, 3, FALSE)</f>
        <v>-118.2437</v>
      </c>
      <c r="R1744">
        <v>11</v>
      </c>
      <c r="S1744">
        <v>976</v>
      </c>
      <c r="T1744">
        <v>13</v>
      </c>
      <c r="U1744">
        <v>20.5242344425595</v>
      </c>
      <c r="V1744" t="s">
        <v>55</v>
      </c>
      <c r="W1744">
        <v>2.1081315103751499</v>
      </c>
      <c r="X1744" t="s">
        <v>46</v>
      </c>
      <c r="Y1744" t="s">
        <v>32</v>
      </c>
      <c r="Z1744">
        <v>798.711744926493</v>
      </c>
    </row>
    <row r="1745" spans="1:26" x14ac:dyDescent="0.3">
      <c r="A1745" t="s">
        <v>72</v>
      </c>
      <c r="B1745" t="s">
        <v>1801</v>
      </c>
      <c r="C1745">
        <v>23.170697623130302</v>
      </c>
      <c r="D1745">
        <v>30</v>
      </c>
      <c r="E1745">
        <v>66</v>
      </c>
      <c r="F1745">
        <v>1376.33943881394</v>
      </c>
      <c r="G1745" t="s">
        <v>26</v>
      </c>
      <c r="H1745">
        <v>6</v>
      </c>
      <c r="I1745">
        <v>29</v>
      </c>
      <c r="J1745">
        <v>35</v>
      </c>
      <c r="K1745">
        <v>10</v>
      </c>
      <c r="L1745" t="s">
        <v>36</v>
      </c>
      <c r="M1745">
        <v>12.786003089999999</v>
      </c>
      <c r="N1745" t="s">
        <v>57</v>
      </c>
      <c r="O1745" t="s">
        <v>67</v>
      </c>
      <c r="P1745">
        <f>VLOOKUP(O1745, Coordinates!$A$2:$C$6, 2, FALSE)</f>
        <v>40.712800000000001</v>
      </c>
      <c r="Q1745">
        <f>VLOOKUP(O1745, Coordinates!$A$2:$C$6, 3, FALSE)</f>
        <v>-74.006</v>
      </c>
      <c r="R1745">
        <v>8</v>
      </c>
      <c r="S1745">
        <v>821</v>
      </c>
      <c r="T1745">
        <v>29</v>
      </c>
      <c r="U1745">
        <v>86.417799380000005</v>
      </c>
      <c r="V1745" t="s">
        <v>30</v>
      </c>
      <c r="W1745">
        <v>0.40981962799999999</v>
      </c>
      <c r="X1745" t="s">
        <v>46</v>
      </c>
      <c r="Y1745" t="s">
        <v>32</v>
      </c>
      <c r="Z1745">
        <v>557.13513946142996</v>
      </c>
    </row>
    <row r="1746" spans="1:26" x14ac:dyDescent="0.3">
      <c r="A1746" t="s">
        <v>72</v>
      </c>
      <c r="B1746" t="s">
        <v>1802</v>
      </c>
      <c r="C1746">
        <v>28.6765272644049</v>
      </c>
      <c r="D1746">
        <v>76</v>
      </c>
      <c r="E1746">
        <v>803</v>
      </c>
      <c r="F1746">
        <v>20724.526253985401</v>
      </c>
      <c r="G1746" t="s">
        <v>54</v>
      </c>
      <c r="H1746">
        <v>12</v>
      </c>
      <c r="I1746">
        <v>8</v>
      </c>
      <c r="J1746">
        <v>57</v>
      </c>
      <c r="K1746">
        <v>9</v>
      </c>
      <c r="L1746" t="s">
        <v>36</v>
      </c>
      <c r="M1746">
        <v>14.314523489022299</v>
      </c>
      <c r="N1746" t="s">
        <v>37</v>
      </c>
      <c r="O1746" t="s">
        <v>65</v>
      </c>
      <c r="P1746">
        <f>VLOOKUP(O1746, Coordinates!$A$2:$C$6, 2, FALSE)</f>
        <v>41.878100000000003</v>
      </c>
      <c r="Q1746">
        <f>VLOOKUP(O1746, Coordinates!$A$2:$C$6, 3, FALSE)</f>
        <v>-87.629800000000003</v>
      </c>
      <c r="R1746">
        <v>20</v>
      </c>
      <c r="S1746">
        <v>451</v>
      </c>
      <c r="T1746">
        <v>30</v>
      </c>
      <c r="U1746">
        <v>92.675132007890994</v>
      </c>
      <c r="V1746" t="s">
        <v>30</v>
      </c>
      <c r="W1746">
        <v>2.8744626549084602</v>
      </c>
      <c r="X1746" t="s">
        <v>40</v>
      </c>
      <c r="Y1746" t="s">
        <v>41</v>
      </c>
      <c r="Z1746">
        <v>955.04182820000005</v>
      </c>
    </row>
    <row r="1747" spans="1:26" x14ac:dyDescent="0.3">
      <c r="A1747" t="s">
        <v>61</v>
      </c>
      <c r="B1747" t="s">
        <v>1803</v>
      </c>
      <c r="C1747">
        <v>94.293520237133094</v>
      </c>
      <c r="D1747">
        <v>29</v>
      </c>
      <c r="E1747">
        <v>504</v>
      </c>
      <c r="F1747">
        <v>9256.1401139999998</v>
      </c>
      <c r="G1747" t="s">
        <v>35</v>
      </c>
      <c r="H1747">
        <v>3</v>
      </c>
      <c r="I1747">
        <v>18</v>
      </c>
      <c r="J1747">
        <v>17</v>
      </c>
      <c r="K1747">
        <v>8</v>
      </c>
      <c r="L1747" t="s">
        <v>27</v>
      </c>
      <c r="M1747">
        <v>8.8446707463101895</v>
      </c>
      <c r="N1747" t="s">
        <v>51</v>
      </c>
      <c r="O1747" t="s">
        <v>67</v>
      </c>
      <c r="P1747">
        <f>VLOOKUP(O1747, Coordinates!$A$2:$C$6, 2, FALSE)</f>
        <v>40.712800000000001</v>
      </c>
      <c r="Q1747">
        <f>VLOOKUP(O1747, Coordinates!$A$2:$C$6, 3, FALSE)</f>
        <v>-74.006</v>
      </c>
      <c r="R1747">
        <v>16</v>
      </c>
      <c r="S1747">
        <v>705</v>
      </c>
      <c r="T1747">
        <v>15</v>
      </c>
      <c r="U1747">
        <v>13.9395725166712</v>
      </c>
      <c r="V1747" t="s">
        <v>30</v>
      </c>
      <c r="W1747">
        <v>1.9686279261794899</v>
      </c>
      <c r="X1747" t="s">
        <v>52</v>
      </c>
      <c r="Y1747" t="s">
        <v>60</v>
      </c>
      <c r="Z1747">
        <v>835.96695473229602</v>
      </c>
    </row>
    <row r="1748" spans="1:26" x14ac:dyDescent="0.3">
      <c r="A1748" t="s">
        <v>33</v>
      </c>
      <c r="B1748" t="s">
        <v>1804</v>
      </c>
      <c r="C1748">
        <v>52.880357541650902</v>
      </c>
      <c r="D1748">
        <v>3</v>
      </c>
      <c r="E1748">
        <v>46</v>
      </c>
      <c r="F1748">
        <v>4523.3175730061403</v>
      </c>
      <c r="H1748">
        <v>49</v>
      </c>
      <c r="I1748">
        <v>12</v>
      </c>
      <c r="J1748">
        <v>14</v>
      </c>
      <c r="K1748">
        <v>7</v>
      </c>
      <c r="L1748" t="s">
        <v>36</v>
      </c>
      <c r="M1748">
        <v>3.5380802606402502</v>
      </c>
      <c r="N1748" t="s">
        <v>28</v>
      </c>
      <c r="O1748" t="s">
        <v>65</v>
      </c>
      <c r="P1748">
        <f>VLOOKUP(O1748, Coordinates!$A$2:$C$6, 2, FALSE)</f>
        <v>41.878100000000003</v>
      </c>
      <c r="Q1748">
        <f>VLOOKUP(O1748, Coordinates!$A$2:$C$6, 3, FALSE)</f>
        <v>-87.629800000000003</v>
      </c>
      <c r="R1748">
        <v>24</v>
      </c>
      <c r="S1748">
        <v>640</v>
      </c>
      <c r="T1748">
        <v>19</v>
      </c>
      <c r="U1748">
        <v>21.423429947835199</v>
      </c>
      <c r="V1748" t="s">
        <v>39</v>
      </c>
      <c r="W1748">
        <v>2.4181095649434101</v>
      </c>
      <c r="X1748" t="s">
        <v>46</v>
      </c>
      <c r="Y1748" t="s">
        <v>41</v>
      </c>
      <c r="Z1748">
        <v>214.28650796978701</v>
      </c>
    </row>
    <row r="1749" spans="1:26" x14ac:dyDescent="0.3">
      <c r="A1749" t="s">
        <v>49</v>
      </c>
      <c r="B1749" t="s">
        <v>1805</v>
      </c>
      <c r="C1749">
        <v>95.174065852184597</v>
      </c>
      <c r="D1749">
        <v>90</v>
      </c>
      <c r="E1749">
        <v>16</v>
      </c>
      <c r="F1749">
        <v>8604.5533954534294</v>
      </c>
      <c r="G1749" t="s">
        <v>35</v>
      </c>
      <c r="H1749">
        <v>2</v>
      </c>
      <c r="I1749">
        <v>17</v>
      </c>
      <c r="J1749">
        <v>20</v>
      </c>
      <c r="K1749">
        <v>1</v>
      </c>
      <c r="L1749" t="s">
        <v>27</v>
      </c>
      <c r="M1749">
        <v>9.9565557735117007</v>
      </c>
      <c r="N1749" t="s">
        <v>37</v>
      </c>
      <c r="O1749" t="s">
        <v>58</v>
      </c>
      <c r="P1749">
        <f>VLOOKUP(O1749, Coordinates!$A$2:$C$6, 2, FALSE)</f>
        <v>34.052199999999999</v>
      </c>
      <c r="Q1749">
        <f>VLOOKUP(O1749, Coordinates!$A$2:$C$6, 3, FALSE)</f>
        <v>-118.2437</v>
      </c>
      <c r="R1749">
        <v>23</v>
      </c>
      <c r="S1749">
        <v>263</v>
      </c>
      <c r="T1749">
        <v>15</v>
      </c>
      <c r="U1749">
        <v>87.701764510000004</v>
      </c>
      <c r="V1749" t="s">
        <v>30</v>
      </c>
      <c r="W1749">
        <v>3.1519593070110399</v>
      </c>
      <c r="X1749" t="s">
        <v>52</v>
      </c>
      <c r="Y1749" t="s">
        <v>60</v>
      </c>
      <c r="Z1749">
        <v>477.91746213584798</v>
      </c>
    </row>
    <row r="1750" spans="1:26" x14ac:dyDescent="0.3">
      <c r="A1750" t="s">
        <v>42</v>
      </c>
      <c r="B1750" t="s">
        <v>1806</v>
      </c>
      <c r="C1750">
        <v>84.119030679999995</v>
      </c>
      <c r="D1750">
        <v>57</v>
      </c>
      <c r="E1750">
        <v>837</v>
      </c>
      <c r="F1750">
        <v>1002.16787066079</v>
      </c>
      <c r="G1750" t="s">
        <v>48</v>
      </c>
      <c r="H1750">
        <v>11</v>
      </c>
      <c r="I1750">
        <v>23</v>
      </c>
      <c r="J1750">
        <v>51</v>
      </c>
      <c r="K1750">
        <v>9</v>
      </c>
      <c r="L1750" t="s">
        <v>36</v>
      </c>
      <c r="M1750">
        <v>2.0670655574401202</v>
      </c>
      <c r="N1750" t="s">
        <v>28</v>
      </c>
      <c r="O1750" t="s">
        <v>65</v>
      </c>
      <c r="P1750">
        <f>VLOOKUP(O1750, Coordinates!$A$2:$C$6, 2, FALSE)</f>
        <v>41.878100000000003</v>
      </c>
      <c r="Q1750">
        <f>VLOOKUP(O1750, Coordinates!$A$2:$C$6, 3, FALSE)</f>
        <v>-87.629800000000003</v>
      </c>
      <c r="R1750">
        <v>11</v>
      </c>
      <c r="S1750">
        <v>748</v>
      </c>
      <c r="T1750">
        <v>7</v>
      </c>
      <c r="U1750">
        <v>86.153208921549606</v>
      </c>
      <c r="V1750" t="s">
        <v>39</v>
      </c>
      <c r="W1750">
        <v>3.1996680281528098</v>
      </c>
      <c r="X1750" t="s">
        <v>40</v>
      </c>
      <c r="Y1750" t="s">
        <v>41</v>
      </c>
      <c r="Z1750">
        <v>585.72206822601595</v>
      </c>
    </row>
    <row r="1751" spans="1:26" x14ac:dyDescent="0.3">
      <c r="A1751" t="s">
        <v>33</v>
      </c>
      <c r="B1751" t="s">
        <v>1807</v>
      </c>
      <c r="C1751">
        <v>39.430975648503697</v>
      </c>
      <c r="D1751">
        <v>30</v>
      </c>
      <c r="E1751">
        <v>750</v>
      </c>
      <c r="F1751">
        <v>2516.6317911326501</v>
      </c>
      <c r="G1751" t="s">
        <v>26</v>
      </c>
      <c r="H1751">
        <v>64</v>
      </c>
      <c r="I1751">
        <v>30</v>
      </c>
      <c r="J1751">
        <v>100</v>
      </c>
      <c r="K1751">
        <v>9</v>
      </c>
      <c r="L1751" t="s">
        <v>36</v>
      </c>
      <c r="M1751">
        <v>9.8919423156881408</v>
      </c>
      <c r="N1751" t="s">
        <v>51</v>
      </c>
      <c r="O1751" t="s">
        <v>29</v>
      </c>
      <c r="P1751">
        <f>VLOOKUP(O1751, Coordinates!$A$2:$C$6, 2, FALSE)</f>
        <v>29.760400000000001</v>
      </c>
      <c r="Q1751">
        <f>VLOOKUP(O1751, Coordinates!$A$2:$C$6, 3, FALSE)</f>
        <v>-95.369799999999998</v>
      </c>
      <c r="R1751">
        <v>24</v>
      </c>
      <c r="S1751">
        <v>634</v>
      </c>
      <c r="T1751">
        <v>3</v>
      </c>
      <c r="U1751">
        <v>41.299849454228301</v>
      </c>
      <c r="V1751" t="s">
        <v>39</v>
      </c>
      <c r="W1751">
        <v>4.8029962067651901</v>
      </c>
      <c r="X1751" t="s">
        <v>31</v>
      </c>
      <c r="Y1751" t="s">
        <v>60</v>
      </c>
      <c r="Z1751">
        <v>576.47305591911095</v>
      </c>
    </row>
    <row r="1752" spans="1:26" x14ac:dyDescent="0.3">
      <c r="A1752" t="s">
        <v>49</v>
      </c>
      <c r="B1752" t="s">
        <v>1808</v>
      </c>
      <c r="C1752">
        <v>87.045935023178501</v>
      </c>
      <c r="D1752">
        <v>9</v>
      </c>
      <c r="E1752">
        <v>845</v>
      </c>
      <c r="F1752">
        <v>1273.8118568867701</v>
      </c>
      <c r="G1752" t="s">
        <v>48</v>
      </c>
      <c r="H1752">
        <v>26</v>
      </c>
      <c r="I1752">
        <v>11</v>
      </c>
      <c r="J1752">
        <v>50</v>
      </c>
      <c r="K1752">
        <v>6</v>
      </c>
      <c r="L1752" t="s">
        <v>27</v>
      </c>
      <c r="M1752">
        <v>12.320565235376201</v>
      </c>
      <c r="N1752" t="s">
        <v>45</v>
      </c>
      <c r="O1752" t="s">
        <v>38</v>
      </c>
      <c r="P1752">
        <f>VLOOKUP(O1752, Coordinates!$A$2:$C$6, 2, FALSE)</f>
        <v>25.761700000000001</v>
      </c>
      <c r="Q1752">
        <f>VLOOKUP(O1752, Coordinates!$A$2:$C$6, 3, FALSE)</f>
        <v>-80.191800000000001</v>
      </c>
      <c r="R1752">
        <v>26</v>
      </c>
      <c r="S1752">
        <v>230</v>
      </c>
      <c r="T1752">
        <v>24</v>
      </c>
      <c r="U1752">
        <v>41.319218378006497</v>
      </c>
      <c r="V1752" t="s">
        <v>39</v>
      </c>
      <c r="W1752">
        <v>4.8177148332802702</v>
      </c>
      <c r="X1752" t="s">
        <v>31</v>
      </c>
      <c r="Y1752" t="s">
        <v>41</v>
      </c>
      <c r="Z1752">
        <v>441.58131381104698</v>
      </c>
    </row>
    <row r="1753" spans="1:26" x14ac:dyDescent="0.3">
      <c r="A1753" t="s">
        <v>49</v>
      </c>
      <c r="B1753" t="s">
        <v>1809</v>
      </c>
      <c r="C1753">
        <v>15.4560119991059</v>
      </c>
      <c r="D1753">
        <v>26</v>
      </c>
      <c r="E1753">
        <v>647</v>
      </c>
      <c r="F1753">
        <v>3953.3246246356098</v>
      </c>
      <c r="G1753" t="s">
        <v>54</v>
      </c>
      <c r="H1753">
        <v>49</v>
      </c>
      <c r="I1753">
        <v>9</v>
      </c>
      <c r="J1753">
        <v>28</v>
      </c>
      <c r="K1753">
        <v>7</v>
      </c>
      <c r="L1753" t="s">
        <v>36</v>
      </c>
      <c r="M1753">
        <v>5.9466401108024103</v>
      </c>
      <c r="N1753" t="s">
        <v>45</v>
      </c>
      <c r="O1753" t="s">
        <v>38</v>
      </c>
      <c r="P1753">
        <f>VLOOKUP(O1753, Coordinates!$A$2:$C$6, 2, FALSE)</f>
        <v>25.761700000000001</v>
      </c>
      <c r="Q1753">
        <f>VLOOKUP(O1753, Coordinates!$A$2:$C$6, 3, FALSE)</f>
        <v>-80.191800000000001</v>
      </c>
      <c r="R1753">
        <v>26</v>
      </c>
      <c r="S1753">
        <v>697</v>
      </c>
      <c r="T1753">
        <v>8</v>
      </c>
      <c r="U1753">
        <v>94.286390433760303</v>
      </c>
      <c r="V1753" t="s">
        <v>39</v>
      </c>
      <c r="W1753">
        <v>3.78009030850933</v>
      </c>
      <c r="X1753" t="s">
        <v>46</v>
      </c>
      <c r="Y1753" t="s">
        <v>60</v>
      </c>
      <c r="Z1753">
        <v>578.47622639692895</v>
      </c>
    </row>
    <row r="1754" spans="1:26" x14ac:dyDescent="0.3">
      <c r="A1754" t="s">
        <v>82</v>
      </c>
      <c r="B1754" t="s">
        <v>1810</v>
      </c>
      <c r="C1754">
        <v>92.879481657586297</v>
      </c>
      <c r="D1754">
        <v>2</v>
      </c>
      <c r="E1754">
        <v>119</v>
      </c>
      <c r="F1754">
        <v>9173.7063612685197</v>
      </c>
      <c r="G1754" t="s">
        <v>35</v>
      </c>
      <c r="H1754">
        <v>76</v>
      </c>
      <c r="I1754">
        <v>22</v>
      </c>
      <c r="J1754">
        <v>57</v>
      </c>
      <c r="K1754">
        <v>3</v>
      </c>
      <c r="L1754" t="s">
        <v>36</v>
      </c>
      <c r="M1754">
        <v>1.99658193957243</v>
      </c>
      <c r="N1754" t="s">
        <v>45</v>
      </c>
      <c r="O1754" t="s">
        <v>38</v>
      </c>
      <c r="P1754">
        <f>VLOOKUP(O1754, Coordinates!$A$2:$C$6, 2, FALSE)</f>
        <v>25.761700000000001</v>
      </c>
      <c r="Q1754">
        <f>VLOOKUP(O1754, Coordinates!$A$2:$C$6, 3, FALSE)</f>
        <v>-80.191800000000001</v>
      </c>
      <c r="R1754">
        <v>30</v>
      </c>
      <c r="S1754">
        <v>795</v>
      </c>
      <c r="T1754">
        <v>13</v>
      </c>
      <c r="U1754">
        <v>12.325702516482</v>
      </c>
      <c r="V1754" t="s">
        <v>39</v>
      </c>
      <c r="W1754">
        <v>4.4331444384271901</v>
      </c>
      <c r="X1754" t="s">
        <v>52</v>
      </c>
      <c r="Y1754" t="s">
        <v>41</v>
      </c>
      <c r="Z1754">
        <v>183.692839430551</v>
      </c>
    </row>
    <row r="1755" spans="1:26" x14ac:dyDescent="0.3">
      <c r="A1755" t="s">
        <v>42</v>
      </c>
      <c r="B1755" t="s">
        <v>1811</v>
      </c>
      <c r="C1755">
        <v>65.006133930000004</v>
      </c>
      <c r="D1755">
        <v>62</v>
      </c>
      <c r="E1755">
        <v>222</v>
      </c>
      <c r="F1755">
        <v>1872.56911239088</v>
      </c>
      <c r="G1755" t="s">
        <v>48</v>
      </c>
      <c r="H1755">
        <v>16</v>
      </c>
      <c r="I1755">
        <v>24</v>
      </c>
      <c r="J1755">
        <v>62</v>
      </c>
      <c r="K1755">
        <v>5</v>
      </c>
      <c r="L1755" t="s">
        <v>36</v>
      </c>
      <c r="M1755">
        <v>10.6911657977806</v>
      </c>
      <c r="N1755" t="s">
        <v>51</v>
      </c>
      <c r="O1755" t="s">
        <v>58</v>
      </c>
      <c r="P1755">
        <f>VLOOKUP(O1755, Coordinates!$A$2:$C$6, 2, FALSE)</f>
        <v>34.052199999999999</v>
      </c>
      <c r="Q1755">
        <f>VLOOKUP(O1755, Coordinates!$A$2:$C$6, 3, FALSE)</f>
        <v>-118.2437</v>
      </c>
      <c r="R1755">
        <v>16</v>
      </c>
      <c r="S1755">
        <v>603</v>
      </c>
      <c r="T1755">
        <v>16</v>
      </c>
      <c r="U1755">
        <v>62.226596177674303</v>
      </c>
      <c r="V1755" t="s">
        <v>55</v>
      </c>
      <c r="W1755">
        <v>2.3858047645382601</v>
      </c>
      <c r="X1755" t="s">
        <v>40</v>
      </c>
      <c r="Y1755" t="s">
        <v>60</v>
      </c>
      <c r="Z1755">
        <v>689.70919258250399</v>
      </c>
    </row>
    <row r="1756" spans="1:26" x14ac:dyDescent="0.3">
      <c r="A1756" t="s">
        <v>82</v>
      </c>
      <c r="B1756" t="s">
        <v>1812</v>
      </c>
      <c r="D1756">
        <v>3</v>
      </c>
      <c r="E1756">
        <v>653</v>
      </c>
      <c r="F1756">
        <v>6457.6879906942004</v>
      </c>
      <c r="G1756" t="s">
        <v>35</v>
      </c>
      <c r="H1756">
        <v>71</v>
      </c>
      <c r="I1756">
        <v>24</v>
      </c>
      <c r="J1756">
        <v>64</v>
      </c>
      <c r="K1756">
        <v>7</v>
      </c>
      <c r="L1756" t="s">
        <v>44</v>
      </c>
      <c r="M1756">
        <v>5.7506025023601</v>
      </c>
      <c r="N1756" t="s">
        <v>51</v>
      </c>
      <c r="O1756" t="s">
        <v>58</v>
      </c>
      <c r="P1756">
        <f>VLOOKUP(O1756, Coordinates!$A$2:$C$6, 2, FALSE)</f>
        <v>34.052199999999999</v>
      </c>
      <c r="Q1756">
        <f>VLOOKUP(O1756, Coordinates!$A$2:$C$6, 3, FALSE)</f>
        <v>-118.2437</v>
      </c>
      <c r="R1756">
        <v>30</v>
      </c>
      <c r="S1756">
        <v>523</v>
      </c>
      <c r="T1756">
        <v>3</v>
      </c>
      <c r="U1756">
        <v>63.765152113665401</v>
      </c>
      <c r="V1756" t="s">
        <v>30</v>
      </c>
      <c r="W1756">
        <v>1.2966384993409099</v>
      </c>
      <c r="X1756" t="s">
        <v>46</v>
      </c>
      <c r="Y1756" t="s">
        <v>32</v>
      </c>
      <c r="Z1756">
        <v>547.96797499949105</v>
      </c>
    </row>
    <row r="1757" spans="1:26" x14ac:dyDescent="0.3">
      <c r="A1757" t="s">
        <v>61</v>
      </c>
      <c r="B1757" t="s">
        <v>1813</v>
      </c>
      <c r="C1757">
        <v>66.204388750000007</v>
      </c>
      <c r="D1757">
        <v>46</v>
      </c>
      <c r="E1757">
        <v>110</v>
      </c>
      <c r="F1757">
        <v>5063.4634520749896</v>
      </c>
      <c r="G1757" t="s">
        <v>35</v>
      </c>
      <c r="H1757">
        <v>31</v>
      </c>
      <c r="I1757">
        <v>25</v>
      </c>
      <c r="J1757">
        <v>70</v>
      </c>
      <c r="K1757">
        <v>1</v>
      </c>
      <c r="L1757" t="s">
        <v>36</v>
      </c>
      <c r="M1757">
        <v>4.4873531263277204</v>
      </c>
      <c r="N1757" t="s">
        <v>37</v>
      </c>
      <c r="O1757" t="s">
        <v>38</v>
      </c>
      <c r="P1757">
        <f>VLOOKUP(O1757, Coordinates!$A$2:$C$6, 2, FALSE)</f>
        <v>25.761700000000001</v>
      </c>
      <c r="Q1757">
        <f>VLOOKUP(O1757, Coordinates!$A$2:$C$6, 3, FALSE)</f>
        <v>-80.191800000000001</v>
      </c>
      <c r="R1757">
        <v>16</v>
      </c>
      <c r="S1757">
        <v>848</v>
      </c>
      <c r="T1757">
        <v>21</v>
      </c>
      <c r="U1757">
        <v>80.909836046349497</v>
      </c>
      <c r="V1757" t="s">
        <v>30</v>
      </c>
      <c r="W1757">
        <v>1.8821948906314401</v>
      </c>
      <c r="X1757" t="s">
        <v>31</v>
      </c>
      <c r="Y1757" t="s">
        <v>60</v>
      </c>
      <c r="Z1757">
        <v>808.887679012999</v>
      </c>
    </row>
    <row r="1758" spans="1:26" x14ac:dyDescent="0.3">
      <c r="A1758" t="s">
        <v>82</v>
      </c>
      <c r="B1758" t="s">
        <v>1814</v>
      </c>
      <c r="C1758">
        <v>97.553527143751793</v>
      </c>
      <c r="D1758">
        <v>68</v>
      </c>
      <c r="E1758">
        <v>695</v>
      </c>
      <c r="F1758">
        <v>9446.2139112923105</v>
      </c>
      <c r="G1758" t="s">
        <v>48</v>
      </c>
      <c r="H1758">
        <v>83</v>
      </c>
      <c r="I1758">
        <v>23</v>
      </c>
      <c r="J1758">
        <v>41</v>
      </c>
      <c r="K1758">
        <v>1</v>
      </c>
      <c r="L1758" t="s">
        <v>27</v>
      </c>
      <c r="M1758">
        <v>10.6485446252053</v>
      </c>
      <c r="N1758" t="s">
        <v>51</v>
      </c>
      <c r="O1758" t="s">
        <v>29</v>
      </c>
      <c r="P1758">
        <f>VLOOKUP(O1758, Coordinates!$A$2:$C$6, 2, FALSE)</f>
        <v>29.760400000000001</v>
      </c>
      <c r="Q1758">
        <f>VLOOKUP(O1758, Coordinates!$A$2:$C$6, 3, FALSE)</f>
        <v>-95.369799999999998</v>
      </c>
      <c r="R1758">
        <v>20</v>
      </c>
      <c r="S1758">
        <v>283</v>
      </c>
      <c r="T1758">
        <v>23</v>
      </c>
      <c r="U1758">
        <v>95.657546424033995</v>
      </c>
      <c r="V1758" t="s">
        <v>30</v>
      </c>
      <c r="W1758">
        <v>4.2105638596491604</v>
      </c>
      <c r="X1758" t="s">
        <v>31</v>
      </c>
      <c r="Y1758" t="s">
        <v>60</v>
      </c>
      <c r="Z1758">
        <v>724.04892500000005</v>
      </c>
    </row>
    <row r="1759" spans="1:26" x14ac:dyDescent="0.3">
      <c r="A1759" t="s">
        <v>24</v>
      </c>
      <c r="B1759" t="s">
        <v>1815</v>
      </c>
      <c r="C1759">
        <v>21.6776154032348</v>
      </c>
      <c r="D1759">
        <v>25</v>
      </c>
      <c r="E1759">
        <v>532</v>
      </c>
      <c r="F1759">
        <v>10379.242255068801</v>
      </c>
      <c r="G1759" t="s">
        <v>54</v>
      </c>
      <c r="H1759">
        <v>50</v>
      </c>
      <c r="I1759">
        <v>25</v>
      </c>
      <c r="J1759">
        <v>55</v>
      </c>
      <c r="K1759">
        <v>5</v>
      </c>
      <c r="L1759" t="s">
        <v>27</v>
      </c>
      <c r="M1759">
        <v>14.574210564723099</v>
      </c>
      <c r="N1759" t="s">
        <v>51</v>
      </c>
      <c r="O1759" t="s">
        <v>29</v>
      </c>
      <c r="P1759">
        <f>VLOOKUP(O1759, Coordinates!$A$2:$C$6, 2, FALSE)</f>
        <v>29.760400000000001</v>
      </c>
      <c r="Q1759">
        <f>VLOOKUP(O1759, Coordinates!$A$2:$C$6, 3, FALSE)</f>
        <v>-95.369799999999998</v>
      </c>
      <c r="R1759">
        <v>29</v>
      </c>
      <c r="S1759">
        <v>925</v>
      </c>
      <c r="T1759">
        <v>1</v>
      </c>
      <c r="U1759">
        <v>93.109316227827904</v>
      </c>
      <c r="V1759" t="s">
        <v>39</v>
      </c>
      <c r="W1759">
        <v>4.2988080143359797</v>
      </c>
      <c r="X1759" t="s">
        <v>52</v>
      </c>
      <c r="Y1759" t="s">
        <v>41</v>
      </c>
      <c r="Z1759">
        <v>201.49281439051899</v>
      </c>
    </row>
    <row r="1760" spans="1:26" x14ac:dyDescent="0.3">
      <c r="A1760" t="s">
        <v>82</v>
      </c>
      <c r="B1760" t="s">
        <v>1816</v>
      </c>
      <c r="C1760">
        <v>57.695332430000001</v>
      </c>
      <c r="D1760">
        <v>51</v>
      </c>
      <c r="E1760">
        <v>476</v>
      </c>
      <c r="F1760">
        <v>2908.2506545200599</v>
      </c>
      <c r="G1760" t="s">
        <v>35</v>
      </c>
      <c r="H1760">
        <v>16</v>
      </c>
      <c r="I1760">
        <v>15</v>
      </c>
      <c r="J1760">
        <v>45</v>
      </c>
      <c r="K1760">
        <v>9</v>
      </c>
      <c r="L1760" t="s">
        <v>27</v>
      </c>
      <c r="M1760">
        <v>11.4345132839603</v>
      </c>
      <c r="N1760" t="s">
        <v>37</v>
      </c>
      <c r="O1760" t="s">
        <v>58</v>
      </c>
      <c r="P1760">
        <f>VLOOKUP(O1760, Coordinates!$A$2:$C$6, 2, FALSE)</f>
        <v>34.052199999999999</v>
      </c>
      <c r="Q1760">
        <f>VLOOKUP(O1760, Coordinates!$A$2:$C$6, 3, FALSE)</f>
        <v>-118.2437</v>
      </c>
      <c r="R1760">
        <v>17</v>
      </c>
      <c r="S1760">
        <v>770</v>
      </c>
      <c r="T1760">
        <v>3</v>
      </c>
      <c r="U1760">
        <v>49.4050126110401</v>
      </c>
      <c r="V1760" t="s">
        <v>30</v>
      </c>
      <c r="W1760">
        <v>3.1389623910017002</v>
      </c>
      <c r="X1760" t="s">
        <v>46</v>
      </c>
      <c r="Y1760" t="s">
        <v>32</v>
      </c>
      <c r="Z1760">
        <v>415.638592003501</v>
      </c>
    </row>
    <row r="1761" spans="1:26" x14ac:dyDescent="0.3">
      <c r="A1761" t="s">
        <v>24</v>
      </c>
      <c r="B1761" t="s">
        <v>1817</v>
      </c>
      <c r="C1761">
        <v>20.879391167099499</v>
      </c>
      <c r="D1761">
        <v>13</v>
      </c>
      <c r="E1761">
        <v>758</v>
      </c>
      <c r="F1761">
        <v>14243.920654195301</v>
      </c>
      <c r="G1761" t="s">
        <v>48</v>
      </c>
      <c r="H1761">
        <v>33</v>
      </c>
      <c r="I1761">
        <v>9</v>
      </c>
      <c r="J1761">
        <v>27</v>
      </c>
      <c r="K1761">
        <v>7</v>
      </c>
      <c r="L1761" t="s">
        <v>36</v>
      </c>
      <c r="M1761">
        <v>7.8789005678312503</v>
      </c>
      <c r="N1761" t="s">
        <v>37</v>
      </c>
      <c r="O1761" t="s">
        <v>29</v>
      </c>
      <c r="P1761">
        <f>VLOOKUP(O1761, Coordinates!$A$2:$C$6, 2, FALSE)</f>
        <v>29.760400000000001</v>
      </c>
      <c r="Q1761">
        <f>VLOOKUP(O1761, Coordinates!$A$2:$C$6, 3, FALSE)</f>
        <v>-95.369799999999998</v>
      </c>
      <c r="R1761">
        <v>19</v>
      </c>
      <c r="S1761">
        <v>622</v>
      </c>
      <c r="T1761">
        <v>16</v>
      </c>
      <c r="U1761">
        <v>87.087756062594096</v>
      </c>
      <c r="V1761" t="s">
        <v>39</v>
      </c>
      <c r="W1761">
        <v>2.9142047099704098</v>
      </c>
      <c r="X1761" t="s">
        <v>52</v>
      </c>
      <c r="Y1761" t="s">
        <v>41</v>
      </c>
      <c r="Z1761">
        <v>762.62203232180195</v>
      </c>
    </row>
    <row r="1762" spans="1:26" x14ac:dyDescent="0.3">
      <c r="A1762" t="s">
        <v>33</v>
      </c>
      <c r="B1762" t="s">
        <v>1818</v>
      </c>
      <c r="D1762">
        <v>44</v>
      </c>
      <c r="E1762">
        <v>850</v>
      </c>
      <c r="F1762">
        <v>4905.4172466823602</v>
      </c>
      <c r="G1762" t="s">
        <v>54</v>
      </c>
      <c r="H1762">
        <v>34</v>
      </c>
      <c r="I1762">
        <v>12</v>
      </c>
      <c r="J1762">
        <v>83</v>
      </c>
      <c r="K1762">
        <v>1</v>
      </c>
      <c r="L1762" t="s">
        <v>27</v>
      </c>
      <c r="M1762">
        <v>9.4071501139380693</v>
      </c>
      <c r="N1762" t="s">
        <v>28</v>
      </c>
      <c r="O1762" t="s">
        <v>38</v>
      </c>
      <c r="P1762">
        <f>VLOOKUP(O1762, Coordinates!$A$2:$C$6, 2, FALSE)</f>
        <v>25.761700000000001</v>
      </c>
      <c r="Q1762">
        <f>VLOOKUP(O1762, Coordinates!$A$2:$C$6, 3, FALSE)</f>
        <v>-80.191800000000001</v>
      </c>
      <c r="R1762">
        <v>28</v>
      </c>
      <c r="S1762">
        <v>653</v>
      </c>
      <c r="T1762">
        <v>1</v>
      </c>
      <c r="U1762">
        <v>97.054446010000007</v>
      </c>
      <c r="V1762" t="s">
        <v>30</v>
      </c>
      <c r="W1762">
        <v>2.1354991586676402</v>
      </c>
      <c r="X1762" t="s">
        <v>52</v>
      </c>
      <c r="Y1762" t="s">
        <v>60</v>
      </c>
      <c r="Z1762">
        <v>403.19757339682002</v>
      </c>
    </row>
    <row r="1763" spans="1:26" x14ac:dyDescent="0.3">
      <c r="A1763" t="s">
        <v>72</v>
      </c>
      <c r="B1763" t="s">
        <v>1819</v>
      </c>
      <c r="C1763">
        <v>39.562294914054903</v>
      </c>
      <c r="D1763">
        <v>35</v>
      </c>
      <c r="E1763">
        <v>897</v>
      </c>
      <c r="F1763">
        <v>31938.640684116501</v>
      </c>
      <c r="G1763" t="s">
        <v>48</v>
      </c>
      <c r="H1763">
        <v>98</v>
      </c>
      <c r="I1763">
        <v>11</v>
      </c>
      <c r="J1763">
        <v>27</v>
      </c>
      <c r="K1763">
        <v>5</v>
      </c>
      <c r="L1763" t="s">
        <v>44</v>
      </c>
      <c r="M1763">
        <v>2.9919047216010402</v>
      </c>
      <c r="N1763" t="s">
        <v>57</v>
      </c>
      <c r="O1763" t="s">
        <v>58</v>
      </c>
      <c r="P1763">
        <f>VLOOKUP(O1763, Coordinates!$A$2:$C$6, 2, FALSE)</f>
        <v>34.052199999999999</v>
      </c>
      <c r="Q1763">
        <f>VLOOKUP(O1763, Coordinates!$A$2:$C$6, 3, FALSE)</f>
        <v>-118.2437</v>
      </c>
      <c r="R1763">
        <v>26</v>
      </c>
      <c r="S1763">
        <v>334</v>
      </c>
      <c r="T1763">
        <v>18</v>
      </c>
      <c r="U1763">
        <v>86.2867118956773</v>
      </c>
      <c r="V1763" t="s">
        <v>55</v>
      </c>
      <c r="W1763">
        <v>3.1794945778442298</v>
      </c>
      <c r="X1763" t="s">
        <v>46</v>
      </c>
      <c r="Y1763" t="s">
        <v>60</v>
      </c>
      <c r="Z1763">
        <v>610.21092978000195</v>
      </c>
    </row>
    <row r="1764" spans="1:26" x14ac:dyDescent="0.3">
      <c r="A1764" t="s">
        <v>49</v>
      </c>
      <c r="B1764" t="s">
        <v>1820</v>
      </c>
      <c r="C1764">
        <v>24.395823120983</v>
      </c>
      <c r="D1764">
        <v>55</v>
      </c>
      <c r="E1764">
        <v>391</v>
      </c>
      <c r="G1764" t="s">
        <v>54</v>
      </c>
      <c r="H1764">
        <v>23</v>
      </c>
      <c r="I1764">
        <v>17</v>
      </c>
      <c r="J1764">
        <v>21</v>
      </c>
      <c r="K1764">
        <v>8</v>
      </c>
      <c r="L1764" t="s">
        <v>27</v>
      </c>
      <c r="M1764">
        <v>12.3849859995593</v>
      </c>
      <c r="N1764" t="s">
        <v>57</v>
      </c>
      <c r="O1764" t="s">
        <v>29</v>
      </c>
      <c r="P1764">
        <f>VLOOKUP(O1764, Coordinates!$A$2:$C$6, 2, FALSE)</f>
        <v>29.760400000000001</v>
      </c>
      <c r="Q1764">
        <f>VLOOKUP(O1764, Coordinates!$A$2:$C$6, 3, FALSE)</f>
        <v>-95.369799999999998</v>
      </c>
      <c r="R1764">
        <v>15</v>
      </c>
      <c r="S1764">
        <v>230</v>
      </c>
      <c r="T1764">
        <v>14</v>
      </c>
      <c r="U1764">
        <v>70.034770294303996</v>
      </c>
      <c r="V1764" t="s">
        <v>39</v>
      </c>
      <c r="W1764">
        <v>4.0302667286574403</v>
      </c>
      <c r="X1764" t="s">
        <v>40</v>
      </c>
      <c r="Y1764" t="s">
        <v>60</v>
      </c>
      <c r="Z1764">
        <v>965.14259176594601</v>
      </c>
    </row>
    <row r="1765" spans="1:26" x14ac:dyDescent="0.3">
      <c r="A1765" t="s">
        <v>24</v>
      </c>
      <c r="B1765" t="s">
        <v>1821</v>
      </c>
      <c r="C1765">
        <v>39.436486636541296</v>
      </c>
      <c r="D1765">
        <v>87</v>
      </c>
      <c r="E1765">
        <v>230</v>
      </c>
      <c r="F1765">
        <v>8163.3527337640498</v>
      </c>
      <c r="G1765" t="s">
        <v>35</v>
      </c>
      <c r="H1765">
        <v>53</v>
      </c>
      <c r="I1765">
        <v>6</v>
      </c>
      <c r="J1765">
        <v>81</v>
      </c>
      <c r="K1765">
        <v>8</v>
      </c>
      <c r="L1765" t="s">
        <v>36</v>
      </c>
      <c r="M1765">
        <v>9.4601301485598608</v>
      </c>
      <c r="N1765" t="s">
        <v>28</v>
      </c>
      <c r="O1765" t="s">
        <v>65</v>
      </c>
      <c r="P1765">
        <f>VLOOKUP(O1765, Coordinates!$A$2:$C$6, 2, FALSE)</f>
        <v>41.878100000000003</v>
      </c>
      <c r="Q1765">
        <f>VLOOKUP(O1765, Coordinates!$A$2:$C$6, 3, FALSE)</f>
        <v>-87.629800000000003</v>
      </c>
      <c r="R1765">
        <v>25</v>
      </c>
      <c r="S1765">
        <v>796</v>
      </c>
      <c r="T1765">
        <v>30</v>
      </c>
      <c r="U1765">
        <v>89.025602189155293</v>
      </c>
      <c r="V1765" t="s">
        <v>39</v>
      </c>
      <c r="W1765">
        <v>3.6892352895449001</v>
      </c>
      <c r="X1765" t="s">
        <v>31</v>
      </c>
      <c r="Y1765" t="s">
        <v>60</v>
      </c>
      <c r="Z1765">
        <v>171.928544580139</v>
      </c>
    </row>
    <row r="1766" spans="1:26" x14ac:dyDescent="0.3">
      <c r="A1766" t="s">
        <v>42</v>
      </c>
      <c r="B1766" t="s">
        <v>1822</v>
      </c>
      <c r="C1766">
        <v>60.073984924236299</v>
      </c>
      <c r="D1766">
        <v>9</v>
      </c>
      <c r="E1766">
        <v>485</v>
      </c>
      <c r="F1766">
        <v>6526.81664178131</v>
      </c>
      <c r="G1766" t="s">
        <v>26</v>
      </c>
      <c r="H1766">
        <v>17</v>
      </c>
      <c r="I1766">
        <v>28</v>
      </c>
      <c r="J1766">
        <v>55</v>
      </c>
      <c r="K1766">
        <v>10</v>
      </c>
      <c r="L1766" t="s">
        <v>44</v>
      </c>
      <c r="M1766">
        <v>14.5216255719722</v>
      </c>
      <c r="N1766" t="s">
        <v>45</v>
      </c>
      <c r="O1766" t="s">
        <v>38</v>
      </c>
      <c r="P1766">
        <f>VLOOKUP(O1766, Coordinates!$A$2:$C$6, 2, FALSE)</f>
        <v>25.761700000000001</v>
      </c>
      <c r="Q1766">
        <f>VLOOKUP(O1766, Coordinates!$A$2:$C$6, 3, FALSE)</f>
        <v>-80.191800000000001</v>
      </c>
      <c r="R1766">
        <v>26</v>
      </c>
      <c r="S1766">
        <v>113</v>
      </c>
      <c r="T1766">
        <v>7</v>
      </c>
      <c r="U1766">
        <v>17.6683987802292</v>
      </c>
      <c r="V1766" t="s">
        <v>55</v>
      </c>
      <c r="W1766">
        <v>3.59736810607891</v>
      </c>
      <c r="X1766" t="s">
        <v>46</v>
      </c>
      <c r="Y1766" t="s">
        <v>41</v>
      </c>
      <c r="Z1766">
        <v>996.00430790262806</v>
      </c>
    </row>
    <row r="1767" spans="1:26" x14ac:dyDescent="0.3">
      <c r="A1767" t="s">
        <v>82</v>
      </c>
      <c r="B1767" t="s">
        <v>1823</v>
      </c>
      <c r="C1767">
        <v>48.026551675423001</v>
      </c>
      <c r="D1767">
        <v>2</v>
      </c>
      <c r="E1767">
        <v>758</v>
      </c>
      <c r="F1767">
        <v>5787.1962719317198</v>
      </c>
      <c r="G1767" t="s">
        <v>48</v>
      </c>
      <c r="H1767">
        <v>49</v>
      </c>
      <c r="I1767">
        <v>8</v>
      </c>
      <c r="J1767">
        <v>64</v>
      </c>
      <c r="K1767">
        <v>7</v>
      </c>
      <c r="L1767" t="s">
        <v>27</v>
      </c>
      <c r="M1767">
        <v>14.712767156059201</v>
      </c>
      <c r="N1767" t="s">
        <v>51</v>
      </c>
      <c r="O1767" t="s">
        <v>29</v>
      </c>
      <c r="P1767">
        <f>VLOOKUP(O1767, Coordinates!$A$2:$C$6, 2, FALSE)</f>
        <v>29.760400000000001</v>
      </c>
      <c r="Q1767">
        <f>VLOOKUP(O1767, Coordinates!$A$2:$C$6, 3, FALSE)</f>
        <v>-95.369799999999998</v>
      </c>
      <c r="R1767">
        <v>27</v>
      </c>
      <c r="S1767">
        <v>913</v>
      </c>
      <c r="T1767">
        <v>23</v>
      </c>
      <c r="U1767">
        <v>43.9414248566667</v>
      </c>
      <c r="V1767" t="s">
        <v>55</v>
      </c>
      <c r="W1767">
        <v>3.6556499930281601</v>
      </c>
      <c r="X1767" t="s">
        <v>31</v>
      </c>
      <c r="Y1767" t="s">
        <v>32</v>
      </c>
      <c r="Z1767">
        <v>532.54846145511499</v>
      </c>
    </row>
    <row r="1768" spans="1:26" x14ac:dyDescent="0.3">
      <c r="A1768" t="s">
        <v>24</v>
      </c>
      <c r="B1768" t="s">
        <v>1824</v>
      </c>
      <c r="C1768">
        <v>27.035609576330099</v>
      </c>
      <c r="D1768">
        <v>61</v>
      </c>
      <c r="E1768">
        <v>412</v>
      </c>
      <c r="F1768">
        <v>10024.8040309032</v>
      </c>
      <c r="G1768" t="s">
        <v>35</v>
      </c>
      <c r="H1768">
        <v>45</v>
      </c>
      <c r="I1768">
        <v>10</v>
      </c>
      <c r="J1768">
        <v>47</v>
      </c>
      <c r="K1768">
        <v>10</v>
      </c>
      <c r="L1768" t="s">
        <v>44</v>
      </c>
      <c r="M1768">
        <v>5.9642136941656396</v>
      </c>
      <c r="N1768" t="s">
        <v>37</v>
      </c>
      <c r="O1768" t="s">
        <v>65</v>
      </c>
      <c r="P1768">
        <f>VLOOKUP(O1768, Coordinates!$A$2:$C$6, 2, FALSE)</f>
        <v>41.878100000000003</v>
      </c>
      <c r="Q1768">
        <f>VLOOKUP(O1768, Coordinates!$A$2:$C$6, 3, FALSE)</f>
        <v>-87.629800000000003</v>
      </c>
      <c r="R1768">
        <v>20</v>
      </c>
      <c r="S1768">
        <v>865</v>
      </c>
      <c r="T1768">
        <v>3</v>
      </c>
      <c r="U1768">
        <v>89.510252340499704</v>
      </c>
      <c r="V1768" t="s">
        <v>30</v>
      </c>
      <c r="W1768">
        <v>3.5997383358750001</v>
      </c>
      <c r="X1768" t="s">
        <v>40</v>
      </c>
      <c r="Y1768" t="s">
        <v>60</v>
      </c>
      <c r="Z1768">
        <v>764.59010559027001</v>
      </c>
    </row>
    <row r="1769" spans="1:26" x14ac:dyDescent="0.3">
      <c r="A1769" t="s">
        <v>42</v>
      </c>
      <c r="B1769" t="s">
        <v>1825</v>
      </c>
      <c r="C1769">
        <v>10.7574662329164</v>
      </c>
      <c r="D1769">
        <v>41</v>
      </c>
      <c r="E1769">
        <v>461</v>
      </c>
      <c r="F1769">
        <v>5005.1681535281896</v>
      </c>
      <c r="G1769" t="s">
        <v>48</v>
      </c>
      <c r="H1769">
        <v>47</v>
      </c>
      <c r="I1769">
        <v>25</v>
      </c>
      <c r="J1769">
        <v>87</v>
      </c>
      <c r="K1769">
        <v>5</v>
      </c>
      <c r="L1769" t="s">
        <v>27</v>
      </c>
      <c r="M1769">
        <v>14.8396430971773</v>
      </c>
      <c r="N1769" t="s">
        <v>37</v>
      </c>
      <c r="O1769" t="s">
        <v>38</v>
      </c>
      <c r="P1769">
        <f>VLOOKUP(O1769, Coordinates!$A$2:$C$6, 2, FALSE)</f>
        <v>25.761700000000001</v>
      </c>
      <c r="Q1769">
        <f>VLOOKUP(O1769, Coordinates!$A$2:$C$6, 3, FALSE)</f>
        <v>-80.191800000000001</v>
      </c>
      <c r="R1769">
        <v>30</v>
      </c>
      <c r="S1769">
        <v>758</v>
      </c>
      <c r="T1769">
        <v>29</v>
      </c>
      <c r="U1769">
        <v>25.972501443485498</v>
      </c>
      <c r="V1769" t="s">
        <v>30</v>
      </c>
      <c r="W1769">
        <v>0.49495268344351301</v>
      </c>
      <c r="X1769" t="s">
        <v>31</v>
      </c>
      <c r="Y1769" t="s">
        <v>41</v>
      </c>
      <c r="Z1769">
        <v>397.10020430636098</v>
      </c>
    </row>
    <row r="1770" spans="1:26" x14ac:dyDescent="0.3">
      <c r="A1770" t="s">
        <v>72</v>
      </c>
      <c r="B1770" t="s">
        <v>1826</v>
      </c>
      <c r="C1770">
        <v>36.410487457102398</v>
      </c>
      <c r="D1770">
        <v>44</v>
      </c>
      <c r="E1770">
        <v>657</v>
      </c>
      <c r="F1770">
        <v>21529.521233384599</v>
      </c>
      <c r="G1770" t="s">
        <v>48</v>
      </c>
      <c r="H1770">
        <v>32</v>
      </c>
      <c r="I1770">
        <v>15</v>
      </c>
      <c r="J1770">
        <v>11</v>
      </c>
      <c r="K1770">
        <v>9</v>
      </c>
      <c r="L1770" t="s">
        <v>36</v>
      </c>
      <c r="M1770">
        <v>14.395669393436201</v>
      </c>
      <c r="N1770" t="s">
        <v>45</v>
      </c>
      <c r="O1770" t="s">
        <v>38</v>
      </c>
      <c r="P1770">
        <f>VLOOKUP(O1770, Coordinates!$A$2:$C$6, 2, FALSE)</f>
        <v>25.761700000000001</v>
      </c>
      <c r="Q1770">
        <f>VLOOKUP(O1770, Coordinates!$A$2:$C$6, 3, FALSE)</f>
        <v>-80.191800000000001</v>
      </c>
      <c r="R1770">
        <v>25</v>
      </c>
      <c r="S1770">
        <v>479</v>
      </c>
      <c r="T1770">
        <v>22</v>
      </c>
      <c r="U1770">
        <v>89.543374249961303</v>
      </c>
      <c r="V1770" t="s">
        <v>55</v>
      </c>
      <c r="W1770">
        <v>4.3287580349562598</v>
      </c>
      <c r="X1770" t="s">
        <v>31</v>
      </c>
      <c r="Y1770" t="s">
        <v>41</v>
      </c>
      <c r="Z1770">
        <v>205.71533476734101</v>
      </c>
    </row>
    <row r="1771" spans="1:26" x14ac:dyDescent="0.3">
      <c r="A1771" t="s">
        <v>72</v>
      </c>
      <c r="B1771" t="s">
        <v>1827</v>
      </c>
      <c r="C1771">
        <v>24.4685126865085</v>
      </c>
      <c r="D1771">
        <v>64</v>
      </c>
      <c r="E1771">
        <v>902</v>
      </c>
      <c r="F1771">
        <v>19863.538598907598</v>
      </c>
      <c r="G1771" t="s">
        <v>54</v>
      </c>
      <c r="H1771">
        <v>86</v>
      </c>
      <c r="I1771">
        <v>4</v>
      </c>
      <c r="J1771">
        <v>18</v>
      </c>
      <c r="K1771">
        <v>3</v>
      </c>
      <c r="L1771" t="s">
        <v>44</v>
      </c>
      <c r="M1771">
        <v>9.9576474932718995</v>
      </c>
      <c r="N1771" t="s">
        <v>37</v>
      </c>
      <c r="O1771" t="s">
        <v>38</v>
      </c>
      <c r="P1771">
        <f>VLOOKUP(O1771, Coordinates!$A$2:$C$6, 2, FALSE)</f>
        <v>25.761700000000001</v>
      </c>
      <c r="Q1771">
        <f>VLOOKUP(O1771, Coordinates!$A$2:$C$6, 3, FALSE)</f>
        <v>-80.191800000000001</v>
      </c>
      <c r="R1771">
        <v>15</v>
      </c>
      <c r="S1771">
        <v>159</v>
      </c>
      <c r="T1771">
        <v>16</v>
      </c>
      <c r="U1771">
        <v>87.414129979999998</v>
      </c>
      <c r="V1771" t="s">
        <v>30</v>
      </c>
      <c r="W1771">
        <v>3.9395425559016299</v>
      </c>
      <c r="X1771" t="s">
        <v>52</v>
      </c>
      <c r="Y1771" t="s">
        <v>41</v>
      </c>
      <c r="Z1771">
        <v>384.19824784300101</v>
      </c>
    </row>
    <row r="1772" spans="1:26" x14ac:dyDescent="0.3">
      <c r="A1772" t="s">
        <v>82</v>
      </c>
      <c r="B1772" t="s">
        <v>1828</v>
      </c>
      <c r="C1772">
        <v>21.286246787501501</v>
      </c>
      <c r="D1772">
        <v>31</v>
      </c>
      <c r="E1772">
        <v>715</v>
      </c>
      <c r="F1772">
        <v>9041.1314875040407</v>
      </c>
      <c r="G1772" t="s">
        <v>48</v>
      </c>
      <c r="H1772">
        <v>88</v>
      </c>
      <c r="I1772">
        <v>29</v>
      </c>
      <c r="J1772">
        <v>14</v>
      </c>
      <c r="K1772">
        <v>1</v>
      </c>
      <c r="L1772" t="s">
        <v>27</v>
      </c>
      <c r="M1772">
        <v>5.6685019984281801</v>
      </c>
      <c r="N1772" t="s">
        <v>45</v>
      </c>
      <c r="O1772" t="s">
        <v>38</v>
      </c>
      <c r="P1772">
        <f>VLOOKUP(O1772, Coordinates!$A$2:$C$6, 2, FALSE)</f>
        <v>25.761700000000001</v>
      </c>
      <c r="Q1772">
        <f>VLOOKUP(O1772, Coordinates!$A$2:$C$6, 3, FALSE)</f>
        <v>-80.191800000000001</v>
      </c>
      <c r="R1772">
        <v>28</v>
      </c>
      <c r="S1772">
        <v>391</v>
      </c>
      <c r="T1772">
        <v>29</v>
      </c>
      <c r="U1772">
        <v>66.950227899261506</v>
      </c>
      <c r="V1772" t="s">
        <v>39</v>
      </c>
      <c r="W1772">
        <v>3.71187815347949</v>
      </c>
      <c r="X1772" t="s">
        <v>52</v>
      </c>
      <c r="Y1772" t="s">
        <v>41</v>
      </c>
      <c r="Z1772">
        <v>679.989300295676</v>
      </c>
    </row>
    <row r="1773" spans="1:26" x14ac:dyDescent="0.3">
      <c r="A1773" t="s">
        <v>61</v>
      </c>
      <c r="B1773" t="s">
        <v>1829</v>
      </c>
      <c r="C1773">
        <v>48.090004992669201</v>
      </c>
      <c r="D1773">
        <v>47</v>
      </c>
      <c r="E1773">
        <v>628</v>
      </c>
      <c r="F1773">
        <v>8409.0372332184907</v>
      </c>
      <c r="G1773" t="s">
        <v>54</v>
      </c>
      <c r="H1773">
        <v>100</v>
      </c>
      <c r="I1773">
        <v>18</v>
      </c>
      <c r="J1773">
        <v>28</v>
      </c>
      <c r="K1773">
        <v>4</v>
      </c>
      <c r="L1773" t="s">
        <v>27</v>
      </c>
      <c r="M1773">
        <v>11.5467630904687</v>
      </c>
      <c r="N1773" t="s">
        <v>28</v>
      </c>
      <c r="O1773" t="s">
        <v>29</v>
      </c>
      <c r="P1773">
        <f>VLOOKUP(O1773, Coordinates!$A$2:$C$6, 2, FALSE)</f>
        <v>29.760400000000001</v>
      </c>
      <c r="Q1773">
        <f>VLOOKUP(O1773, Coordinates!$A$2:$C$6, 3, FALSE)</f>
        <v>-95.369799999999998</v>
      </c>
      <c r="R1773">
        <v>12</v>
      </c>
      <c r="S1773">
        <v>259</v>
      </c>
      <c r="T1773">
        <v>6</v>
      </c>
      <c r="U1773">
        <v>69.772429630000005</v>
      </c>
      <c r="V1773" t="s">
        <v>30</v>
      </c>
      <c r="W1773">
        <v>4.1081449529283098</v>
      </c>
      <c r="X1773" t="s">
        <v>52</v>
      </c>
      <c r="Y1773" t="s">
        <v>41</v>
      </c>
      <c r="Z1773">
        <v>813.29300996794905</v>
      </c>
    </row>
    <row r="1774" spans="1:26" x14ac:dyDescent="0.3">
      <c r="A1774" t="s">
        <v>82</v>
      </c>
      <c r="B1774" t="s">
        <v>1830</v>
      </c>
      <c r="C1774">
        <v>48.2128820662724</v>
      </c>
      <c r="D1774">
        <v>2</v>
      </c>
      <c r="E1774">
        <v>643</v>
      </c>
      <c r="F1774">
        <v>1927.37524087884</v>
      </c>
      <c r="G1774" t="s">
        <v>35</v>
      </c>
      <c r="H1774">
        <v>26</v>
      </c>
      <c r="I1774">
        <v>11</v>
      </c>
      <c r="J1774">
        <v>80</v>
      </c>
      <c r="K1774">
        <v>7</v>
      </c>
      <c r="L1774" t="s">
        <v>44</v>
      </c>
      <c r="M1774">
        <v>4.7973212389858997</v>
      </c>
      <c r="N1774" t="s">
        <v>45</v>
      </c>
      <c r="O1774" t="s">
        <v>38</v>
      </c>
      <c r="P1774">
        <f>VLOOKUP(O1774, Coordinates!$A$2:$C$6, 2, FALSE)</f>
        <v>25.761700000000001</v>
      </c>
      <c r="Q1774">
        <f>VLOOKUP(O1774, Coordinates!$A$2:$C$6, 3, FALSE)</f>
        <v>-80.191800000000001</v>
      </c>
      <c r="R1774">
        <v>26</v>
      </c>
      <c r="S1774">
        <v>546</v>
      </c>
      <c r="T1774">
        <v>18</v>
      </c>
      <c r="U1774">
        <v>19.343944473058102</v>
      </c>
      <c r="V1774" t="s">
        <v>39</v>
      </c>
      <c r="W1774">
        <v>4.3632435873332804</v>
      </c>
      <c r="X1774" t="s">
        <v>40</v>
      </c>
      <c r="Y1774" t="s">
        <v>60</v>
      </c>
      <c r="Z1774">
        <v>979.31160215785803</v>
      </c>
    </row>
    <row r="1775" spans="1:26" x14ac:dyDescent="0.3">
      <c r="A1775" t="s">
        <v>33</v>
      </c>
      <c r="B1775" t="s">
        <v>1831</v>
      </c>
      <c r="C1775">
        <v>70.141551578696095</v>
      </c>
      <c r="D1775">
        <v>96</v>
      </c>
      <c r="E1775">
        <v>25</v>
      </c>
      <c r="F1775">
        <v>3047.0342865831899</v>
      </c>
      <c r="G1775" t="s">
        <v>48</v>
      </c>
      <c r="H1775">
        <v>0</v>
      </c>
      <c r="I1775">
        <v>9</v>
      </c>
      <c r="J1775">
        <v>48</v>
      </c>
      <c r="K1775">
        <v>1</v>
      </c>
      <c r="L1775" t="s">
        <v>44</v>
      </c>
      <c r="M1775">
        <v>9.8178145534441192</v>
      </c>
      <c r="N1775" t="s">
        <v>57</v>
      </c>
      <c r="O1775" t="s">
        <v>29</v>
      </c>
      <c r="P1775">
        <f>VLOOKUP(O1775, Coordinates!$A$2:$C$6, 2, FALSE)</f>
        <v>29.760400000000001</v>
      </c>
      <c r="Q1775">
        <f>VLOOKUP(O1775, Coordinates!$A$2:$C$6, 3, FALSE)</f>
        <v>-95.369799999999998</v>
      </c>
      <c r="R1775">
        <v>6</v>
      </c>
      <c r="S1775">
        <v>637</v>
      </c>
      <c r="T1775">
        <v>29</v>
      </c>
      <c r="U1775">
        <v>69.837444180000006</v>
      </c>
      <c r="V1775" t="s">
        <v>30</v>
      </c>
      <c r="W1775">
        <v>0.153073823531684</v>
      </c>
      <c r="X1775" t="s">
        <v>52</v>
      </c>
      <c r="Y1775" t="s">
        <v>60</v>
      </c>
      <c r="Z1775">
        <v>785.21112849999997</v>
      </c>
    </row>
    <row r="1776" spans="1:26" x14ac:dyDescent="0.3">
      <c r="A1776" t="s">
        <v>24</v>
      </c>
      <c r="B1776" t="s">
        <v>1832</v>
      </c>
      <c r="D1776">
        <v>82</v>
      </c>
      <c r="E1776">
        <v>663</v>
      </c>
      <c r="F1776">
        <v>16913.966642941799</v>
      </c>
      <c r="G1776" t="s">
        <v>35</v>
      </c>
      <c r="H1776">
        <v>84</v>
      </c>
      <c r="I1776">
        <v>9</v>
      </c>
      <c r="J1776">
        <v>51</v>
      </c>
      <c r="K1776">
        <v>2</v>
      </c>
      <c r="L1776" t="s">
        <v>44</v>
      </c>
      <c r="M1776">
        <v>1.34414259319389</v>
      </c>
      <c r="N1776" t="s">
        <v>45</v>
      </c>
      <c r="O1776" t="s">
        <v>38</v>
      </c>
      <c r="P1776">
        <f>VLOOKUP(O1776, Coordinates!$A$2:$C$6, 2, FALSE)</f>
        <v>25.761700000000001</v>
      </c>
      <c r="Q1776">
        <f>VLOOKUP(O1776, Coordinates!$A$2:$C$6, 3, FALSE)</f>
        <v>-80.191800000000001</v>
      </c>
      <c r="R1776">
        <v>25</v>
      </c>
      <c r="S1776">
        <v>676</v>
      </c>
      <c r="T1776">
        <v>25</v>
      </c>
      <c r="U1776">
        <v>90.256272157276399</v>
      </c>
      <c r="V1776" t="s">
        <v>55</v>
      </c>
      <c r="W1776">
        <v>4.0516935854457596</v>
      </c>
      <c r="X1776" t="s">
        <v>31</v>
      </c>
      <c r="Y1776" t="s">
        <v>32</v>
      </c>
      <c r="Z1776">
        <v>543.03279902902204</v>
      </c>
    </row>
    <row r="1777" spans="1:26" x14ac:dyDescent="0.3">
      <c r="A1777" t="s">
        <v>49</v>
      </c>
      <c r="B1777" t="s">
        <v>1833</v>
      </c>
      <c r="C1777">
        <v>65.708055096917406</v>
      </c>
      <c r="D1777">
        <v>77</v>
      </c>
      <c r="E1777">
        <v>605</v>
      </c>
      <c r="F1777">
        <v>3731.5911239030002</v>
      </c>
      <c r="G1777" t="s">
        <v>26</v>
      </c>
      <c r="H1777">
        <v>58</v>
      </c>
      <c r="I1777">
        <v>28</v>
      </c>
      <c r="J1777">
        <v>26</v>
      </c>
      <c r="K1777">
        <v>5</v>
      </c>
      <c r="L1777" t="s">
        <v>44</v>
      </c>
      <c r="M1777">
        <v>9.8001591520000009</v>
      </c>
      <c r="N1777" t="s">
        <v>28</v>
      </c>
      <c r="O1777" t="s">
        <v>29</v>
      </c>
      <c r="P1777">
        <f>VLOOKUP(O1777, Coordinates!$A$2:$C$6, 2, FALSE)</f>
        <v>29.760400000000001</v>
      </c>
      <c r="Q1777">
        <f>VLOOKUP(O1777, Coordinates!$A$2:$C$6, 3, FALSE)</f>
        <v>-95.369799999999998</v>
      </c>
      <c r="R1777">
        <v>5</v>
      </c>
      <c r="S1777">
        <v>485</v>
      </c>
      <c r="T1777">
        <v>13</v>
      </c>
      <c r="U1777">
        <v>68.629620840000001</v>
      </c>
      <c r="V1777" t="s">
        <v>30</v>
      </c>
      <c r="W1777">
        <v>2.26285022641509</v>
      </c>
      <c r="X1777" t="s">
        <v>31</v>
      </c>
      <c r="Y1777" t="s">
        <v>32</v>
      </c>
      <c r="Z1777">
        <v>363.35535028110002</v>
      </c>
    </row>
    <row r="1778" spans="1:26" x14ac:dyDescent="0.3">
      <c r="A1778" t="s">
        <v>61</v>
      </c>
      <c r="B1778" t="s">
        <v>1834</v>
      </c>
      <c r="C1778">
        <v>95.585834295893306</v>
      </c>
      <c r="D1778">
        <v>69</v>
      </c>
      <c r="E1778">
        <v>819</v>
      </c>
      <c r="F1778">
        <v>1977.4666211184301</v>
      </c>
      <c r="G1778" t="s">
        <v>35</v>
      </c>
      <c r="H1778">
        <v>9</v>
      </c>
      <c r="I1778">
        <v>8</v>
      </c>
      <c r="J1778">
        <v>72</v>
      </c>
      <c r="K1778">
        <v>9</v>
      </c>
      <c r="L1778" t="s">
        <v>27</v>
      </c>
      <c r="M1778">
        <v>14.322515986269799</v>
      </c>
      <c r="N1778" t="s">
        <v>45</v>
      </c>
      <c r="O1778" t="s">
        <v>38</v>
      </c>
      <c r="P1778">
        <f>VLOOKUP(O1778, Coordinates!$A$2:$C$6, 2, FALSE)</f>
        <v>25.761700000000001</v>
      </c>
      <c r="Q1778">
        <f>VLOOKUP(O1778, Coordinates!$A$2:$C$6, 3, FALSE)</f>
        <v>-80.191800000000001</v>
      </c>
      <c r="R1778">
        <v>26</v>
      </c>
      <c r="S1778">
        <v>169</v>
      </c>
      <c r="T1778">
        <v>24</v>
      </c>
      <c r="U1778">
        <v>39.355579857684397</v>
      </c>
      <c r="V1778" t="s">
        <v>39</v>
      </c>
      <c r="W1778">
        <v>4.4085240950179303</v>
      </c>
      <c r="X1778" t="s">
        <v>31</v>
      </c>
      <c r="Y1778" t="s">
        <v>32</v>
      </c>
      <c r="Z1778">
        <v>934.764745233295</v>
      </c>
    </row>
    <row r="1779" spans="1:26" x14ac:dyDescent="0.3">
      <c r="A1779" t="s">
        <v>82</v>
      </c>
      <c r="B1779" t="s">
        <v>1835</v>
      </c>
      <c r="C1779">
        <v>88.753485788409705</v>
      </c>
      <c r="D1779">
        <v>58</v>
      </c>
      <c r="E1779">
        <v>922</v>
      </c>
      <c r="F1779">
        <v>5255.14010771424</v>
      </c>
      <c r="G1779" t="s">
        <v>48</v>
      </c>
      <c r="H1779">
        <v>94</v>
      </c>
      <c r="I1779">
        <v>3</v>
      </c>
      <c r="J1779">
        <v>99</v>
      </c>
      <c r="K1779">
        <v>1</v>
      </c>
      <c r="L1779" t="s">
        <v>27</v>
      </c>
      <c r="M1779">
        <v>4.2920025978870697</v>
      </c>
      <c r="N1779" t="s">
        <v>28</v>
      </c>
      <c r="O1779" t="s">
        <v>58</v>
      </c>
      <c r="P1779">
        <f>VLOOKUP(O1779, Coordinates!$A$2:$C$6, 2, FALSE)</f>
        <v>34.052199999999999</v>
      </c>
      <c r="Q1779">
        <f>VLOOKUP(O1779, Coordinates!$A$2:$C$6, 3, FALSE)</f>
        <v>-118.2437</v>
      </c>
      <c r="R1779">
        <v>23</v>
      </c>
      <c r="S1779">
        <v>481</v>
      </c>
      <c r="T1779">
        <v>2</v>
      </c>
      <c r="U1779">
        <v>62.333734749685298</v>
      </c>
      <c r="V1779" t="s">
        <v>39</v>
      </c>
      <c r="W1779">
        <v>4.2885056102633303</v>
      </c>
      <c r="X1779" t="s">
        <v>46</v>
      </c>
      <c r="Y1779" t="s">
        <v>32</v>
      </c>
      <c r="Z1779">
        <v>580.78929162429995</v>
      </c>
    </row>
    <row r="1780" spans="1:26" x14ac:dyDescent="0.3">
      <c r="A1780" t="s">
        <v>42</v>
      </c>
      <c r="B1780" t="s">
        <v>1836</v>
      </c>
      <c r="C1780">
        <v>60.527480575425002</v>
      </c>
      <c r="D1780">
        <v>44</v>
      </c>
      <c r="E1780">
        <v>887</v>
      </c>
      <c r="F1780">
        <v>7094.1473971651103</v>
      </c>
      <c r="G1780" t="s">
        <v>26</v>
      </c>
      <c r="H1780">
        <v>3</v>
      </c>
      <c r="I1780">
        <v>29</v>
      </c>
      <c r="J1780">
        <v>55</v>
      </c>
      <c r="K1780">
        <v>4</v>
      </c>
      <c r="L1780" t="s">
        <v>27</v>
      </c>
      <c r="M1780">
        <v>11.8945128140208</v>
      </c>
      <c r="N1780" t="s">
        <v>57</v>
      </c>
      <c r="O1780" t="s">
        <v>67</v>
      </c>
      <c r="P1780">
        <f>VLOOKUP(O1780, Coordinates!$A$2:$C$6, 2, FALSE)</f>
        <v>40.712800000000001</v>
      </c>
      <c r="Q1780">
        <f>VLOOKUP(O1780, Coordinates!$A$2:$C$6, 3, FALSE)</f>
        <v>-74.006</v>
      </c>
      <c r="R1780">
        <v>12</v>
      </c>
      <c r="S1780">
        <v>784</v>
      </c>
      <c r="T1780">
        <v>12</v>
      </c>
      <c r="U1780">
        <v>48.166236714789001</v>
      </c>
      <c r="V1780" t="s">
        <v>39</v>
      </c>
      <c r="W1780">
        <v>3.5810026492603102</v>
      </c>
      <c r="X1780" t="s">
        <v>31</v>
      </c>
      <c r="Y1780" t="s">
        <v>41</v>
      </c>
      <c r="Z1780">
        <v>719.91424688903498</v>
      </c>
    </row>
    <row r="1781" spans="1:26" x14ac:dyDescent="0.3">
      <c r="A1781" t="s">
        <v>61</v>
      </c>
      <c r="B1781" t="s">
        <v>1837</v>
      </c>
      <c r="C1781">
        <v>84.210235339999997</v>
      </c>
      <c r="D1781">
        <v>74</v>
      </c>
      <c r="E1781">
        <v>421</v>
      </c>
      <c r="F1781">
        <v>8870.5476553426906</v>
      </c>
      <c r="G1781" t="s">
        <v>54</v>
      </c>
      <c r="H1781">
        <v>83</v>
      </c>
      <c r="I1781">
        <v>18</v>
      </c>
      <c r="J1781">
        <v>100</v>
      </c>
      <c r="K1781">
        <v>3</v>
      </c>
      <c r="L1781" t="s">
        <v>36</v>
      </c>
      <c r="M1781">
        <v>5.1079296988184204</v>
      </c>
      <c r="N1781" t="s">
        <v>51</v>
      </c>
      <c r="O1781" t="s">
        <v>58</v>
      </c>
      <c r="P1781">
        <f>VLOOKUP(O1781, Coordinates!$A$2:$C$6, 2, FALSE)</f>
        <v>34.052199999999999</v>
      </c>
      <c r="Q1781">
        <f>VLOOKUP(O1781, Coordinates!$A$2:$C$6, 3, FALSE)</f>
        <v>-118.2437</v>
      </c>
      <c r="R1781">
        <v>7</v>
      </c>
      <c r="S1781">
        <v>324</v>
      </c>
      <c r="T1781">
        <v>4</v>
      </c>
      <c r="U1781">
        <v>60.277334989155399</v>
      </c>
      <c r="V1781" t="s">
        <v>30</v>
      </c>
      <c r="W1781">
        <v>4.9519532026453899</v>
      </c>
      <c r="X1781" t="s">
        <v>52</v>
      </c>
      <c r="Y1781" t="s">
        <v>41</v>
      </c>
      <c r="Z1781">
        <v>525.19632167578402</v>
      </c>
    </row>
    <row r="1782" spans="1:26" x14ac:dyDescent="0.3">
      <c r="A1782" t="s">
        <v>24</v>
      </c>
      <c r="B1782" t="s">
        <v>1838</v>
      </c>
      <c r="C1782">
        <v>34.528999953961097</v>
      </c>
      <c r="D1782">
        <v>56</v>
      </c>
      <c r="E1782">
        <v>420</v>
      </c>
      <c r="F1782">
        <v>13051.9619825973</v>
      </c>
      <c r="G1782" t="s">
        <v>26</v>
      </c>
      <c r="H1782">
        <v>56</v>
      </c>
      <c r="I1782">
        <v>14</v>
      </c>
      <c r="J1782">
        <v>29</v>
      </c>
      <c r="K1782">
        <v>5</v>
      </c>
      <c r="L1782" t="s">
        <v>44</v>
      </c>
      <c r="M1782">
        <v>10.909896482200899</v>
      </c>
      <c r="N1782" t="s">
        <v>28</v>
      </c>
      <c r="O1782" t="s">
        <v>29</v>
      </c>
      <c r="P1782">
        <f>VLOOKUP(O1782, Coordinates!$A$2:$C$6, 2, FALSE)</f>
        <v>29.760400000000001</v>
      </c>
      <c r="Q1782">
        <f>VLOOKUP(O1782, Coordinates!$A$2:$C$6, 3, FALSE)</f>
        <v>-95.369799999999998</v>
      </c>
      <c r="R1782">
        <v>9</v>
      </c>
      <c r="S1782">
        <v>607</v>
      </c>
      <c r="T1782">
        <v>9</v>
      </c>
      <c r="U1782">
        <v>77.882311674857704</v>
      </c>
      <c r="V1782" t="s">
        <v>55</v>
      </c>
      <c r="W1782">
        <v>0.39359795687681898</v>
      </c>
      <c r="X1782" t="s">
        <v>40</v>
      </c>
      <c r="Y1782" t="s">
        <v>41</v>
      </c>
      <c r="Z1782">
        <v>317.89635631001403</v>
      </c>
    </row>
    <row r="1783" spans="1:26" x14ac:dyDescent="0.3">
      <c r="A1783" t="s">
        <v>61</v>
      </c>
      <c r="B1783" t="s">
        <v>1839</v>
      </c>
      <c r="C1783">
        <v>12.462993937754</v>
      </c>
      <c r="D1783">
        <v>43</v>
      </c>
      <c r="E1783">
        <v>452</v>
      </c>
      <c r="F1783">
        <v>9447.2703620065404</v>
      </c>
      <c r="G1783" t="s">
        <v>48</v>
      </c>
      <c r="H1783">
        <v>65</v>
      </c>
      <c r="I1783">
        <v>3</v>
      </c>
      <c r="J1783">
        <v>79</v>
      </c>
      <c r="K1783">
        <v>5</v>
      </c>
      <c r="L1783" t="s">
        <v>27</v>
      </c>
      <c r="M1783">
        <v>10.799613178229301</v>
      </c>
      <c r="N1783" t="s">
        <v>51</v>
      </c>
      <c r="O1783" t="s">
        <v>65</v>
      </c>
      <c r="P1783">
        <f>VLOOKUP(O1783, Coordinates!$A$2:$C$6, 2, FALSE)</f>
        <v>41.878100000000003</v>
      </c>
      <c r="Q1783">
        <f>VLOOKUP(O1783, Coordinates!$A$2:$C$6, 3, FALSE)</f>
        <v>-87.629800000000003</v>
      </c>
      <c r="R1783">
        <v>18</v>
      </c>
      <c r="S1783">
        <v>764</v>
      </c>
      <c r="T1783">
        <v>20</v>
      </c>
      <c r="U1783">
        <v>45.624236825555599</v>
      </c>
      <c r="V1783" t="s">
        <v>30</v>
      </c>
      <c r="W1783">
        <v>0.65110536269960595</v>
      </c>
      <c r="X1783" t="s">
        <v>40</v>
      </c>
      <c r="Y1783" t="s">
        <v>41</v>
      </c>
      <c r="Z1783">
        <v>592.24460248015498</v>
      </c>
    </row>
    <row r="1784" spans="1:26" x14ac:dyDescent="0.3">
      <c r="A1784" t="s">
        <v>24</v>
      </c>
      <c r="B1784" t="s">
        <v>1840</v>
      </c>
      <c r="C1784">
        <v>31.0108572447668</v>
      </c>
      <c r="D1784">
        <v>89</v>
      </c>
      <c r="E1784">
        <v>516</v>
      </c>
      <c r="F1784">
        <v>14401.442104469699</v>
      </c>
      <c r="G1784" t="s">
        <v>48</v>
      </c>
      <c r="H1784">
        <v>14</v>
      </c>
      <c r="I1784">
        <v>17</v>
      </c>
      <c r="J1784">
        <v>17</v>
      </c>
      <c r="K1784">
        <v>10</v>
      </c>
      <c r="L1784" t="s">
        <v>44</v>
      </c>
      <c r="M1784">
        <v>3.5863283836666899</v>
      </c>
      <c r="N1784" t="s">
        <v>28</v>
      </c>
      <c r="O1784" t="s">
        <v>29</v>
      </c>
      <c r="P1784">
        <f>VLOOKUP(O1784, Coordinates!$A$2:$C$6, 2, FALSE)</f>
        <v>29.760400000000001</v>
      </c>
      <c r="Q1784">
        <f>VLOOKUP(O1784, Coordinates!$A$2:$C$6, 3, FALSE)</f>
        <v>-95.369799999999998</v>
      </c>
      <c r="R1784">
        <v>14</v>
      </c>
      <c r="S1784">
        <v>139</v>
      </c>
      <c r="T1784">
        <v>23</v>
      </c>
      <c r="U1784">
        <v>91.429474847994797</v>
      </c>
      <c r="V1784" t="s">
        <v>39</v>
      </c>
      <c r="W1784">
        <v>0.42177796910284798</v>
      </c>
      <c r="X1784" t="s">
        <v>31</v>
      </c>
      <c r="Y1784" t="s">
        <v>41</v>
      </c>
      <c r="Z1784">
        <v>855.913776468008</v>
      </c>
    </row>
    <row r="1785" spans="1:26" x14ac:dyDescent="0.3">
      <c r="A1785" t="s">
        <v>82</v>
      </c>
      <c r="B1785" t="s">
        <v>1841</v>
      </c>
      <c r="C1785">
        <v>14.016301920397799</v>
      </c>
      <c r="D1785">
        <v>34</v>
      </c>
      <c r="E1785">
        <v>89</v>
      </c>
      <c r="F1785">
        <v>1109.61851874887</v>
      </c>
      <c r="G1785" t="s">
        <v>35</v>
      </c>
      <c r="H1785">
        <v>27</v>
      </c>
      <c r="I1785">
        <v>4</v>
      </c>
      <c r="J1785">
        <v>28</v>
      </c>
      <c r="K1785">
        <v>2</v>
      </c>
      <c r="L1785" t="s">
        <v>44</v>
      </c>
      <c r="M1785">
        <v>9.3597907458942693</v>
      </c>
      <c r="N1785" t="s">
        <v>45</v>
      </c>
      <c r="O1785" t="s">
        <v>38</v>
      </c>
      <c r="P1785">
        <f>VLOOKUP(O1785, Coordinates!$A$2:$C$6, 2, FALSE)</f>
        <v>25.761700000000001</v>
      </c>
      <c r="Q1785">
        <f>VLOOKUP(O1785, Coordinates!$A$2:$C$6, 3, FALSE)</f>
        <v>-80.191800000000001</v>
      </c>
      <c r="R1785">
        <v>27</v>
      </c>
      <c r="S1785">
        <v>245</v>
      </c>
      <c r="T1785">
        <v>5</v>
      </c>
      <c r="U1785">
        <v>76.275506858752706</v>
      </c>
      <c r="V1785" t="s">
        <v>55</v>
      </c>
      <c r="W1785">
        <v>4.0916648335330796</v>
      </c>
      <c r="X1785" t="s">
        <v>31</v>
      </c>
      <c r="Y1785" t="s">
        <v>41</v>
      </c>
      <c r="Z1785">
        <v>444.98883512488601</v>
      </c>
    </row>
    <row r="1786" spans="1:26" x14ac:dyDescent="0.3">
      <c r="A1786" t="s">
        <v>24</v>
      </c>
      <c r="B1786" t="s">
        <v>1842</v>
      </c>
      <c r="C1786">
        <v>36.422363260713396</v>
      </c>
      <c r="D1786">
        <v>30</v>
      </c>
      <c r="E1786">
        <v>171</v>
      </c>
      <c r="F1786">
        <v>5605.4017058237896</v>
      </c>
      <c r="G1786" t="s">
        <v>54</v>
      </c>
      <c r="H1786">
        <v>12</v>
      </c>
      <c r="I1786">
        <v>21</v>
      </c>
      <c r="J1786">
        <v>41</v>
      </c>
      <c r="K1786">
        <v>5</v>
      </c>
      <c r="L1786" t="s">
        <v>27</v>
      </c>
      <c r="M1786">
        <v>13.028365343584101</v>
      </c>
      <c r="N1786" t="s">
        <v>51</v>
      </c>
      <c r="O1786" t="s">
        <v>29</v>
      </c>
      <c r="P1786">
        <f>VLOOKUP(O1786, Coordinates!$A$2:$C$6, 2, FALSE)</f>
        <v>29.760400000000001</v>
      </c>
      <c r="Q1786">
        <f>VLOOKUP(O1786, Coordinates!$A$2:$C$6, 3, FALSE)</f>
        <v>-95.369799999999998</v>
      </c>
      <c r="R1786">
        <v>8</v>
      </c>
      <c r="S1786">
        <v>465</v>
      </c>
      <c r="T1786">
        <v>10</v>
      </c>
      <c r="U1786">
        <v>81.2086482267691</v>
      </c>
      <c r="V1786" t="s">
        <v>55</v>
      </c>
      <c r="W1786">
        <v>1.3343038540316201</v>
      </c>
      <c r="X1786" t="s">
        <v>46</v>
      </c>
      <c r="Y1786" t="s">
        <v>41</v>
      </c>
      <c r="Z1786">
        <v>701.85385254396499</v>
      </c>
    </row>
    <row r="1787" spans="1:26" x14ac:dyDescent="0.3">
      <c r="A1787" t="s">
        <v>61</v>
      </c>
      <c r="B1787" t="s">
        <v>1843</v>
      </c>
      <c r="C1787">
        <v>71.750819556531695</v>
      </c>
      <c r="D1787">
        <v>71</v>
      </c>
      <c r="E1787">
        <v>388</v>
      </c>
      <c r="F1787">
        <v>3604.17169200021</v>
      </c>
      <c r="G1787" t="s">
        <v>48</v>
      </c>
      <c r="H1787">
        <v>13</v>
      </c>
      <c r="I1787">
        <v>28</v>
      </c>
      <c r="J1787">
        <v>28</v>
      </c>
      <c r="K1787">
        <v>9</v>
      </c>
      <c r="L1787" t="s">
        <v>44</v>
      </c>
      <c r="M1787">
        <v>6.35546297215385</v>
      </c>
      <c r="N1787" t="s">
        <v>28</v>
      </c>
      <c r="O1787" t="s">
        <v>58</v>
      </c>
      <c r="P1787">
        <f>VLOOKUP(O1787, Coordinates!$A$2:$C$6, 2, FALSE)</f>
        <v>34.052199999999999</v>
      </c>
      <c r="Q1787">
        <f>VLOOKUP(O1787, Coordinates!$A$2:$C$6, 3, FALSE)</f>
        <v>-118.2437</v>
      </c>
      <c r="R1787">
        <v>16</v>
      </c>
      <c r="S1787">
        <v>709</v>
      </c>
      <c r="T1787">
        <v>6</v>
      </c>
      <c r="U1787">
        <v>91.797281625819906</v>
      </c>
      <c r="V1787" t="s">
        <v>39</v>
      </c>
      <c r="W1787">
        <v>3.4181647004855198</v>
      </c>
      <c r="X1787" t="s">
        <v>31</v>
      </c>
      <c r="Y1787" t="s">
        <v>41</v>
      </c>
      <c r="Z1787">
        <v>138.120538835368</v>
      </c>
    </row>
    <row r="1788" spans="1:26" x14ac:dyDescent="0.3">
      <c r="A1788" t="s">
        <v>42</v>
      </c>
      <c r="B1788" t="s">
        <v>1844</v>
      </c>
      <c r="C1788">
        <v>11.3201227800312</v>
      </c>
      <c r="D1788">
        <v>70</v>
      </c>
      <c r="E1788">
        <v>472</v>
      </c>
      <c r="F1788">
        <v>3281.50914495195</v>
      </c>
      <c r="G1788" t="s">
        <v>48</v>
      </c>
      <c r="H1788">
        <v>65</v>
      </c>
      <c r="I1788">
        <v>18</v>
      </c>
      <c r="J1788">
        <v>33</v>
      </c>
      <c r="K1788">
        <v>5</v>
      </c>
      <c r="L1788" t="s">
        <v>44</v>
      </c>
      <c r="M1788">
        <v>10.943877318884701</v>
      </c>
      <c r="N1788" t="s">
        <v>28</v>
      </c>
      <c r="O1788" t="s">
        <v>38</v>
      </c>
      <c r="P1788">
        <f>VLOOKUP(O1788, Coordinates!$A$2:$C$6, 2, FALSE)</f>
        <v>25.761700000000001</v>
      </c>
      <c r="Q1788">
        <f>VLOOKUP(O1788, Coordinates!$A$2:$C$6, 3, FALSE)</f>
        <v>-80.191800000000001</v>
      </c>
      <c r="R1788">
        <v>4</v>
      </c>
      <c r="S1788">
        <v>347</v>
      </c>
      <c r="T1788">
        <v>1</v>
      </c>
      <c r="U1788">
        <v>66.8850033054877</v>
      </c>
      <c r="V1788" t="s">
        <v>55</v>
      </c>
      <c r="W1788">
        <v>0.66345444228327599</v>
      </c>
      <c r="X1788" t="s">
        <v>31</v>
      </c>
      <c r="Y1788" t="s">
        <v>32</v>
      </c>
      <c r="Z1788">
        <v>942.88381959151502</v>
      </c>
    </row>
    <row r="1789" spans="1:26" x14ac:dyDescent="0.3">
      <c r="A1789" t="s">
        <v>72</v>
      </c>
      <c r="B1789" t="s">
        <v>1845</v>
      </c>
      <c r="C1789">
        <v>39.600780358595898</v>
      </c>
      <c r="D1789">
        <v>55</v>
      </c>
      <c r="E1789">
        <v>76</v>
      </c>
      <c r="F1789">
        <v>2708.69337652796</v>
      </c>
      <c r="G1789" t="s">
        <v>54</v>
      </c>
      <c r="H1789">
        <v>33</v>
      </c>
      <c r="I1789">
        <v>15</v>
      </c>
      <c r="J1789">
        <v>33</v>
      </c>
      <c r="K1789">
        <v>10</v>
      </c>
      <c r="L1789" t="s">
        <v>44</v>
      </c>
      <c r="M1789">
        <v>10.4420204932836</v>
      </c>
      <c r="N1789" t="s">
        <v>51</v>
      </c>
      <c r="O1789" t="s">
        <v>67</v>
      </c>
      <c r="P1789">
        <f>VLOOKUP(O1789, Coordinates!$A$2:$C$6, 2, FALSE)</f>
        <v>40.712800000000001</v>
      </c>
      <c r="Q1789">
        <f>VLOOKUP(O1789, Coordinates!$A$2:$C$6, 3, FALSE)</f>
        <v>-74.006</v>
      </c>
      <c r="R1789">
        <v>28</v>
      </c>
      <c r="S1789">
        <v>111</v>
      </c>
      <c r="T1789">
        <v>20</v>
      </c>
      <c r="U1789">
        <v>92.713754985807299</v>
      </c>
      <c r="V1789" t="s">
        <v>39</v>
      </c>
      <c r="W1789">
        <v>0.51595699781063098</v>
      </c>
      <c r="X1789" t="s">
        <v>31</v>
      </c>
      <c r="Y1789" t="s">
        <v>60</v>
      </c>
      <c r="Z1789">
        <v>972.93838588547999</v>
      </c>
    </row>
    <row r="1790" spans="1:26" x14ac:dyDescent="0.3">
      <c r="A1790" t="s">
        <v>61</v>
      </c>
      <c r="B1790" t="s">
        <v>1846</v>
      </c>
      <c r="C1790">
        <v>91.988862064856704</v>
      </c>
      <c r="D1790">
        <v>67</v>
      </c>
      <c r="E1790">
        <v>814</v>
      </c>
      <c r="F1790">
        <v>3428.1645210312699</v>
      </c>
      <c r="G1790" t="s">
        <v>54</v>
      </c>
      <c r="H1790">
        <v>98</v>
      </c>
      <c r="I1790">
        <v>19</v>
      </c>
      <c r="J1790">
        <v>65</v>
      </c>
      <c r="K1790">
        <v>2</v>
      </c>
      <c r="L1790" t="s">
        <v>44</v>
      </c>
      <c r="M1790">
        <v>4.6051960252084498</v>
      </c>
      <c r="N1790" t="s">
        <v>28</v>
      </c>
      <c r="O1790" t="s">
        <v>67</v>
      </c>
      <c r="P1790">
        <f>VLOOKUP(O1790, Coordinates!$A$2:$C$6, 2, FALSE)</f>
        <v>40.712800000000001</v>
      </c>
      <c r="Q1790">
        <f>VLOOKUP(O1790, Coordinates!$A$2:$C$6, 3, FALSE)</f>
        <v>-74.006</v>
      </c>
      <c r="R1790">
        <v>19</v>
      </c>
      <c r="S1790">
        <v>635</v>
      </c>
      <c r="T1790">
        <v>5</v>
      </c>
      <c r="U1790">
        <v>80.490219691179803</v>
      </c>
      <c r="V1790" t="s">
        <v>30</v>
      </c>
      <c r="W1790">
        <v>2.30082734996473</v>
      </c>
      <c r="X1790" t="s">
        <v>46</v>
      </c>
      <c r="Y1790" t="s">
        <v>32</v>
      </c>
      <c r="Z1790">
        <v>447.66514336113102</v>
      </c>
    </row>
    <row r="1791" spans="1:26" x14ac:dyDescent="0.3">
      <c r="A1791" t="s">
        <v>24</v>
      </c>
      <c r="B1791" t="s">
        <v>1847</v>
      </c>
      <c r="C1791">
        <v>20.1803528896627</v>
      </c>
      <c r="D1791">
        <v>13</v>
      </c>
      <c r="E1791">
        <v>525</v>
      </c>
      <c r="F1791">
        <v>9535.2167403656404</v>
      </c>
      <c r="G1791" t="s">
        <v>35</v>
      </c>
      <c r="H1791">
        <v>100</v>
      </c>
      <c r="I1791">
        <v>28</v>
      </c>
      <c r="J1791">
        <v>90</v>
      </c>
      <c r="K1791">
        <v>7</v>
      </c>
      <c r="L1791" t="s">
        <v>44</v>
      </c>
      <c r="M1791">
        <v>13.8610098369998</v>
      </c>
      <c r="N1791" t="s">
        <v>51</v>
      </c>
      <c r="O1791" t="s">
        <v>58</v>
      </c>
      <c r="P1791">
        <f>VLOOKUP(O1791, Coordinates!$A$2:$C$6, 2, FALSE)</f>
        <v>34.052199999999999</v>
      </c>
      <c r="Q1791">
        <f>VLOOKUP(O1791, Coordinates!$A$2:$C$6, 3, FALSE)</f>
        <v>-118.2437</v>
      </c>
      <c r="R1791">
        <v>30</v>
      </c>
      <c r="S1791">
        <v>836</v>
      </c>
      <c r="T1791">
        <v>6</v>
      </c>
      <c r="U1791">
        <v>77.636524929999993</v>
      </c>
      <c r="V1791" t="s">
        <v>30</v>
      </c>
      <c r="W1791">
        <v>1.87949176631661</v>
      </c>
      <c r="X1791" t="s">
        <v>40</v>
      </c>
      <c r="Y1791" t="s">
        <v>41</v>
      </c>
      <c r="Z1791">
        <v>548.54552213264196</v>
      </c>
    </row>
    <row r="1792" spans="1:26" x14ac:dyDescent="0.3">
      <c r="A1792" t="s">
        <v>72</v>
      </c>
      <c r="B1792" t="s">
        <v>1848</v>
      </c>
      <c r="C1792">
        <v>38.490412340987</v>
      </c>
      <c r="D1792">
        <v>3</v>
      </c>
      <c r="E1792">
        <v>797</v>
      </c>
      <c r="F1792">
        <v>27609.172772189999</v>
      </c>
      <c r="G1792" t="s">
        <v>26</v>
      </c>
      <c r="H1792">
        <v>24</v>
      </c>
      <c r="I1792">
        <v>22</v>
      </c>
      <c r="J1792">
        <v>27</v>
      </c>
      <c r="K1792">
        <v>6</v>
      </c>
      <c r="L1792" t="s">
        <v>27</v>
      </c>
      <c r="M1792">
        <v>8.8891691779999995</v>
      </c>
      <c r="N1792" t="s">
        <v>57</v>
      </c>
      <c r="O1792" t="s">
        <v>67</v>
      </c>
      <c r="P1792">
        <f>VLOOKUP(O1792, Coordinates!$A$2:$C$6, 2, FALSE)</f>
        <v>40.712800000000001</v>
      </c>
      <c r="Q1792">
        <f>VLOOKUP(O1792, Coordinates!$A$2:$C$6, 3, FALSE)</f>
        <v>-74.006</v>
      </c>
      <c r="R1792">
        <v>26</v>
      </c>
      <c r="S1792">
        <v>609</v>
      </c>
      <c r="T1792">
        <v>22</v>
      </c>
      <c r="U1792">
        <v>75.072062111015896</v>
      </c>
      <c r="V1792" t="s">
        <v>39</v>
      </c>
      <c r="W1792">
        <v>4.14582457997549</v>
      </c>
      <c r="X1792" t="s">
        <v>31</v>
      </c>
      <c r="Y1792" t="s">
        <v>41</v>
      </c>
      <c r="Z1792">
        <v>244.524431727647</v>
      </c>
    </row>
    <row r="1793" spans="1:26" x14ac:dyDescent="0.3">
      <c r="A1793" t="s">
        <v>24</v>
      </c>
      <c r="B1793" t="s">
        <v>1849</v>
      </c>
      <c r="C1793">
        <v>28.268945083674598</v>
      </c>
      <c r="D1793">
        <v>26</v>
      </c>
      <c r="E1793">
        <v>477</v>
      </c>
      <c r="F1793">
        <v>12135.8581244215</v>
      </c>
      <c r="G1793" t="s">
        <v>54</v>
      </c>
      <c r="H1793">
        <v>53</v>
      </c>
      <c r="I1793">
        <v>6</v>
      </c>
      <c r="J1793">
        <v>21</v>
      </c>
      <c r="K1793">
        <v>7</v>
      </c>
      <c r="L1793" t="s">
        <v>27</v>
      </c>
      <c r="M1793">
        <v>5.9740971952773299</v>
      </c>
      <c r="N1793" t="s">
        <v>37</v>
      </c>
      <c r="O1793" t="s">
        <v>65</v>
      </c>
      <c r="P1793">
        <f>VLOOKUP(O1793, Coordinates!$A$2:$C$6, 2, FALSE)</f>
        <v>41.878100000000003</v>
      </c>
      <c r="Q1793">
        <f>VLOOKUP(O1793, Coordinates!$A$2:$C$6, 3, FALSE)</f>
        <v>-87.629800000000003</v>
      </c>
      <c r="R1793">
        <v>6</v>
      </c>
      <c r="S1793">
        <v>344</v>
      </c>
      <c r="T1793">
        <v>21</v>
      </c>
      <c r="U1793">
        <v>75.313452435041796</v>
      </c>
      <c r="V1793" t="s">
        <v>39</v>
      </c>
      <c r="W1793">
        <v>4.1877703752149902</v>
      </c>
      <c r="X1793" t="s">
        <v>40</v>
      </c>
      <c r="Y1793" t="s">
        <v>41</v>
      </c>
      <c r="Z1793">
        <v>276.57704483224097</v>
      </c>
    </row>
    <row r="1794" spans="1:26" x14ac:dyDescent="0.3">
      <c r="A1794" t="s">
        <v>42</v>
      </c>
      <c r="B1794" t="s">
        <v>1850</v>
      </c>
      <c r="C1794">
        <v>61.693759896360497</v>
      </c>
      <c r="D1794">
        <v>57</v>
      </c>
      <c r="E1794">
        <v>997</v>
      </c>
      <c r="F1794">
        <v>7054.4225035039199</v>
      </c>
      <c r="G1794" t="s">
        <v>48</v>
      </c>
      <c r="H1794">
        <v>78</v>
      </c>
      <c r="I1794">
        <v>15</v>
      </c>
      <c r="J1794">
        <v>50</v>
      </c>
      <c r="K1794">
        <v>8</v>
      </c>
      <c r="L1794" t="s">
        <v>44</v>
      </c>
      <c r="M1794">
        <v>3.3010172598341101</v>
      </c>
      <c r="N1794" t="s">
        <v>57</v>
      </c>
      <c r="O1794" t="s">
        <v>65</v>
      </c>
      <c r="P1794">
        <f>VLOOKUP(O1794, Coordinates!$A$2:$C$6, 2, FALSE)</f>
        <v>41.878100000000003</v>
      </c>
      <c r="Q1794">
        <f>VLOOKUP(O1794, Coordinates!$A$2:$C$6, 3, FALSE)</f>
        <v>-87.629800000000003</v>
      </c>
      <c r="R1794">
        <v>19</v>
      </c>
      <c r="S1794">
        <v>270</v>
      </c>
      <c r="T1794">
        <v>19</v>
      </c>
      <c r="U1794">
        <v>21.927825614730601</v>
      </c>
      <c r="V1794" t="s">
        <v>30</v>
      </c>
      <c r="W1794">
        <v>0.58714333936737495</v>
      </c>
      <c r="X1794" t="s">
        <v>46</v>
      </c>
      <c r="Y1794" t="s">
        <v>60</v>
      </c>
      <c r="Z1794">
        <v>641.86176111002499</v>
      </c>
    </row>
    <row r="1795" spans="1:26" x14ac:dyDescent="0.3">
      <c r="A1795" t="s">
        <v>24</v>
      </c>
      <c r="B1795" t="s">
        <v>1851</v>
      </c>
      <c r="C1795">
        <v>28.1589832867841</v>
      </c>
      <c r="D1795">
        <v>24</v>
      </c>
      <c r="E1795">
        <v>262</v>
      </c>
      <c r="F1795">
        <v>6639.8882590000003</v>
      </c>
      <c r="G1795" t="s">
        <v>54</v>
      </c>
      <c r="H1795">
        <v>11</v>
      </c>
      <c r="I1795">
        <v>7</v>
      </c>
      <c r="J1795">
        <v>96</v>
      </c>
      <c r="K1795">
        <v>10</v>
      </c>
      <c r="L1795" t="s">
        <v>44</v>
      </c>
      <c r="M1795">
        <v>7.6284169338767596</v>
      </c>
      <c r="N1795" t="s">
        <v>51</v>
      </c>
      <c r="O1795" t="s">
        <v>67</v>
      </c>
      <c r="P1795">
        <f>VLOOKUP(O1795, Coordinates!$A$2:$C$6, 2, FALSE)</f>
        <v>40.712800000000001</v>
      </c>
      <c r="Q1795">
        <f>VLOOKUP(O1795, Coordinates!$A$2:$C$6, 3, FALSE)</f>
        <v>-74.006</v>
      </c>
      <c r="R1795">
        <v>15</v>
      </c>
      <c r="S1795">
        <v>131</v>
      </c>
      <c r="T1795">
        <v>11</v>
      </c>
      <c r="U1795">
        <v>79.203198102678101</v>
      </c>
      <c r="V1795" t="s">
        <v>55</v>
      </c>
      <c r="W1795">
        <v>4.0616138992102204</v>
      </c>
      <c r="X1795" t="s">
        <v>46</v>
      </c>
      <c r="Y1795" t="s">
        <v>41</v>
      </c>
      <c r="Z1795">
        <v>965.70583782096196</v>
      </c>
    </row>
    <row r="1796" spans="1:26" x14ac:dyDescent="0.3">
      <c r="A1796" t="s">
        <v>82</v>
      </c>
      <c r="B1796" t="s">
        <v>1852</v>
      </c>
      <c r="C1796">
        <v>97.737762623867894</v>
      </c>
      <c r="D1796">
        <v>53</v>
      </c>
      <c r="E1796">
        <v>279</v>
      </c>
      <c r="F1796">
        <v>3261.7691842794102</v>
      </c>
      <c r="G1796" t="s">
        <v>48</v>
      </c>
      <c r="H1796">
        <v>8</v>
      </c>
      <c r="I1796">
        <v>12</v>
      </c>
      <c r="J1796">
        <v>57</v>
      </c>
      <c r="K1796">
        <v>5</v>
      </c>
      <c r="L1796" t="s">
        <v>44</v>
      </c>
      <c r="M1796">
        <v>11.221588130000001</v>
      </c>
      <c r="N1796" t="s">
        <v>45</v>
      </c>
      <c r="O1796" t="s">
        <v>38</v>
      </c>
      <c r="P1796">
        <f>VLOOKUP(O1796, Coordinates!$A$2:$C$6, 2, FALSE)</f>
        <v>25.761700000000001</v>
      </c>
      <c r="Q1796">
        <f>VLOOKUP(O1796, Coordinates!$A$2:$C$6, 3, FALSE)</f>
        <v>-80.191800000000001</v>
      </c>
      <c r="R1796">
        <v>27</v>
      </c>
      <c r="S1796">
        <v>725</v>
      </c>
      <c r="T1796">
        <v>15</v>
      </c>
      <c r="U1796">
        <v>78.288033559163196</v>
      </c>
      <c r="V1796" t="s">
        <v>55</v>
      </c>
      <c r="W1796">
        <v>4.78144281676754</v>
      </c>
      <c r="X1796" t="s">
        <v>31</v>
      </c>
      <c r="Y1796" t="s">
        <v>41</v>
      </c>
      <c r="Z1796">
        <v>407.44623887022198</v>
      </c>
    </row>
    <row r="1797" spans="1:26" x14ac:dyDescent="0.3">
      <c r="A1797" t="s">
        <v>49</v>
      </c>
      <c r="B1797" t="s">
        <v>1853</v>
      </c>
      <c r="C1797">
        <v>69.928108853713297</v>
      </c>
      <c r="D1797">
        <v>70</v>
      </c>
      <c r="E1797">
        <v>754</v>
      </c>
      <c r="F1797">
        <v>2495.8048312787</v>
      </c>
      <c r="G1797" t="s">
        <v>35</v>
      </c>
      <c r="H1797">
        <v>30</v>
      </c>
      <c r="I1797">
        <v>16</v>
      </c>
      <c r="J1797">
        <v>91</v>
      </c>
      <c r="K1797">
        <v>2</v>
      </c>
      <c r="L1797" t="s">
        <v>36</v>
      </c>
      <c r="M1797">
        <v>9.7309637767938302</v>
      </c>
      <c r="N1797" t="s">
        <v>45</v>
      </c>
      <c r="O1797" t="s">
        <v>38</v>
      </c>
      <c r="P1797">
        <f>VLOOKUP(O1797, Coordinates!$A$2:$C$6, 2, FALSE)</f>
        <v>25.761700000000001</v>
      </c>
      <c r="Q1797">
        <f>VLOOKUP(O1797, Coordinates!$A$2:$C$6, 3, FALSE)</f>
        <v>-80.191800000000001</v>
      </c>
      <c r="R1797">
        <v>25</v>
      </c>
      <c r="S1797">
        <v>820</v>
      </c>
      <c r="T1797">
        <v>2</v>
      </c>
      <c r="U1797">
        <v>79.313022466415902</v>
      </c>
      <c r="V1797" t="s">
        <v>39</v>
      </c>
      <c r="W1797">
        <v>4.6354665949866201</v>
      </c>
      <c r="X1797" t="s">
        <v>46</v>
      </c>
      <c r="Y1797" t="s">
        <v>32</v>
      </c>
      <c r="Z1797">
        <v>436.625369187866</v>
      </c>
    </row>
    <row r="1798" spans="1:26" x14ac:dyDescent="0.3">
      <c r="A1798" t="s">
        <v>61</v>
      </c>
      <c r="B1798" t="s">
        <v>1854</v>
      </c>
      <c r="C1798">
        <v>40.666905418451698</v>
      </c>
      <c r="D1798">
        <v>43</v>
      </c>
      <c r="E1798">
        <v>24</v>
      </c>
      <c r="F1798">
        <v>4145.2670760000001</v>
      </c>
      <c r="G1798" t="s">
        <v>26</v>
      </c>
      <c r="H1798">
        <v>77</v>
      </c>
      <c r="I1798">
        <v>9</v>
      </c>
      <c r="J1798">
        <v>73</v>
      </c>
      <c r="K1798">
        <v>7</v>
      </c>
      <c r="L1798" t="s">
        <v>44</v>
      </c>
      <c r="M1798">
        <v>11.1787358337386</v>
      </c>
      <c r="N1798" t="s">
        <v>37</v>
      </c>
      <c r="O1798" t="s">
        <v>67</v>
      </c>
      <c r="P1798">
        <f>VLOOKUP(O1798, Coordinates!$A$2:$C$6, 2, FALSE)</f>
        <v>40.712800000000001</v>
      </c>
      <c r="Q1798">
        <f>VLOOKUP(O1798, Coordinates!$A$2:$C$6, 3, FALSE)</f>
        <v>-74.006</v>
      </c>
      <c r="R1798">
        <v>12</v>
      </c>
      <c r="S1798">
        <v>914</v>
      </c>
      <c r="T1798">
        <v>15</v>
      </c>
      <c r="U1798">
        <v>81.170314192379294</v>
      </c>
      <c r="V1798" t="s">
        <v>30</v>
      </c>
      <c r="W1798">
        <v>0.47381688122307303</v>
      </c>
      <c r="X1798" t="s">
        <v>46</v>
      </c>
      <c r="Y1798" t="s">
        <v>32</v>
      </c>
      <c r="Z1798">
        <v>555.60567658263801</v>
      </c>
    </row>
    <row r="1799" spans="1:26" x14ac:dyDescent="0.3">
      <c r="A1799" t="s">
        <v>49</v>
      </c>
      <c r="B1799" t="s">
        <v>1855</v>
      </c>
      <c r="C1799">
        <v>81.006976047302402</v>
      </c>
      <c r="D1799">
        <v>60</v>
      </c>
      <c r="E1799">
        <v>494</v>
      </c>
      <c r="F1799">
        <v>7676.2582772155401</v>
      </c>
      <c r="G1799" t="s">
        <v>35</v>
      </c>
      <c r="H1799">
        <v>92</v>
      </c>
      <c r="I1799">
        <v>20</v>
      </c>
      <c r="J1799">
        <v>25</v>
      </c>
      <c r="K1799">
        <v>7</v>
      </c>
      <c r="L1799" t="s">
        <v>36</v>
      </c>
      <c r="M1799">
        <v>12.0846505322053</v>
      </c>
      <c r="N1799" t="s">
        <v>51</v>
      </c>
      <c r="O1799" t="s">
        <v>29</v>
      </c>
      <c r="P1799">
        <f>VLOOKUP(O1799, Coordinates!$A$2:$C$6, 2, FALSE)</f>
        <v>29.760400000000001</v>
      </c>
      <c r="Q1799">
        <f>VLOOKUP(O1799, Coordinates!$A$2:$C$6, 3, FALSE)</f>
        <v>-95.369799999999998</v>
      </c>
      <c r="R1799">
        <v>2</v>
      </c>
      <c r="S1799">
        <v>528</v>
      </c>
      <c r="T1799">
        <v>7</v>
      </c>
      <c r="U1799">
        <v>36.399261197540397</v>
      </c>
      <c r="V1799" t="s">
        <v>55</v>
      </c>
      <c r="W1799">
        <v>3.6981538449729099</v>
      </c>
      <c r="X1799" t="s">
        <v>40</v>
      </c>
      <c r="Y1799" t="s">
        <v>41</v>
      </c>
      <c r="Z1799">
        <v>945.81316862128199</v>
      </c>
    </row>
    <row r="1800" spans="1:26" x14ac:dyDescent="0.3">
      <c r="A1800" t="s">
        <v>24</v>
      </c>
      <c r="B1800" t="s">
        <v>1856</v>
      </c>
      <c r="C1800">
        <v>20.013189278861699</v>
      </c>
      <c r="D1800">
        <v>58</v>
      </c>
      <c r="E1800">
        <v>749</v>
      </c>
      <c r="F1800">
        <v>13490.8908928807</v>
      </c>
      <c r="G1800" t="s">
        <v>54</v>
      </c>
      <c r="H1800">
        <v>52</v>
      </c>
      <c r="I1800">
        <v>5</v>
      </c>
      <c r="J1800">
        <v>89</v>
      </c>
      <c r="K1800">
        <v>8</v>
      </c>
      <c r="L1800" t="s">
        <v>36</v>
      </c>
      <c r="M1800">
        <v>7.1740667309999999</v>
      </c>
      <c r="N1800" t="s">
        <v>28</v>
      </c>
      <c r="O1800" t="s">
        <v>65</v>
      </c>
      <c r="P1800">
        <f>VLOOKUP(O1800, Coordinates!$A$2:$C$6, 2, FALSE)</f>
        <v>41.878100000000003</v>
      </c>
      <c r="Q1800">
        <f>VLOOKUP(O1800, Coordinates!$A$2:$C$6, 3, FALSE)</f>
        <v>-87.629800000000003</v>
      </c>
      <c r="R1800">
        <v>9</v>
      </c>
      <c r="S1800">
        <v>134</v>
      </c>
      <c r="T1800">
        <v>17</v>
      </c>
      <c r="U1800">
        <v>77.275492479999997</v>
      </c>
      <c r="V1800" t="s">
        <v>55</v>
      </c>
      <c r="W1800">
        <v>0.29816891198697998</v>
      </c>
      <c r="X1800" t="s">
        <v>52</v>
      </c>
      <c r="Y1800" t="s">
        <v>60</v>
      </c>
      <c r="Z1800">
        <v>234.690970639699</v>
      </c>
    </row>
    <row r="1801" spans="1:26" x14ac:dyDescent="0.3">
      <c r="A1801" t="s">
        <v>42</v>
      </c>
      <c r="B1801" t="s">
        <v>1857</v>
      </c>
      <c r="C1801">
        <v>16.895953154098901</v>
      </c>
      <c r="D1801">
        <v>49</v>
      </c>
      <c r="E1801">
        <v>494</v>
      </c>
      <c r="F1801">
        <v>7002.1484801578899</v>
      </c>
      <c r="G1801" t="s">
        <v>48</v>
      </c>
      <c r="H1801">
        <v>42</v>
      </c>
      <c r="I1801">
        <v>11</v>
      </c>
      <c r="J1801">
        <v>32</v>
      </c>
      <c r="K1801">
        <v>7</v>
      </c>
      <c r="L1801" t="s">
        <v>36</v>
      </c>
      <c r="M1801">
        <v>8.2823265763400897</v>
      </c>
      <c r="N1801" t="s">
        <v>57</v>
      </c>
      <c r="O1801" t="s">
        <v>38</v>
      </c>
      <c r="P1801">
        <f>VLOOKUP(O1801, Coordinates!$A$2:$C$6, 2, FALSE)</f>
        <v>25.761700000000001</v>
      </c>
      <c r="Q1801">
        <f>VLOOKUP(O1801, Coordinates!$A$2:$C$6, 3, FALSE)</f>
        <v>-80.191800000000001</v>
      </c>
      <c r="R1801">
        <v>3</v>
      </c>
      <c r="S1801">
        <v>304</v>
      </c>
      <c r="T1801">
        <v>12</v>
      </c>
      <c r="U1801">
        <v>75.040132236586501</v>
      </c>
      <c r="V1801" t="s">
        <v>39</v>
      </c>
      <c r="W1801">
        <v>1.38845884824799</v>
      </c>
      <c r="X1801" t="s">
        <v>40</v>
      </c>
      <c r="Y1801" t="s">
        <v>60</v>
      </c>
      <c r="Z1801">
        <v>596.37503014108302</v>
      </c>
    </row>
    <row r="1802" spans="1:26" x14ac:dyDescent="0.3">
      <c r="A1802" t="s">
        <v>61</v>
      </c>
      <c r="B1802" t="s">
        <v>1858</v>
      </c>
      <c r="C1802">
        <v>24.052532895300299</v>
      </c>
      <c r="D1802">
        <v>42</v>
      </c>
      <c r="E1802">
        <v>737</v>
      </c>
      <c r="F1802">
        <v>3106.25357776187</v>
      </c>
      <c r="G1802" t="s">
        <v>54</v>
      </c>
      <c r="H1802">
        <v>37</v>
      </c>
      <c r="I1802">
        <v>2</v>
      </c>
      <c r="J1802">
        <v>95</v>
      </c>
      <c r="K1802">
        <v>10</v>
      </c>
      <c r="L1802" t="s">
        <v>27</v>
      </c>
      <c r="M1802">
        <v>14.8099095621324</v>
      </c>
      <c r="N1802" t="s">
        <v>57</v>
      </c>
      <c r="O1802" t="s">
        <v>65</v>
      </c>
      <c r="P1802">
        <f>VLOOKUP(O1802, Coordinates!$A$2:$C$6, 2, FALSE)</f>
        <v>41.878100000000003</v>
      </c>
      <c r="Q1802">
        <f>VLOOKUP(O1802, Coordinates!$A$2:$C$6, 3, FALSE)</f>
        <v>-87.629800000000003</v>
      </c>
      <c r="R1802">
        <v>1</v>
      </c>
      <c r="S1802">
        <v>989</v>
      </c>
      <c r="T1802">
        <v>12</v>
      </c>
      <c r="U1802">
        <v>85.057066859620605</v>
      </c>
      <c r="V1802" t="s">
        <v>55</v>
      </c>
      <c r="W1802">
        <v>0.47715767382011498</v>
      </c>
      <c r="X1802" t="s">
        <v>31</v>
      </c>
      <c r="Y1802" t="s">
        <v>32</v>
      </c>
      <c r="Z1802">
        <v>152.36752808370201</v>
      </c>
    </row>
    <row r="1803" spans="1:26" x14ac:dyDescent="0.3">
      <c r="A1803" t="s">
        <v>24</v>
      </c>
      <c r="B1803" t="s">
        <v>1859</v>
      </c>
      <c r="C1803">
        <v>36.687001461302202</v>
      </c>
      <c r="D1803">
        <v>76</v>
      </c>
      <c r="E1803">
        <v>330</v>
      </c>
      <c r="F1803">
        <v>10896.0394340067</v>
      </c>
      <c r="G1803" t="s">
        <v>54</v>
      </c>
      <c r="H1803">
        <v>41</v>
      </c>
      <c r="I1803">
        <v>22</v>
      </c>
      <c r="J1803">
        <v>48</v>
      </c>
      <c r="K1803">
        <v>7</v>
      </c>
      <c r="L1803" t="s">
        <v>36</v>
      </c>
      <c r="M1803">
        <v>14.552719541492101</v>
      </c>
      <c r="N1803" t="s">
        <v>37</v>
      </c>
      <c r="O1803" t="s">
        <v>67</v>
      </c>
      <c r="P1803">
        <f>VLOOKUP(O1803, Coordinates!$A$2:$C$6, 2, FALSE)</f>
        <v>40.712800000000001</v>
      </c>
      <c r="Q1803">
        <f>VLOOKUP(O1803, Coordinates!$A$2:$C$6, 3, FALSE)</f>
        <v>-74.006</v>
      </c>
      <c r="R1803">
        <v>14</v>
      </c>
      <c r="S1803">
        <v>483</v>
      </c>
      <c r="T1803">
        <v>5</v>
      </c>
      <c r="U1803">
        <v>86.078256033742903</v>
      </c>
      <c r="V1803" t="s">
        <v>55</v>
      </c>
      <c r="W1803">
        <v>2.6538380492046101</v>
      </c>
      <c r="X1803" t="s">
        <v>46</v>
      </c>
      <c r="Y1803" t="s">
        <v>32</v>
      </c>
      <c r="Z1803">
        <v>512.51418810229995</v>
      </c>
    </row>
    <row r="1804" spans="1:26" x14ac:dyDescent="0.3">
      <c r="A1804" t="s">
        <v>72</v>
      </c>
      <c r="B1804" t="s">
        <v>1860</v>
      </c>
      <c r="C1804">
        <v>35.179777908995199</v>
      </c>
      <c r="D1804">
        <v>100</v>
      </c>
      <c r="E1804">
        <v>533</v>
      </c>
      <c r="F1804">
        <v>16875.739462944999</v>
      </c>
      <c r="G1804" t="s">
        <v>54</v>
      </c>
      <c r="H1804">
        <v>71</v>
      </c>
      <c r="I1804">
        <v>16</v>
      </c>
      <c r="J1804">
        <v>42</v>
      </c>
      <c r="K1804">
        <v>9</v>
      </c>
      <c r="L1804" t="s">
        <v>44</v>
      </c>
      <c r="M1804">
        <v>6.80743974662402</v>
      </c>
      <c r="N1804" t="s">
        <v>37</v>
      </c>
      <c r="O1804" t="s">
        <v>67</v>
      </c>
      <c r="P1804">
        <f>VLOOKUP(O1804, Coordinates!$A$2:$C$6, 2, FALSE)</f>
        <v>40.712800000000001</v>
      </c>
      <c r="Q1804">
        <f>VLOOKUP(O1804, Coordinates!$A$2:$C$6, 3, FALSE)</f>
        <v>-74.006</v>
      </c>
      <c r="R1804">
        <v>28</v>
      </c>
      <c r="S1804">
        <v>365</v>
      </c>
      <c r="T1804">
        <v>20</v>
      </c>
      <c r="U1804">
        <v>83.968282696927304</v>
      </c>
      <c r="V1804" t="s">
        <v>55</v>
      </c>
      <c r="W1804">
        <v>3.2261502935479598</v>
      </c>
      <c r="X1804" t="s">
        <v>31</v>
      </c>
      <c r="Y1804" t="s">
        <v>60</v>
      </c>
      <c r="Z1804">
        <v>457.490985700534</v>
      </c>
    </row>
    <row r="1805" spans="1:26" x14ac:dyDescent="0.3">
      <c r="A1805" t="s">
        <v>33</v>
      </c>
      <c r="B1805" t="s">
        <v>1861</v>
      </c>
      <c r="C1805">
        <v>62.288757730061903</v>
      </c>
      <c r="D1805">
        <v>66</v>
      </c>
      <c r="E1805">
        <v>969</v>
      </c>
      <c r="F1805">
        <v>5358.3957829875199</v>
      </c>
      <c r="G1805" t="s">
        <v>54</v>
      </c>
      <c r="H1805">
        <v>7</v>
      </c>
      <c r="I1805">
        <v>23</v>
      </c>
      <c r="J1805">
        <v>33</v>
      </c>
      <c r="K1805">
        <v>8</v>
      </c>
      <c r="L1805" t="s">
        <v>44</v>
      </c>
      <c r="M1805">
        <v>10.5925133388909</v>
      </c>
      <c r="N1805" t="s">
        <v>37</v>
      </c>
      <c r="O1805" t="s">
        <v>67</v>
      </c>
      <c r="P1805">
        <f>VLOOKUP(O1805, Coordinates!$A$2:$C$6, 2, FALSE)</f>
        <v>40.712800000000001</v>
      </c>
      <c r="Q1805">
        <f>VLOOKUP(O1805, Coordinates!$A$2:$C$6, 3, FALSE)</f>
        <v>-74.006</v>
      </c>
      <c r="R1805">
        <v>28</v>
      </c>
      <c r="S1805">
        <v>676</v>
      </c>
      <c r="T1805">
        <v>7</v>
      </c>
      <c r="U1805">
        <v>19.8455294416617</v>
      </c>
      <c r="V1805" t="s">
        <v>30</v>
      </c>
      <c r="W1805">
        <v>4.4542757324021203</v>
      </c>
      <c r="X1805" t="s">
        <v>40</v>
      </c>
      <c r="Y1805" t="s">
        <v>32</v>
      </c>
      <c r="Z1805">
        <v>247.77910272272899</v>
      </c>
    </row>
    <row r="1806" spans="1:26" x14ac:dyDescent="0.3">
      <c r="A1806" t="s">
        <v>24</v>
      </c>
      <c r="B1806" t="s">
        <v>1862</v>
      </c>
      <c r="C1806">
        <v>37.880207909278099</v>
      </c>
      <c r="D1806">
        <v>11</v>
      </c>
      <c r="E1806">
        <v>93</v>
      </c>
      <c r="F1806">
        <v>3170.5734020065702</v>
      </c>
      <c r="G1806" t="s">
        <v>26</v>
      </c>
      <c r="H1806">
        <v>66</v>
      </c>
      <c r="I1806">
        <v>5</v>
      </c>
      <c r="J1806">
        <v>70</v>
      </c>
      <c r="K1806">
        <v>2</v>
      </c>
      <c r="L1806" t="s">
        <v>27</v>
      </c>
      <c r="M1806">
        <v>4.746262497</v>
      </c>
      <c r="N1806" t="s">
        <v>37</v>
      </c>
      <c r="O1806" t="s">
        <v>58</v>
      </c>
      <c r="P1806">
        <f>VLOOKUP(O1806, Coordinates!$A$2:$C$6, 2, FALSE)</f>
        <v>34.052199999999999</v>
      </c>
      <c r="Q1806">
        <f>VLOOKUP(O1806, Coordinates!$A$2:$C$6, 3, FALSE)</f>
        <v>-118.2437</v>
      </c>
      <c r="R1806">
        <v>13</v>
      </c>
      <c r="S1806">
        <v>542</v>
      </c>
      <c r="T1806">
        <v>2</v>
      </c>
      <c r="U1806">
        <v>87.121055300687601</v>
      </c>
      <c r="V1806" t="s">
        <v>39</v>
      </c>
      <c r="W1806">
        <v>3.66935960498131</v>
      </c>
      <c r="X1806" t="s">
        <v>46</v>
      </c>
      <c r="Y1806" t="s">
        <v>41</v>
      </c>
      <c r="Z1806">
        <v>247.595987228268</v>
      </c>
    </row>
    <row r="1807" spans="1:26" x14ac:dyDescent="0.3">
      <c r="A1807" t="s">
        <v>49</v>
      </c>
      <c r="B1807" t="s">
        <v>1863</v>
      </c>
      <c r="C1807">
        <v>94.3734634705025</v>
      </c>
      <c r="D1807">
        <v>98</v>
      </c>
      <c r="E1807">
        <v>490</v>
      </c>
      <c r="F1807">
        <v>5426.1156936130101</v>
      </c>
      <c r="G1807" t="s">
        <v>48</v>
      </c>
      <c r="H1807">
        <v>65</v>
      </c>
      <c r="I1807">
        <v>7</v>
      </c>
      <c r="J1807">
        <v>64</v>
      </c>
      <c r="K1807">
        <v>2</v>
      </c>
      <c r="L1807" t="s">
        <v>27</v>
      </c>
      <c r="M1807">
        <v>3.13776563889907</v>
      </c>
      <c r="N1807" t="s">
        <v>37</v>
      </c>
      <c r="O1807" t="s">
        <v>58</v>
      </c>
      <c r="P1807">
        <f>VLOOKUP(O1807, Coordinates!$A$2:$C$6, 2, FALSE)</f>
        <v>34.052199999999999</v>
      </c>
      <c r="Q1807">
        <f>VLOOKUP(O1807, Coordinates!$A$2:$C$6, 3, FALSE)</f>
        <v>-118.2437</v>
      </c>
      <c r="R1807">
        <v>29</v>
      </c>
      <c r="S1807">
        <v>709</v>
      </c>
      <c r="T1807">
        <v>27</v>
      </c>
      <c r="U1807">
        <v>72.141469791236503</v>
      </c>
      <c r="V1807" t="s">
        <v>30</v>
      </c>
      <c r="W1807">
        <v>4.8055219945688297</v>
      </c>
      <c r="X1807" t="s">
        <v>31</v>
      </c>
      <c r="Y1807" t="s">
        <v>41</v>
      </c>
      <c r="Z1807">
        <v>505.08675820815699</v>
      </c>
    </row>
    <row r="1808" spans="1:26" x14ac:dyDescent="0.3">
      <c r="A1808" t="s">
        <v>61</v>
      </c>
      <c r="B1808" t="s">
        <v>1864</v>
      </c>
      <c r="C1808">
        <v>78.711595616693998</v>
      </c>
      <c r="D1808">
        <v>90</v>
      </c>
      <c r="E1808">
        <v>712</v>
      </c>
      <c r="F1808">
        <v>6089.1072946669701</v>
      </c>
      <c r="G1808" t="s">
        <v>54</v>
      </c>
      <c r="H1808">
        <v>15</v>
      </c>
      <c r="I1808">
        <v>6</v>
      </c>
      <c r="J1808">
        <v>70</v>
      </c>
      <c r="K1808">
        <v>7</v>
      </c>
      <c r="L1808" t="s">
        <v>44</v>
      </c>
      <c r="M1808">
        <v>11.757617116732201</v>
      </c>
      <c r="N1808" t="s">
        <v>37</v>
      </c>
      <c r="O1808" t="s">
        <v>29</v>
      </c>
      <c r="P1808">
        <f>VLOOKUP(O1808, Coordinates!$A$2:$C$6, 2, FALSE)</f>
        <v>29.760400000000001</v>
      </c>
      <c r="Q1808">
        <f>VLOOKUP(O1808, Coordinates!$A$2:$C$6, 3, FALSE)</f>
        <v>-95.369799999999998</v>
      </c>
      <c r="R1808">
        <v>25</v>
      </c>
      <c r="S1808">
        <v>796</v>
      </c>
      <c r="T1808">
        <v>13</v>
      </c>
      <c r="U1808">
        <v>38.124201995817401</v>
      </c>
      <c r="V1808" t="s">
        <v>55</v>
      </c>
      <c r="W1808">
        <v>3.80474916442222</v>
      </c>
      <c r="X1808" t="s">
        <v>31</v>
      </c>
      <c r="Y1808" t="s">
        <v>41</v>
      </c>
      <c r="Z1808">
        <v>213.93541499460801</v>
      </c>
    </row>
    <row r="1809" spans="1:26" x14ac:dyDescent="0.3">
      <c r="A1809" t="s">
        <v>49</v>
      </c>
      <c r="B1809" t="s">
        <v>1865</v>
      </c>
      <c r="C1809">
        <v>17.154007828619399</v>
      </c>
      <c r="D1809">
        <v>18</v>
      </c>
      <c r="E1809">
        <v>354</v>
      </c>
      <c r="F1809">
        <v>7439.5535915901501</v>
      </c>
      <c r="G1809" t="s">
        <v>48</v>
      </c>
      <c r="H1809">
        <v>82</v>
      </c>
      <c r="I1809">
        <v>24</v>
      </c>
      <c r="J1809">
        <v>93</v>
      </c>
      <c r="K1809">
        <v>10</v>
      </c>
      <c r="L1809" t="s">
        <v>27</v>
      </c>
      <c r="M1809">
        <v>7.1065195719999998</v>
      </c>
      <c r="N1809" t="s">
        <v>28</v>
      </c>
      <c r="O1809" t="s">
        <v>29</v>
      </c>
      <c r="P1809">
        <f>VLOOKUP(O1809, Coordinates!$A$2:$C$6, 2, FALSE)</f>
        <v>29.760400000000001</v>
      </c>
      <c r="Q1809">
        <f>VLOOKUP(O1809, Coordinates!$A$2:$C$6, 3, FALSE)</f>
        <v>-95.369799999999998</v>
      </c>
      <c r="R1809">
        <v>5</v>
      </c>
      <c r="S1809">
        <v>849</v>
      </c>
      <c r="T1809">
        <v>24</v>
      </c>
      <c r="U1809">
        <v>76.223779214178293</v>
      </c>
      <c r="V1809" t="s">
        <v>55</v>
      </c>
      <c r="W1809">
        <v>1.49036551646225</v>
      </c>
      <c r="X1809" t="s">
        <v>40</v>
      </c>
      <c r="Y1809" t="s">
        <v>41</v>
      </c>
      <c r="Z1809">
        <v>365.30053952969502</v>
      </c>
    </row>
    <row r="1810" spans="1:26" x14ac:dyDescent="0.3">
      <c r="A1810" t="s">
        <v>61</v>
      </c>
      <c r="B1810" t="s">
        <v>1866</v>
      </c>
      <c r="C1810">
        <v>38.013172830000002</v>
      </c>
      <c r="D1810">
        <v>85</v>
      </c>
      <c r="E1810">
        <v>88</v>
      </c>
      <c r="F1810">
        <v>1986.65374963095</v>
      </c>
      <c r="G1810" t="s">
        <v>26</v>
      </c>
      <c r="H1810">
        <v>93</v>
      </c>
      <c r="I1810">
        <v>22</v>
      </c>
      <c r="J1810">
        <v>49</v>
      </c>
      <c r="K1810">
        <v>10</v>
      </c>
      <c r="L1810" t="s">
        <v>27</v>
      </c>
      <c r="M1810">
        <v>3.4787392511002602</v>
      </c>
      <c r="N1810" t="s">
        <v>28</v>
      </c>
      <c r="O1810" t="s">
        <v>65</v>
      </c>
      <c r="P1810">
        <f>VLOOKUP(O1810, Coordinates!$A$2:$C$6, 2, FALSE)</f>
        <v>41.878100000000003</v>
      </c>
      <c r="Q1810">
        <f>VLOOKUP(O1810, Coordinates!$A$2:$C$6, 3, FALSE)</f>
        <v>-87.629800000000003</v>
      </c>
      <c r="R1810">
        <v>7</v>
      </c>
      <c r="S1810">
        <v>584</v>
      </c>
      <c r="T1810">
        <v>9</v>
      </c>
      <c r="U1810">
        <v>59.5409098088194</v>
      </c>
      <c r="V1810" t="s">
        <v>55</v>
      </c>
      <c r="W1810">
        <v>2.7379240528158202</v>
      </c>
      <c r="X1810" t="s">
        <v>31</v>
      </c>
      <c r="Y1810" t="s">
        <v>32</v>
      </c>
      <c r="Z1810">
        <v>164.09651718126599</v>
      </c>
    </row>
    <row r="1811" spans="1:26" x14ac:dyDescent="0.3">
      <c r="A1811" t="s">
        <v>24</v>
      </c>
      <c r="B1811" t="s">
        <v>1867</v>
      </c>
      <c r="C1811">
        <v>23.347217847673299</v>
      </c>
      <c r="D1811">
        <v>100</v>
      </c>
      <c r="E1811">
        <v>391</v>
      </c>
      <c r="F1811">
        <v>8215.8859605962607</v>
      </c>
      <c r="G1811" t="s">
        <v>48</v>
      </c>
      <c r="H1811">
        <v>15</v>
      </c>
      <c r="I1811">
        <v>10</v>
      </c>
      <c r="J1811">
        <v>67</v>
      </c>
      <c r="K1811">
        <v>3</v>
      </c>
      <c r="L1811" t="s">
        <v>36</v>
      </c>
      <c r="M1811">
        <v>11.6238709292876</v>
      </c>
      <c r="N1811" t="s">
        <v>57</v>
      </c>
      <c r="O1811" t="s">
        <v>67</v>
      </c>
      <c r="P1811">
        <f>VLOOKUP(O1811, Coordinates!$A$2:$C$6, 2, FALSE)</f>
        <v>40.712800000000001</v>
      </c>
      <c r="Q1811">
        <f>VLOOKUP(O1811, Coordinates!$A$2:$C$6, 3, FALSE)</f>
        <v>-74.006</v>
      </c>
      <c r="R1811">
        <v>14</v>
      </c>
      <c r="S1811">
        <v>569</v>
      </c>
      <c r="T1811">
        <v>29</v>
      </c>
      <c r="U1811">
        <v>78.853141431485895</v>
      </c>
      <c r="V1811" t="s">
        <v>30</v>
      </c>
      <c r="W1811">
        <v>2.28969819660007</v>
      </c>
      <c r="X1811" t="s">
        <v>46</v>
      </c>
      <c r="Y1811" t="s">
        <v>41</v>
      </c>
      <c r="Z1811">
        <v>367.564351568711</v>
      </c>
    </row>
    <row r="1812" spans="1:26" x14ac:dyDescent="0.3">
      <c r="A1812" t="s">
        <v>82</v>
      </c>
      <c r="B1812" t="s">
        <v>1868</v>
      </c>
      <c r="C1812">
        <v>42.616350931022403</v>
      </c>
      <c r="D1812">
        <v>52</v>
      </c>
      <c r="E1812">
        <v>91</v>
      </c>
      <c r="F1812">
        <v>2222.97535114834</v>
      </c>
      <c r="G1812" t="s">
        <v>48</v>
      </c>
      <c r="H1812">
        <v>30</v>
      </c>
      <c r="I1812">
        <v>14</v>
      </c>
      <c r="J1812">
        <v>81</v>
      </c>
      <c r="K1812">
        <v>1</v>
      </c>
      <c r="L1812" t="s">
        <v>36</v>
      </c>
      <c r="M1812">
        <v>13.8123850371163</v>
      </c>
      <c r="N1812" t="s">
        <v>57</v>
      </c>
      <c r="O1812" t="s">
        <v>29</v>
      </c>
      <c r="P1812">
        <f>VLOOKUP(O1812, Coordinates!$A$2:$C$6, 2, FALSE)</f>
        <v>29.760400000000001</v>
      </c>
      <c r="Q1812">
        <f>VLOOKUP(O1812, Coordinates!$A$2:$C$6, 3, FALSE)</f>
        <v>-95.369799999999998</v>
      </c>
      <c r="R1812">
        <v>16</v>
      </c>
      <c r="S1812">
        <v>365</v>
      </c>
      <c r="T1812">
        <v>15</v>
      </c>
      <c r="U1812">
        <v>43.084421090714102</v>
      </c>
      <c r="V1812" t="s">
        <v>30</v>
      </c>
      <c r="W1812">
        <v>2.8298436181867199</v>
      </c>
      <c r="X1812" t="s">
        <v>31</v>
      </c>
      <c r="Y1812" t="s">
        <v>41</v>
      </c>
      <c r="Z1812">
        <v>580.32321531759703</v>
      </c>
    </row>
    <row r="1813" spans="1:26" x14ac:dyDescent="0.3">
      <c r="A1813" t="s">
        <v>72</v>
      </c>
      <c r="B1813" t="s">
        <v>1869</v>
      </c>
      <c r="C1813">
        <v>24.302251821203001</v>
      </c>
      <c r="D1813">
        <v>46</v>
      </c>
      <c r="E1813">
        <v>311</v>
      </c>
      <c r="F1813">
        <v>6802.2002847547201</v>
      </c>
      <c r="G1813" t="s">
        <v>26</v>
      </c>
      <c r="H1813">
        <v>57</v>
      </c>
      <c r="I1813">
        <v>8</v>
      </c>
      <c r="J1813">
        <v>83</v>
      </c>
      <c r="K1813">
        <v>9</v>
      </c>
      <c r="L1813" t="s">
        <v>27</v>
      </c>
      <c r="M1813">
        <v>14.0658290064083</v>
      </c>
      <c r="N1813" t="s">
        <v>37</v>
      </c>
      <c r="O1813" t="s">
        <v>67</v>
      </c>
      <c r="P1813">
        <f>VLOOKUP(O1813, Coordinates!$A$2:$C$6, 2, FALSE)</f>
        <v>40.712800000000001</v>
      </c>
      <c r="Q1813">
        <f>VLOOKUP(O1813, Coordinates!$A$2:$C$6, 3, FALSE)</f>
        <v>-74.006</v>
      </c>
      <c r="R1813">
        <v>18</v>
      </c>
      <c r="S1813">
        <v>843</v>
      </c>
      <c r="T1813">
        <v>28</v>
      </c>
      <c r="U1813">
        <v>90.076780232604705</v>
      </c>
      <c r="V1813" t="s">
        <v>30</v>
      </c>
      <c r="W1813">
        <v>2.8604466970619602</v>
      </c>
      <c r="X1813" t="s">
        <v>46</v>
      </c>
      <c r="Y1813" t="s">
        <v>41</v>
      </c>
      <c r="Z1813">
        <v>769.48390432423798</v>
      </c>
    </row>
    <row r="1814" spans="1:26" x14ac:dyDescent="0.3">
      <c r="A1814" t="s">
        <v>24</v>
      </c>
      <c r="B1814" t="s">
        <v>1870</v>
      </c>
      <c r="C1814">
        <v>26.0706116367828</v>
      </c>
      <c r="D1814">
        <v>44</v>
      </c>
      <c r="E1814">
        <v>854</v>
      </c>
      <c r="F1814">
        <v>20037.872104031299</v>
      </c>
      <c r="H1814">
        <v>27</v>
      </c>
      <c r="I1814">
        <v>29</v>
      </c>
      <c r="J1814">
        <v>10</v>
      </c>
      <c r="K1814">
        <v>3</v>
      </c>
      <c r="L1814" t="s">
        <v>44</v>
      </c>
      <c r="M1814">
        <v>9.3486719184766702</v>
      </c>
      <c r="N1814" t="s">
        <v>57</v>
      </c>
      <c r="O1814" t="s">
        <v>65</v>
      </c>
      <c r="P1814">
        <f>VLOOKUP(O1814, Coordinates!$A$2:$C$6, 2, FALSE)</f>
        <v>41.878100000000003</v>
      </c>
      <c r="Q1814">
        <f>VLOOKUP(O1814, Coordinates!$A$2:$C$6, 3, FALSE)</f>
        <v>-87.629800000000003</v>
      </c>
      <c r="R1814">
        <v>14</v>
      </c>
      <c r="S1814">
        <v>208</v>
      </c>
      <c r="T1814">
        <v>26</v>
      </c>
      <c r="U1814">
        <v>87.209378692599103</v>
      </c>
      <c r="V1814" t="s">
        <v>30</v>
      </c>
      <c r="W1814">
        <v>3.5105054273451302</v>
      </c>
      <c r="X1814" t="s">
        <v>31</v>
      </c>
      <c r="Y1814" t="s">
        <v>41</v>
      </c>
      <c r="Z1814">
        <v>847.36617679609196</v>
      </c>
    </row>
    <row r="1815" spans="1:26" x14ac:dyDescent="0.3">
      <c r="A1815" t="s">
        <v>49</v>
      </c>
      <c r="B1815" t="s">
        <v>1871</v>
      </c>
      <c r="C1815">
        <v>34.0748890346648</v>
      </c>
      <c r="D1815">
        <v>22</v>
      </c>
      <c r="E1815">
        <v>158</v>
      </c>
      <c r="F1815">
        <v>9612.9259198339696</v>
      </c>
      <c r="G1815" t="s">
        <v>48</v>
      </c>
      <c r="H1815">
        <v>3</v>
      </c>
      <c r="I1815">
        <v>14</v>
      </c>
      <c r="J1815">
        <v>94</v>
      </c>
      <c r="K1815">
        <v>1</v>
      </c>
      <c r="L1815" t="s">
        <v>36</v>
      </c>
      <c r="M1815">
        <v>7.714975806</v>
      </c>
      <c r="N1815" t="s">
        <v>37</v>
      </c>
      <c r="O1815" t="s">
        <v>58</v>
      </c>
      <c r="P1815">
        <f>VLOOKUP(O1815, Coordinates!$A$2:$C$6, 2, FALSE)</f>
        <v>34.052199999999999</v>
      </c>
      <c r="Q1815">
        <f>VLOOKUP(O1815, Coordinates!$A$2:$C$6, 3, FALSE)</f>
        <v>-118.2437</v>
      </c>
      <c r="R1815">
        <v>1</v>
      </c>
      <c r="S1815">
        <v>588</v>
      </c>
      <c r="T1815">
        <v>15</v>
      </c>
      <c r="U1815">
        <v>79.194848800245197</v>
      </c>
      <c r="V1815" t="s">
        <v>39</v>
      </c>
      <c r="W1815">
        <v>0.41521907322782098</v>
      </c>
      <c r="X1815" t="s">
        <v>40</v>
      </c>
      <c r="Y1815" t="s">
        <v>60</v>
      </c>
      <c r="Z1815">
        <v>404.05824620324501</v>
      </c>
    </row>
    <row r="1816" spans="1:26" x14ac:dyDescent="0.3">
      <c r="A1816" t="s">
        <v>33</v>
      </c>
      <c r="B1816" t="s">
        <v>1872</v>
      </c>
      <c r="C1816">
        <v>57.428327960012602</v>
      </c>
      <c r="D1816">
        <v>53</v>
      </c>
      <c r="E1816">
        <v>444</v>
      </c>
      <c r="F1816">
        <v>1543.92890446507</v>
      </c>
      <c r="G1816" t="s">
        <v>35</v>
      </c>
      <c r="H1816">
        <v>9</v>
      </c>
      <c r="I1816">
        <v>14</v>
      </c>
      <c r="J1816">
        <v>34</v>
      </c>
      <c r="K1816">
        <v>9</v>
      </c>
      <c r="L1816" t="s">
        <v>44</v>
      </c>
      <c r="M1816">
        <v>2.9861322062652702</v>
      </c>
      <c r="N1816" t="s">
        <v>28</v>
      </c>
      <c r="O1816" t="s">
        <v>29</v>
      </c>
      <c r="P1816">
        <f>VLOOKUP(O1816, Coordinates!$A$2:$C$6, 2, FALSE)</f>
        <v>29.760400000000001</v>
      </c>
      <c r="Q1816">
        <f>VLOOKUP(O1816, Coordinates!$A$2:$C$6, 3, FALSE)</f>
        <v>-95.369799999999998</v>
      </c>
      <c r="R1816">
        <v>6</v>
      </c>
      <c r="S1816">
        <v>277</v>
      </c>
      <c r="T1816">
        <v>1</v>
      </c>
      <c r="U1816">
        <v>34.429739544720398</v>
      </c>
      <c r="V1816" t="s">
        <v>30</v>
      </c>
      <c r="W1816">
        <v>3.7337256444087501</v>
      </c>
      <c r="X1816" t="s">
        <v>46</v>
      </c>
      <c r="Y1816" t="s">
        <v>41</v>
      </c>
      <c r="Z1816">
        <v>888.16138900607405</v>
      </c>
    </row>
    <row r="1817" spans="1:26" x14ac:dyDescent="0.3">
      <c r="A1817" t="s">
        <v>33</v>
      </c>
      <c r="B1817" t="s">
        <v>1873</v>
      </c>
      <c r="C1817">
        <v>79.993895081790598</v>
      </c>
      <c r="D1817">
        <v>59</v>
      </c>
      <c r="E1817">
        <v>744</v>
      </c>
      <c r="F1817">
        <v>4989.28097327465</v>
      </c>
      <c r="G1817" t="s">
        <v>48</v>
      </c>
      <c r="H1817">
        <v>50</v>
      </c>
      <c r="I1817">
        <v>20</v>
      </c>
      <c r="J1817">
        <v>62</v>
      </c>
      <c r="K1817">
        <v>4</v>
      </c>
      <c r="L1817" t="s">
        <v>27</v>
      </c>
      <c r="M1817">
        <v>12.0990572595854</v>
      </c>
      <c r="N1817" t="s">
        <v>45</v>
      </c>
      <c r="O1817" t="s">
        <v>38</v>
      </c>
      <c r="P1817">
        <f>VLOOKUP(O1817, Coordinates!$A$2:$C$6, 2, FALSE)</f>
        <v>25.761700000000001</v>
      </c>
      <c r="Q1817">
        <f>VLOOKUP(O1817, Coordinates!$A$2:$C$6, 3, FALSE)</f>
        <v>-80.191800000000001</v>
      </c>
      <c r="R1817">
        <v>26</v>
      </c>
      <c r="S1817">
        <v>348</v>
      </c>
      <c r="T1817">
        <v>21</v>
      </c>
      <c r="U1817">
        <v>10.202774890204999</v>
      </c>
      <c r="V1817" t="s">
        <v>39</v>
      </c>
      <c r="W1817">
        <v>4.7670533140849702</v>
      </c>
      <c r="X1817" t="s">
        <v>31</v>
      </c>
      <c r="Y1817" t="s">
        <v>32</v>
      </c>
      <c r="Z1817">
        <v>316.56230849999997</v>
      </c>
    </row>
    <row r="1818" spans="1:26" x14ac:dyDescent="0.3">
      <c r="A1818" t="s">
        <v>42</v>
      </c>
      <c r="B1818" t="s">
        <v>1874</v>
      </c>
      <c r="C1818">
        <v>44.540715590308103</v>
      </c>
      <c r="D1818">
        <v>94</v>
      </c>
      <c r="E1818">
        <v>964</v>
      </c>
      <c r="F1818">
        <v>2676.2044446979698</v>
      </c>
      <c r="G1818" t="s">
        <v>54</v>
      </c>
      <c r="H1818">
        <v>17</v>
      </c>
      <c r="I1818">
        <v>28</v>
      </c>
      <c r="J1818">
        <v>70</v>
      </c>
      <c r="K1818">
        <v>1</v>
      </c>
      <c r="L1818" t="s">
        <v>44</v>
      </c>
      <c r="M1818">
        <v>14.234524129404001</v>
      </c>
      <c r="N1818" t="s">
        <v>28</v>
      </c>
      <c r="O1818" t="s">
        <v>38</v>
      </c>
      <c r="P1818">
        <f>VLOOKUP(O1818, Coordinates!$A$2:$C$6, 2, FALSE)</f>
        <v>25.761700000000001</v>
      </c>
      <c r="Q1818">
        <f>VLOOKUP(O1818, Coordinates!$A$2:$C$6, 3, FALSE)</f>
        <v>-80.191800000000001</v>
      </c>
      <c r="R1818">
        <v>21</v>
      </c>
      <c r="S1818">
        <v>935</v>
      </c>
      <c r="T1818">
        <v>20</v>
      </c>
      <c r="U1818">
        <v>99.731567901839497</v>
      </c>
      <c r="V1818" t="s">
        <v>30</v>
      </c>
      <c r="W1818">
        <v>0.131036524600077</v>
      </c>
      <c r="X1818" t="s">
        <v>52</v>
      </c>
      <c r="Y1818" t="s">
        <v>41</v>
      </c>
      <c r="Z1818">
        <v>172.518724398887</v>
      </c>
    </row>
    <row r="1819" spans="1:26" x14ac:dyDescent="0.3">
      <c r="A1819" t="s">
        <v>61</v>
      </c>
      <c r="B1819" t="s">
        <v>1875</v>
      </c>
      <c r="C1819">
        <v>20.971222197933098</v>
      </c>
      <c r="D1819">
        <v>30</v>
      </c>
      <c r="E1819">
        <v>268</v>
      </c>
      <c r="F1819">
        <v>5368.1040742097603</v>
      </c>
      <c r="G1819" t="s">
        <v>35</v>
      </c>
      <c r="H1819">
        <v>46</v>
      </c>
      <c r="I1819">
        <v>23</v>
      </c>
      <c r="J1819">
        <v>55</v>
      </c>
      <c r="K1819">
        <v>4</v>
      </c>
      <c r="L1819" t="s">
        <v>44</v>
      </c>
      <c r="M1819">
        <v>13.4524457906435</v>
      </c>
      <c r="N1819" t="s">
        <v>51</v>
      </c>
      <c r="O1819" t="s">
        <v>38</v>
      </c>
      <c r="P1819">
        <f>VLOOKUP(O1819, Coordinates!$A$2:$C$6, 2, FALSE)</f>
        <v>25.761700000000001</v>
      </c>
      <c r="Q1819">
        <f>VLOOKUP(O1819, Coordinates!$A$2:$C$6, 3, FALSE)</f>
        <v>-80.191800000000001</v>
      </c>
      <c r="R1819">
        <v>10</v>
      </c>
      <c r="S1819">
        <v>971</v>
      </c>
      <c r="T1819">
        <v>21</v>
      </c>
      <c r="U1819">
        <v>28.9614010465333</v>
      </c>
      <c r="V1819" t="s">
        <v>55</v>
      </c>
      <c r="W1819">
        <v>2.5945277098073101</v>
      </c>
      <c r="X1819" t="s">
        <v>46</v>
      </c>
      <c r="Y1819" t="s">
        <v>60</v>
      </c>
      <c r="Z1819">
        <v>932.50869918244598</v>
      </c>
    </row>
    <row r="1820" spans="1:26" x14ac:dyDescent="0.3">
      <c r="A1820" t="s">
        <v>49</v>
      </c>
      <c r="B1820" t="s">
        <v>1876</v>
      </c>
      <c r="C1820">
        <v>50.120341700056002</v>
      </c>
      <c r="D1820">
        <v>8</v>
      </c>
      <c r="E1820">
        <v>981</v>
      </c>
      <c r="F1820">
        <v>8471.5951869962792</v>
      </c>
      <c r="G1820" t="s">
        <v>54</v>
      </c>
      <c r="H1820">
        <v>31</v>
      </c>
      <c r="I1820">
        <v>3</v>
      </c>
      <c r="J1820">
        <v>83</v>
      </c>
      <c r="K1820">
        <v>10</v>
      </c>
      <c r="L1820" t="s">
        <v>44</v>
      </c>
      <c r="M1820">
        <v>11.5249683621273</v>
      </c>
      <c r="N1820" t="s">
        <v>28</v>
      </c>
      <c r="O1820" t="s">
        <v>38</v>
      </c>
      <c r="P1820">
        <f>VLOOKUP(O1820, Coordinates!$A$2:$C$6, 2, FALSE)</f>
        <v>25.761700000000001</v>
      </c>
      <c r="Q1820">
        <f>VLOOKUP(O1820, Coordinates!$A$2:$C$6, 3, FALSE)</f>
        <v>-80.191800000000001</v>
      </c>
      <c r="R1820">
        <v>6</v>
      </c>
      <c r="S1820">
        <v>104</v>
      </c>
      <c r="T1820">
        <v>25</v>
      </c>
      <c r="U1820">
        <v>68.984483398335399</v>
      </c>
      <c r="V1820" t="s">
        <v>55</v>
      </c>
      <c r="W1820">
        <v>2.9073848033109799</v>
      </c>
      <c r="X1820" t="s">
        <v>46</v>
      </c>
      <c r="Y1820" t="s">
        <v>41</v>
      </c>
      <c r="Z1820">
        <v>860.75330297512699</v>
      </c>
    </row>
    <row r="1821" spans="1:26" x14ac:dyDescent="0.3">
      <c r="A1821" t="s">
        <v>42</v>
      </c>
      <c r="B1821" t="s">
        <v>1877</v>
      </c>
      <c r="C1821">
        <v>10.2461394705877</v>
      </c>
      <c r="D1821">
        <v>98</v>
      </c>
      <c r="E1821">
        <v>739</v>
      </c>
      <c r="F1821">
        <v>9555.5059726860109</v>
      </c>
      <c r="G1821" t="s">
        <v>48</v>
      </c>
      <c r="H1821">
        <v>29</v>
      </c>
      <c r="I1821">
        <v>1</v>
      </c>
      <c r="J1821">
        <v>69</v>
      </c>
      <c r="K1821">
        <v>7</v>
      </c>
      <c r="L1821" t="s">
        <v>44</v>
      </c>
      <c r="M1821">
        <v>1.06396407627086</v>
      </c>
      <c r="N1821" t="s">
        <v>51</v>
      </c>
      <c r="O1821" t="s">
        <v>38</v>
      </c>
      <c r="P1821">
        <f>VLOOKUP(O1821, Coordinates!$A$2:$C$6, 2, FALSE)</f>
        <v>25.761700000000001</v>
      </c>
      <c r="Q1821">
        <f>VLOOKUP(O1821, Coordinates!$A$2:$C$6, 3, FALSE)</f>
        <v>-80.191800000000001</v>
      </c>
      <c r="R1821">
        <v>2</v>
      </c>
      <c r="S1821">
        <v>256</v>
      </c>
      <c r="T1821">
        <v>28</v>
      </c>
      <c r="U1821">
        <v>93.422980411749407</v>
      </c>
      <c r="V1821" t="s">
        <v>30</v>
      </c>
      <c r="W1821">
        <v>0.17425535058514399</v>
      </c>
      <c r="X1821" t="s">
        <v>46</v>
      </c>
      <c r="Y1821" t="s">
        <v>32</v>
      </c>
      <c r="Z1821">
        <v>416.24137258751102</v>
      </c>
    </row>
    <row r="1822" spans="1:26" x14ac:dyDescent="0.3">
      <c r="A1822" t="s">
        <v>49</v>
      </c>
      <c r="B1822" t="s">
        <v>1878</v>
      </c>
      <c r="C1822">
        <v>94.526428129999999</v>
      </c>
      <c r="D1822">
        <v>57</v>
      </c>
      <c r="E1822">
        <v>425</v>
      </c>
      <c r="F1822">
        <v>6708.2738810638302</v>
      </c>
      <c r="G1822" t="s">
        <v>26</v>
      </c>
      <c r="H1822">
        <v>35</v>
      </c>
      <c r="I1822">
        <v>29</v>
      </c>
      <c r="J1822">
        <v>60</v>
      </c>
      <c r="K1822">
        <v>1</v>
      </c>
      <c r="L1822" t="s">
        <v>27</v>
      </c>
      <c r="M1822">
        <v>6.7085122449999997</v>
      </c>
      <c r="N1822" t="s">
        <v>57</v>
      </c>
      <c r="O1822" t="s">
        <v>38</v>
      </c>
      <c r="P1822">
        <f>VLOOKUP(O1822, Coordinates!$A$2:$C$6, 2, FALSE)</f>
        <v>25.761700000000001</v>
      </c>
      <c r="Q1822">
        <f>VLOOKUP(O1822, Coordinates!$A$2:$C$6, 3, FALSE)</f>
        <v>-80.191800000000001</v>
      </c>
      <c r="R1822">
        <v>7</v>
      </c>
      <c r="S1822">
        <v>329</v>
      </c>
      <c r="T1822">
        <v>3</v>
      </c>
      <c r="U1822">
        <v>63.974146117054303</v>
      </c>
      <c r="V1822" t="s">
        <v>30</v>
      </c>
      <c r="W1822">
        <v>2.5768555739001102</v>
      </c>
      <c r="X1822" t="s">
        <v>52</v>
      </c>
      <c r="Y1822" t="s">
        <v>32</v>
      </c>
      <c r="Z1822">
        <v>908.29977086283498</v>
      </c>
    </row>
    <row r="1823" spans="1:26" x14ac:dyDescent="0.3">
      <c r="A1823" t="s">
        <v>61</v>
      </c>
      <c r="B1823" t="s">
        <v>1879</v>
      </c>
      <c r="C1823">
        <v>12.108014493522401</v>
      </c>
      <c r="D1823">
        <v>73</v>
      </c>
      <c r="E1823">
        <v>497</v>
      </c>
      <c r="F1823">
        <v>4185.15100490635</v>
      </c>
      <c r="G1823" t="s">
        <v>54</v>
      </c>
      <c r="H1823">
        <v>8</v>
      </c>
      <c r="I1823">
        <v>9</v>
      </c>
      <c r="J1823">
        <v>82</v>
      </c>
      <c r="K1823">
        <v>10</v>
      </c>
      <c r="L1823" t="s">
        <v>27</v>
      </c>
      <c r="M1823">
        <v>6.7499984038253098</v>
      </c>
      <c r="N1823" t="s">
        <v>28</v>
      </c>
      <c r="O1823" t="s">
        <v>38</v>
      </c>
      <c r="P1823">
        <f>VLOOKUP(O1823, Coordinates!$A$2:$C$6, 2, FALSE)</f>
        <v>25.761700000000001</v>
      </c>
      <c r="Q1823">
        <f>VLOOKUP(O1823, Coordinates!$A$2:$C$6, 3, FALSE)</f>
        <v>-80.191800000000001</v>
      </c>
      <c r="R1823">
        <v>17</v>
      </c>
      <c r="S1823">
        <v>727</v>
      </c>
      <c r="T1823">
        <v>30</v>
      </c>
      <c r="U1823">
        <v>81.9127553576011</v>
      </c>
      <c r="V1823" t="s">
        <v>55</v>
      </c>
      <c r="W1823">
        <v>2.6728510418273501</v>
      </c>
      <c r="X1823" t="s">
        <v>40</v>
      </c>
      <c r="Y1823" t="s">
        <v>60</v>
      </c>
      <c r="Z1823">
        <v>798.171188380579</v>
      </c>
    </row>
    <row r="1824" spans="1:26" x14ac:dyDescent="0.3">
      <c r="A1824" t="s">
        <v>24</v>
      </c>
      <c r="B1824" t="s">
        <v>1880</v>
      </c>
      <c r="C1824">
        <v>30.604137394104502</v>
      </c>
      <c r="D1824">
        <v>20</v>
      </c>
      <c r="E1824">
        <v>637</v>
      </c>
      <c r="F1824">
        <v>17545.3519680401</v>
      </c>
      <c r="G1824" t="s">
        <v>54</v>
      </c>
      <c r="H1824">
        <v>35</v>
      </c>
      <c r="I1824">
        <v>9</v>
      </c>
      <c r="J1824">
        <v>93</v>
      </c>
      <c r="K1824">
        <v>9</v>
      </c>
      <c r="L1824" t="s">
        <v>36</v>
      </c>
      <c r="M1824">
        <v>13.521155261436199</v>
      </c>
      <c r="N1824" t="s">
        <v>45</v>
      </c>
      <c r="O1824" t="s">
        <v>38</v>
      </c>
      <c r="P1824">
        <f>VLOOKUP(O1824, Coordinates!$A$2:$C$6, 2, FALSE)</f>
        <v>25.761700000000001</v>
      </c>
      <c r="Q1824">
        <f>VLOOKUP(O1824, Coordinates!$A$2:$C$6, 3, FALSE)</f>
        <v>-80.191800000000001</v>
      </c>
      <c r="R1824">
        <v>26</v>
      </c>
      <c r="S1824">
        <v>360</v>
      </c>
      <c r="T1824">
        <v>1</v>
      </c>
      <c r="U1824">
        <v>79.423886049999993</v>
      </c>
      <c r="V1824" t="s">
        <v>39</v>
      </c>
      <c r="W1824">
        <v>3.8330783264529602</v>
      </c>
      <c r="X1824" t="s">
        <v>31</v>
      </c>
      <c r="Y1824" t="s">
        <v>32</v>
      </c>
      <c r="Z1824">
        <v>849.19934482001702</v>
      </c>
    </row>
    <row r="1825" spans="1:26" x14ac:dyDescent="0.3">
      <c r="A1825" t="s">
        <v>24</v>
      </c>
      <c r="B1825" t="s">
        <v>1881</v>
      </c>
      <c r="C1825">
        <v>26.9023267490712</v>
      </c>
      <c r="D1825">
        <v>25</v>
      </c>
      <c r="E1825">
        <v>997</v>
      </c>
      <c r="F1825">
        <v>24139.457791941601</v>
      </c>
      <c r="G1825" t="s">
        <v>26</v>
      </c>
      <c r="H1825">
        <v>28</v>
      </c>
      <c r="I1825">
        <v>22</v>
      </c>
      <c r="J1825">
        <v>57</v>
      </c>
      <c r="K1825">
        <v>6</v>
      </c>
      <c r="L1825" t="s">
        <v>36</v>
      </c>
      <c r="M1825">
        <v>1.91911003686667</v>
      </c>
      <c r="N1825" t="s">
        <v>28</v>
      </c>
      <c r="O1825" t="s">
        <v>38</v>
      </c>
      <c r="P1825">
        <f>VLOOKUP(O1825, Coordinates!$A$2:$C$6, 2, FALSE)</f>
        <v>25.761700000000001</v>
      </c>
      <c r="Q1825">
        <f>VLOOKUP(O1825, Coordinates!$A$2:$C$6, 3, FALSE)</f>
        <v>-80.191800000000001</v>
      </c>
      <c r="R1825">
        <v>24</v>
      </c>
      <c r="S1825">
        <v>927</v>
      </c>
      <c r="T1825">
        <v>27</v>
      </c>
      <c r="U1825">
        <v>82.978499592236005</v>
      </c>
      <c r="V1825" t="s">
        <v>30</v>
      </c>
      <c r="W1825">
        <v>3.5579264255733798</v>
      </c>
      <c r="X1825" t="s">
        <v>52</v>
      </c>
      <c r="Y1825" t="s">
        <v>32</v>
      </c>
      <c r="Z1825">
        <v>363.10910441111298</v>
      </c>
    </row>
    <row r="1826" spans="1:26" x14ac:dyDescent="0.3">
      <c r="A1826" t="s">
        <v>33</v>
      </c>
      <c r="B1826" t="s">
        <v>1882</v>
      </c>
      <c r="C1826">
        <v>98.603864067292093</v>
      </c>
      <c r="D1826">
        <v>19</v>
      </c>
      <c r="E1826">
        <v>415</v>
      </c>
      <c r="F1826">
        <v>9188.4127674885403</v>
      </c>
      <c r="G1826" t="s">
        <v>48</v>
      </c>
      <c r="H1826">
        <v>15</v>
      </c>
      <c r="I1826">
        <v>2</v>
      </c>
      <c r="J1826">
        <v>93</v>
      </c>
      <c r="K1826">
        <v>2</v>
      </c>
      <c r="L1826" t="s">
        <v>36</v>
      </c>
      <c r="M1826">
        <v>8.4371161743469703</v>
      </c>
      <c r="N1826" t="s">
        <v>28</v>
      </c>
      <c r="O1826" t="s">
        <v>38</v>
      </c>
      <c r="P1826">
        <f>VLOOKUP(O1826, Coordinates!$A$2:$C$6, 2, FALSE)</f>
        <v>25.761700000000001</v>
      </c>
      <c r="Q1826">
        <f>VLOOKUP(O1826, Coordinates!$A$2:$C$6, 3, FALSE)</f>
        <v>-80.191800000000001</v>
      </c>
      <c r="R1826">
        <v>14</v>
      </c>
      <c r="S1826">
        <v>420</v>
      </c>
      <c r="T1826">
        <v>19</v>
      </c>
      <c r="U1826">
        <v>60.211367981052497</v>
      </c>
      <c r="V1826" t="s">
        <v>30</v>
      </c>
      <c r="W1826">
        <v>1.0514485089219301</v>
      </c>
      <c r="X1826" t="s">
        <v>31</v>
      </c>
      <c r="Y1826" t="s">
        <v>32</v>
      </c>
      <c r="Z1826">
        <v>886.13670637131497</v>
      </c>
    </row>
    <row r="1827" spans="1:26" x14ac:dyDescent="0.3">
      <c r="A1827" t="s">
        <v>24</v>
      </c>
      <c r="B1827" t="s">
        <v>1883</v>
      </c>
      <c r="C1827">
        <v>25.9945305145615</v>
      </c>
      <c r="D1827">
        <v>5</v>
      </c>
      <c r="E1827">
        <v>177</v>
      </c>
      <c r="F1827">
        <v>4140.9287109696597</v>
      </c>
      <c r="G1827" t="s">
        <v>54</v>
      </c>
      <c r="H1827">
        <v>91</v>
      </c>
      <c r="I1827">
        <v>16</v>
      </c>
      <c r="J1827">
        <v>49</v>
      </c>
      <c r="K1827">
        <v>3</v>
      </c>
      <c r="L1827" t="s">
        <v>36</v>
      </c>
      <c r="M1827">
        <v>2.9058816549796398</v>
      </c>
      <c r="N1827" t="s">
        <v>28</v>
      </c>
      <c r="O1827" t="s">
        <v>65</v>
      </c>
      <c r="P1827">
        <f>VLOOKUP(O1827, Coordinates!$A$2:$C$6, 2, FALSE)</f>
        <v>41.878100000000003</v>
      </c>
      <c r="Q1827">
        <f>VLOOKUP(O1827, Coordinates!$A$2:$C$6, 3, FALSE)</f>
        <v>-87.629800000000003</v>
      </c>
      <c r="R1827">
        <v>23</v>
      </c>
      <c r="S1827">
        <v>226</v>
      </c>
      <c r="T1827">
        <v>20</v>
      </c>
      <c r="U1827">
        <v>89.3641094795111</v>
      </c>
      <c r="V1827" t="s">
        <v>39</v>
      </c>
      <c r="W1827">
        <v>3.9722960691264699</v>
      </c>
      <c r="X1827" t="s">
        <v>52</v>
      </c>
      <c r="Y1827" t="s">
        <v>60</v>
      </c>
      <c r="Z1827">
        <v>684.795234808234</v>
      </c>
    </row>
    <row r="1828" spans="1:26" x14ac:dyDescent="0.3">
      <c r="A1828" t="s">
        <v>24</v>
      </c>
      <c r="B1828" t="s">
        <v>1884</v>
      </c>
      <c r="C1828">
        <v>23.653879386580801</v>
      </c>
      <c r="D1828">
        <v>75</v>
      </c>
      <c r="E1828">
        <v>8</v>
      </c>
      <c r="F1828">
        <v>170.30793158338099</v>
      </c>
      <c r="G1828" t="s">
        <v>48</v>
      </c>
      <c r="H1828">
        <v>20</v>
      </c>
      <c r="I1828">
        <v>8</v>
      </c>
      <c r="J1828">
        <v>16</v>
      </c>
      <c r="K1828">
        <v>7</v>
      </c>
      <c r="L1828" t="s">
        <v>44</v>
      </c>
      <c r="M1828">
        <v>10.2721147997236</v>
      </c>
      <c r="N1828" t="s">
        <v>37</v>
      </c>
      <c r="O1828" t="s">
        <v>29</v>
      </c>
      <c r="P1828">
        <f>VLOOKUP(O1828, Coordinates!$A$2:$C$6, 2, FALSE)</f>
        <v>29.760400000000001</v>
      </c>
      <c r="Q1828">
        <f>VLOOKUP(O1828, Coordinates!$A$2:$C$6, 3, FALSE)</f>
        <v>-95.369799999999998</v>
      </c>
      <c r="R1828">
        <v>7</v>
      </c>
      <c r="S1828">
        <v>127</v>
      </c>
      <c r="T1828">
        <v>13</v>
      </c>
      <c r="U1828">
        <v>88.607413468174499</v>
      </c>
      <c r="V1828" t="s">
        <v>30</v>
      </c>
      <c r="W1828">
        <v>1.5541106490000001</v>
      </c>
      <c r="X1828" t="s">
        <v>52</v>
      </c>
      <c r="Y1828" t="s">
        <v>60</v>
      </c>
      <c r="Z1828">
        <v>764.21427096659204</v>
      </c>
    </row>
    <row r="1829" spans="1:26" x14ac:dyDescent="0.3">
      <c r="A1829" t="s">
        <v>82</v>
      </c>
      <c r="B1829" t="s">
        <v>1885</v>
      </c>
      <c r="C1829">
        <v>5.8270839710000004</v>
      </c>
      <c r="D1829">
        <v>79</v>
      </c>
      <c r="E1829">
        <v>858</v>
      </c>
      <c r="F1829">
        <v>3923.1902384232399</v>
      </c>
      <c r="G1829" t="s">
        <v>48</v>
      </c>
      <c r="H1829">
        <v>63</v>
      </c>
      <c r="I1829">
        <v>26</v>
      </c>
      <c r="J1829">
        <v>84</v>
      </c>
      <c r="K1829">
        <v>3</v>
      </c>
      <c r="L1829" t="s">
        <v>36</v>
      </c>
      <c r="M1829">
        <v>12.0915768344945</v>
      </c>
      <c r="N1829" t="s">
        <v>28</v>
      </c>
      <c r="O1829" t="s">
        <v>65</v>
      </c>
      <c r="P1829">
        <f>VLOOKUP(O1829, Coordinates!$A$2:$C$6, 2, FALSE)</f>
        <v>41.878100000000003</v>
      </c>
      <c r="Q1829">
        <f>VLOOKUP(O1829, Coordinates!$A$2:$C$6, 3, FALSE)</f>
        <v>-87.629800000000003</v>
      </c>
      <c r="R1829">
        <v>22</v>
      </c>
      <c r="S1829">
        <v>950</v>
      </c>
      <c r="T1829">
        <v>15</v>
      </c>
      <c r="U1829">
        <v>85.764355140000006</v>
      </c>
      <c r="V1829" t="s">
        <v>30</v>
      </c>
      <c r="W1829">
        <v>2.3894626573210802</v>
      </c>
      <c r="X1829" t="s">
        <v>31</v>
      </c>
      <c r="Y1829" t="s">
        <v>60</v>
      </c>
      <c r="Z1829">
        <v>381.17995914178198</v>
      </c>
    </row>
    <row r="1830" spans="1:26" x14ac:dyDescent="0.3">
      <c r="A1830" t="s">
        <v>33</v>
      </c>
      <c r="B1830" t="s">
        <v>1886</v>
      </c>
      <c r="C1830">
        <v>19.779286502583702</v>
      </c>
      <c r="D1830">
        <v>72</v>
      </c>
      <c r="E1830">
        <v>936</v>
      </c>
      <c r="F1830">
        <v>3640.5070802467999</v>
      </c>
      <c r="G1830" t="s">
        <v>48</v>
      </c>
      <c r="H1830">
        <v>3</v>
      </c>
      <c r="I1830">
        <v>29</v>
      </c>
      <c r="J1830">
        <v>94</v>
      </c>
      <c r="K1830">
        <v>3</v>
      </c>
      <c r="L1830" t="s">
        <v>36</v>
      </c>
      <c r="M1830">
        <v>9.9874289676028294</v>
      </c>
      <c r="N1830" t="s">
        <v>28</v>
      </c>
      <c r="O1830" t="s">
        <v>67</v>
      </c>
      <c r="P1830">
        <f>VLOOKUP(O1830, Coordinates!$A$2:$C$6, 2, FALSE)</f>
        <v>40.712800000000001</v>
      </c>
      <c r="Q1830">
        <f>VLOOKUP(O1830, Coordinates!$A$2:$C$6, 3, FALSE)</f>
        <v>-74.006</v>
      </c>
      <c r="R1830">
        <v>26</v>
      </c>
      <c r="S1830">
        <v>609</v>
      </c>
      <c r="T1830">
        <v>13</v>
      </c>
      <c r="U1830">
        <v>86.801914913557596</v>
      </c>
      <c r="V1830" t="s">
        <v>55</v>
      </c>
      <c r="W1830">
        <v>4.4592543970943304</v>
      </c>
      <c r="X1830" t="s">
        <v>31</v>
      </c>
      <c r="Y1830" t="s">
        <v>60</v>
      </c>
      <c r="Z1830">
        <v>320.51396387045003</v>
      </c>
    </row>
    <row r="1831" spans="1:26" x14ac:dyDescent="0.3">
      <c r="A1831" t="s">
        <v>42</v>
      </c>
      <c r="B1831" t="s">
        <v>1887</v>
      </c>
      <c r="C1831">
        <v>24.690933011428399</v>
      </c>
      <c r="D1831">
        <v>83</v>
      </c>
      <c r="E1831">
        <v>990</v>
      </c>
      <c r="F1831">
        <v>1300.7619523455301</v>
      </c>
      <c r="G1831" t="s">
        <v>26</v>
      </c>
      <c r="H1831">
        <v>58</v>
      </c>
      <c r="I1831">
        <v>23</v>
      </c>
      <c r="J1831">
        <v>28</v>
      </c>
      <c r="K1831">
        <v>5</v>
      </c>
      <c r="L1831" t="s">
        <v>44</v>
      </c>
      <c r="M1831">
        <v>12.124191974288699</v>
      </c>
      <c r="N1831" t="s">
        <v>45</v>
      </c>
      <c r="O1831" t="s">
        <v>38</v>
      </c>
      <c r="P1831">
        <f>VLOOKUP(O1831, Coordinates!$A$2:$C$6, 2, FALSE)</f>
        <v>25.761700000000001</v>
      </c>
      <c r="Q1831">
        <f>VLOOKUP(O1831, Coordinates!$A$2:$C$6, 3, FALSE)</f>
        <v>-80.191800000000001</v>
      </c>
      <c r="R1831">
        <v>29</v>
      </c>
      <c r="S1831">
        <v>327</v>
      </c>
      <c r="T1831">
        <v>18</v>
      </c>
      <c r="U1831">
        <v>86.126943012252696</v>
      </c>
      <c r="V1831" t="s">
        <v>39</v>
      </c>
      <c r="W1831">
        <v>3.72322398251083</v>
      </c>
      <c r="X1831" t="s">
        <v>31</v>
      </c>
      <c r="Y1831" t="s">
        <v>60</v>
      </c>
      <c r="Z1831">
        <v>467.36336599999998</v>
      </c>
    </row>
    <row r="1832" spans="1:26" x14ac:dyDescent="0.3">
      <c r="A1832" t="s">
        <v>72</v>
      </c>
      <c r="B1832" t="s">
        <v>1888</v>
      </c>
      <c r="C1832">
        <v>23.184019951920899</v>
      </c>
      <c r="D1832">
        <v>87</v>
      </c>
      <c r="E1832">
        <v>996</v>
      </c>
      <c r="F1832">
        <v>20782.155484901901</v>
      </c>
      <c r="G1832" t="s">
        <v>48</v>
      </c>
      <c r="H1832">
        <v>98</v>
      </c>
      <c r="I1832">
        <v>13</v>
      </c>
      <c r="J1832">
        <v>24</v>
      </c>
      <c r="K1832">
        <v>3</v>
      </c>
      <c r="L1832" t="s">
        <v>27</v>
      </c>
      <c r="M1832">
        <v>9.5049481682463206</v>
      </c>
      <c r="N1832" t="s">
        <v>51</v>
      </c>
      <c r="O1832" t="s">
        <v>58</v>
      </c>
      <c r="P1832">
        <f>VLOOKUP(O1832, Coordinates!$A$2:$C$6, 2, FALSE)</f>
        <v>34.052199999999999</v>
      </c>
      <c r="Q1832">
        <f>VLOOKUP(O1832, Coordinates!$A$2:$C$6, 3, FALSE)</f>
        <v>-118.2437</v>
      </c>
      <c r="R1832">
        <v>9</v>
      </c>
      <c r="S1832">
        <v>740</v>
      </c>
      <c r="T1832">
        <v>17</v>
      </c>
      <c r="U1832">
        <v>86.246766969999996</v>
      </c>
      <c r="V1832" t="s">
        <v>30</v>
      </c>
      <c r="W1832">
        <v>3.9093178929272701</v>
      </c>
      <c r="X1832" t="s">
        <v>40</v>
      </c>
      <c r="Y1832" t="s">
        <v>60</v>
      </c>
      <c r="Z1832">
        <v>617.691455390084</v>
      </c>
    </row>
    <row r="1833" spans="1:26" x14ac:dyDescent="0.3">
      <c r="A1833" t="s">
        <v>82</v>
      </c>
      <c r="B1833" t="s">
        <v>1889</v>
      </c>
      <c r="C1833">
        <v>25.872145087183</v>
      </c>
      <c r="D1833">
        <v>27</v>
      </c>
      <c r="E1833">
        <v>476</v>
      </c>
      <c r="F1833">
        <v>5053.4489173510701</v>
      </c>
      <c r="G1833" t="s">
        <v>48</v>
      </c>
      <c r="H1833">
        <v>27</v>
      </c>
      <c r="I1833">
        <v>1</v>
      </c>
      <c r="J1833">
        <v>79</v>
      </c>
      <c r="K1833">
        <v>3</v>
      </c>
      <c r="L1833" t="s">
        <v>36</v>
      </c>
      <c r="M1833">
        <v>3.6577475466482698</v>
      </c>
      <c r="N1833" t="s">
        <v>51</v>
      </c>
      <c r="O1833" t="s">
        <v>38</v>
      </c>
      <c r="P1833">
        <f>VLOOKUP(O1833, Coordinates!$A$2:$C$6, 2, FALSE)</f>
        <v>25.761700000000001</v>
      </c>
      <c r="Q1833">
        <f>VLOOKUP(O1833, Coordinates!$A$2:$C$6, 3, FALSE)</f>
        <v>-80.191800000000001</v>
      </c>
      <c r="R1833">
        <v>19</v>
      </c>
      <c r="S1833">
        <v>640</v>
      </c>
      <c r="T1833">
        <v>1</v>
      </c>
      <c r="U1833">
        <v>52.926032598185103</v>
      </c>
      <c r="V1833" t="s">
        <v>55</v>
      </c>
      <c r="W1833">
        <v>0.80217098807710696</v>
      </c>
      <c r="X1833" t="s">
        <v>46</v>
      </c>
      <c r="Y1833" t="s">
        <v>60</v>
      </c>
      <c r="Z1833">
        <v>699.38822071592597</v>
      </c>
    </row>
    <row r="1834" spans="1:26" x14ac:dyDescent="0.3">
      <c r="A1834" t="s">
        <v>42</v>
      </c>
      <c r="B1834" t="s">
        <v>1890</v>
      </c>
      <c r="C1834">
        <v>6.9494773992858896</v>
      </c>
      <c r="D1834">
        <v>40</v>
      </c>
      <c r="E1834">
        <v>114</v>
      </c>
      <c r="F1834">
        <v>3926.1963556023702</v>
      </c>
      <c r="G1834" t="s">
        <v>35</v>
      </c>
      <c r="H1834">
        <v>54</v>
      </c>
      <c r="I1834">
        <v>19</v>
      </c>
      <c r="J1834">
        <v>70</v>
      </c>
      <c r="K1834">
        <v>5</v>
      </c>
      <c r="L1834" t="s">
        <v>27</v>
      </c>
      <c r="M1834">
        <v>6.3572892590332399</v>
      </c>
      <c r="N1834" t="s">
        <v>45</v>
      </c>
      <c r="O1834" t="s">
        <v>38</v>
      </c>
      <c r="P1834">
        <f>VLOOKUP(O1834, Coordinates!$A$2:$C$6, 2, FALSE)</f>
        <v>25.761700000000001</v>
      </c>
      <c r="Q1834">
        <f>VLOOKUP(O1834, Coordinates!$A$2:$C$6, 3, FALSE)</f>
        <v>-80.191800000000001</v>
      </c>
      <c r="R1834">
        <v>30</v>
      </c>
      <c r="S1834">
        <v>278</v>
      </c>
      <c r="T1834">
        <v>15</v>
      </c>
      <c r="U1834">
        <v>38.020425048609503</v>
      </c>
      <c r="V1834" t="s">
        <v>39</v>
      </c>
      <c r="W1834">
        <v>4.3360020029999999</v>
      </c>
      <c r="X1834" t="s">
        <v>52</v>
      </c>
      <c r="Y1834" t="s">
        <v>60</v>
      </c>
      <c r="Z1834">
        <v>548.16809660180695</v>
      </c>
    </row>
    <row r="1835" spans="1:26" x14ac:dyDescent="0.3">
      <c r="A1835" t="s">
        <v>61</v>
      </c>
      <c r="B1835" t="s">
        <v>1891</v>
      </c>
      <c r="C1835">
        <v>83.528742822736405</v>
      </c>
      <c r="D1835">
        <v>96</v>
      </c>
      <c r="E1835">
        <v>871</v>
      </c>
      <c r="F1835">
        <v>5239.9931949797801</v>
      </c>
      <c r="G1835" t="s">
        <v>35</v>
      </c>
      <c r="H1835">
        <v>99</v>
      </c>
      <c r="I1835">
        <v>15</v>
      </c>
      <c r="J1835">
        <v>65</v>
      </c>
      <c r="K1835">
        <v>5</v>
      </c>
      <c r="L1835" t="s">
        <v>36</v>
      </c>
      <c r="M1835">
        <v>14.3961634267615</v>
      </c>
      <c r="N1835" t="s">
        <v>57</v>
      </c>
      <c r="O1835" t="s">
        <v>65</v>
      </c>
      <c r="P1835">
        <f>VLOOKUP(O1835, Coordinates!$A$2:$C$6, 2, FALSE)</f>
        <v>41.878100000000003</v>
      </c>
      <c r="Q1835">
        <f>VLOOKUP(O1835, Coordinates!$A$2:$C$6, 3, FALSE)</f>
        <v>-87.629800000000003</v>
      </c>
      <c r="R1835">
        <v>25</v>
      </c>
      <c r="S1835">
        <v>775</v>
      </c>
      <c r="T1835">
        <v>24</v>
      </c>
      <c r="U1835">
        <v>10.3024769663736</v>
      </c>
      <c r="V1835" t="s">
        <v>55</v>
      </c>
      <c r="W1835">
        <v>3.02879475340302</v>
      </c>
      <c r="X1835" t="s">
        <v>46</v>
      </c>
      <c r="Y1835" t="s">
        <v>60</v>
      </c>
      <c r="Z1835">
        <v>728.97780696315795</v>
      </c>
    </row>
    <row r="1836" spans="1:26" x14ac:dyDescent="0.3">
      <c r="A1836" t="s">
        <v>82</v>
      </c>
      <c r="B1836" t="s">
        <v>1892</v>
      </c>
      <c r="C1836">
        <v>39.731591595376798</v>
      </c>
      <c r="D1836">
        <v>26</v>
      </c>
      <c r="E1836">
        <v>41</v>
      </c>
      <c r="F1836">
        <v>8368.6419140918606</v>
      </c>
      <c r="G1836" t="s">
        <v>35</v>
      </c>
      <c r="H1836">
        <v>30</v>
      </c>
      <c r="I1836">
        <v>1</v>
      </c>
      <c r="J1836">
        <v>19</v>
      </c>
      <c r="K1836">
        <v>9</v>
      </c>
      <c r="L1836" t="s">
        <v>27</v>
      </c>
      <c r="M1836">
        <v>5.0344487788920897</v>
      </c>
      <c r="N1836" t="s">
        <v>28</v>
      </c>
      <c r="O1836" t="s">
        <v>67</v>
      </c>
      <c r="P1836">
        <f>VLOOKUP(O1836, Coordinates!$A$2:$C$6, 2, FALSE)</f>
        <v>40.712800000000001</v>
      </c>
      <c r="Q1836">
        <f>VLOOKUP(O1836, Coordinates!$A$2:$C$6, 3, FALSE)</f>
        <v>-74.006</v>
      </c>
      <c r="R1836">
        <v>21</v>
      </c>
      <c r="S1836">
        <v>771</v>
      </c>
      <c r="T1836">
        <v>4</v>
      </c>
      <c r="U1836">
        <v>78.803674377486004</v>
      </c>
      <c r="V1836" t="s">
        <v>30</v>
      </c>
      <c r="W1836">
        <v>2.0534582124442302</v>
      </c>
      <c r="X1836" t="s">
        <v>31</v>
      </c>
      <c r="Y1836" t="s">
        <v>41</v>
      </c>
      <c r="Z1836">
        <v>737.49841583153602</v>
      </c>
    </row>
    <row r="1837" spans="1:26" x14ac:dyDescent="0.3">
      <c r="A1837" t="s">
        <v>42</v>
      </c>
      <c r="B1837" t="s">
        <v>1893</v>
      </c>
      <c r="C1837">
        <v>38.601185225169701</v>
      </c>
      <c r="D1837">
        <v>27</v>
      </c>
      <c r="E1837">
        <v>996</v>
      </c>
      <c r="F1837">
        <v>2121.5278693676901</v>
      </c>
      <c r="G1837" t="s">
        <v>54</v>
      </c>
      <c r="H1837">
        <v>32</v>
      </c>
      <c r="I1837">
        <v>10</v>
      </c>
      <c r="J1837">
        <v>55</v>
      </c>
      <c r="K1837">
        <v>1</v>
      </c>
      <c r="L1837" t="s">
        <v>36</v>
      </c>
      <c r="M1837">
        <v>1.88007338</v>
      </c>
      <c r="N1837" t="s">
        <v>57</v>
      </c>
      <c r="O1837" t="s">
        <v>65</v>
      </c>
      <c r="P1837">
        <f>VLOOKUP(O1837, Coordinates!$A$2:$C$6, 2, FALSE)</f>
        <v>41.878100000000003</v>
      </c>
      <c r="Q1837">
        <f>VLOOKUP(O1837, Coordinates!$A$2:$C$6, 3, FALSE)</f>
        <v>-87.629800000000003</v>
      </c>
      <c r="R1837">
        <v>24</v>
      </c>
      <c r="S1837">
        <v>931</v>
      </c>
      <c r="T1837">
        <v>28</v>
      </c>
      <c r="U1837">
        <v>34.929845201264897</v>
      </c>
      <c r="V1837" t="s">
        <v>30</v>
      </c>
      <c r="W1837">
        <v>4.5453863820000002</v>
      </c>
      <c r="X1837" t="s">
        <v>31</v>
      </c>
      <c r="Y1837" t="s">
        <v>60</v>
      </c>
      <c r="Z1837">
        <v>699.46706719999997</v>
      </c>
    </row>
    <row r="1838" spans="1:26" x14ac:dyDescent="0.3">
      <c r="A1838" t="s">
        <v>61</v>
      </c>
      <c r="B1838" t="s">
        <v>1894</v>
      </c>
      <c r="D1838">
        <v>62</v>
      </c>
      <c r="E1838">
        <v>587</v>
      </c>
      <c r="F1838">
        <v>8718.9038941764393</v>
      </c>
      <c r="G1838" t="s">
        <v>54</v>
      </c>
      <c r="H1838">
        <v>86</v>
      </c>
      <c r="I1838">
        <v>1</v>
      </c>
      <c r="J1838">
        <v>89</v>
      </c>
      <c r="K1838">
        <v>1</v>
      </c>
      <c r="L1838" t="s">
        <v>27</v>
      </c>
      <c r="M1838">
        <v>6.3876196485377301</v>
      </c>
      <c r="N1838" t="s">
        <v>45</v>
      </c>
      <c r="O1838" t="s">
        <v>38</v>
      </c>
      <c r="P1838">
        <f>VLOOKUP(O1838, Coordinates!$A$2:$C$6, 2, FALSE)</f>
        <v>25.761700000000001</v>
      </c>
      <c r="Q1838">
        <f>VLOOKUP(O1838, Coordinates!$A$2:$C$6, 3, FALSE)</f>
        <v>-80.191800000000001</v>
      </c>
      <c r="R1838">
        <v>30</v>
      </c>
      <c r="S1838">
        <v>387</v>
      </c>
      <c r="T1838">
        <v>2</v>
      </c>
      <c r="U1838">
        <v>39.671010584680303</v>
      </c>
      <c r="V1838" t="s">
        <v>39</v>
      </c>
      <c r="W1838">
        <v>4.8092498183558696</v>
      </c>
      <c r="X1838" t="s">
        <v>52</v>
      </c>
      <c r="Y1838" t="s">
        <v>41</v>
      </c>
      <c r="Z1838">
        <v>325.97962113224298</v>
      </c>
    </row>
    <row r="1839" spans="1:26" x14ac:dyDescent="0.3">
      <c r="A1839" t="s">
        <v>33</v>
      </c>
      <c r="B1839" t="s">
        <v>1895</v>
      </c>
      <c r="C1839">
        <v>97.660461328909904</v>
      </c>
      <c r="D1839">
        <v>83</v>
      </c>
      <c r="E1839">
        <v>880</v>
      </c>
      <c r="F1839">
        <v>9077.5795159751797</v>
      </c>
      <c r="H1839">
        <v>6</v>
      </c>
      <c r="I1839">
        <v>30</v>
      </c>
      <c r="J1839">
        <v>84</v>
      </c>
      <c r="K1839">
        <v>9</v>
      </c>
      <c r="L1839" t="s">
        <v>27</v>
      </c>
      <c r="M1839">
        <v>6.1282996638176002</v>
      </c>
      <c r="N1839" t="s">
        <v>57</v>
      </c>
      <c r="O1839" t="s">
        <v>67</v>
      </c>
      <c r="P1839">
        <f>VLOOKUP(O1839, Coordinates!$A$2:$C$6, 2, FALSE)</f>
        <v>40.712800000000001</v>
      </c>
      <c r="Q1839">
        <f>VLOOKUP(O1839, Coordinates!$A$2:$C$6, 3, FALSE)</f>
        <v>-74.006</v>
      </c>
      <c r="R1839">
        <v>3</v>
      </c>
      <c r="S1839">
        <v>593</v>
      </c>
      <c r="T1839">
        <v>26</v>
      </c>
      <c r="U1839">
        <v>85.913310236233897</v>
      </c>
      <c r="V1839" t="s">
        <v>30</v>
      </c>
      <c r="W1839">
        <v>2.0527417549896101</v>
      </c>
      <c r="X1839" t="s">
        <v>52</v>
      </c>
      <c r="Y1839" t="s">
        <v>60</v>
      </c>
      <c r="Z1839">
        <v>501.69564008507803</v>
      </c>
    </row>
    <row r="1840" spans="1:26" x14ac:dyDescent="0.3">
      <c r="A1840" t="s">
        <v>72</v>
      </c>
      <c r="B1840" t="s">
        <v>1896</v>
      </c>
      <c r="C1840">
        <v>29.458794806770701</v>
      </c>
      <c r="D1840">
        <v>50</v>
      </c>
      <c r="E1840">
        <v>35</v>
      </c>
      <c r="F1840">
        <v>927.9520364</v>
      </c>
      <c r="G1840" t="s">
        <v>26</v>
      </c>
      <c r="H1840">
        <v>40</v>
      </c>
      <c r="I1840">
        <v>12</v>
      </c>
      <c r="J1840">
        <v>66</v>
      </c>
      <c r="K1840">
        <v>5</v>
      </c>
      <c r="L1840" t="s">
        <v>36</v>
      </c>
      <c r="M1840">
        <v>7.5843234202538401</v>
      </c>
      <c r="N1840" t="s">
        <v>51</v>
      </c>
      <c r="O1840" t="s">
        <v>67</v>
      </c>
      <c r="P1840">
        <f>VLOOKUP(O1840, Coordinates!$A$2:$C$6, 2, FALSE)</f>
        <v>40.712800000000001</v>
      </c>
      <c r="Q1840">
        <f>VLOOKUP(O1840, Coordinates!$A$2:$C$6, 3, FALSE)</f>
        <v>-74.006</v>
      </c>
      <c r="R1840">
        <v>23</v>
      </c>
      <c r="S1840">
        <v>364</v>
      </c>
      <c r="T1840">
        <v>19</v>
      </c>
      <c r="U1840">
        <v>94.580358350045003</v>
      </c>
      <c r="V1840" t="s">
        <v>55</v>
      </c>
      <c r="W1840">
        <v>2.63000271524459</v>
      </c>
      <c r="X1840" t="s">
        <v>52</v>
      </c>
      <c r="Y1840" t="s">
        <v>60</v>
      </c>
      <c r="Z1840">
        <v>789.17339052393299</v>
      </c>
    </row>
    <row r="1841" spans="1:26" x14ac:dyDescent="0.3">
      <c r="A1841" t="s">
        <v>61</v>
      </c>
      <c r="B1841" t="s">
        <v>1897</v>
      </c>
      <c r="C1841">
        <v>90.332616075557297</v>
      </c>
      <c r="D1841">
        <v>42</v>
      </c>
      <c r="E1841">
        <v>955</v>
      </c>
      <c r="F1841">
        <v>4577.3919320000005</v>
      </c>
      <c r="G1841" t="s">
        <v>26</v>
      </c>
      <c r="H1841">
        <v>80</v>
      </c>
      <c r="I1841">
        <v>11</v>
      </c>
      <c r="J1841">
        <v>44</v>
      </c>
      <c r="K1841">
        <v>4</v>
      </c>
      <c r="L1841" t="s">
        <v>27</v>
      </c>
      <c r="M1841">
        <v>8.8442479091369695</v>
      </c>
      <c r="N1841" t="s">
        <v>37</v>
      </c>
      <c r="O1841" t="s">
        <v>67</v>
      </c>
      <c r="P1841">
        <f>VLOOKUP(O1841, Coordinates!$A$2:$C$6, 2, FALSE)</f>
        <v>40.712800000000001</v>
      </c>
      <c r="Q1841">
        <f>VLOOKUP(O1841, Coordinates!$A$2:$C$6, 3, FALSE)</f>
        <v>-74.006</v>
      </c>
      <c r="R1841">
        <v>26</v>
      </c>
      <c r="S1841">
        <v>566</v>
      </c>
      <c r="T1841">
        <v>8</v>
      </c>
      <c r="U1841">
        <v>93.485829831169397</v>
      </c>
      <c r="V1841" t="s">
        <v>55</v>
      </c>
      <c r="W1841">
        <v>3.9820033279999998</v>
      </c>
      <c r="X1841" t="s">
        <v>52</v>
      </c>
      <c r="Y1841" t="s">
        <v>60</v>
      </c>
      <c r="Z1841">
        <v>898.26530060000005</v>
      </c>
    </row>
    <row r="1842" spans="1:26" x14ac:dyDescent="0.3">
      <c r="A1842" t="s">
        <v>24</v>
      </c>
      <c r="B1842" t="s">
        <v>1898</v>
      </c>
      <c r="C1842">
        <v>28.918000513157502</v>
      </c>
      <c r="D1842">
        <v>29</v>
      </c>
      <c r="E1842">
        <v>385</v>
      </c>
      <c r="F1842">
        <v>10020.0871778091</v>
      </c>
      <c r="G1842" t="s">
        <v>35</v>
      </c>
      <c r="H1842">
        <v>45</v>
      </c>
      <c r="I1842">
        <v>29</v>
      </c>
      <c r="J1842">
        <v>81</v>
      </c>
      <c r="K1842">
        <v>2</v>
      </c>
      <c r="L1842" t="s">
        <v>36</v>
      </c>
      <c r="M1842">
        <v>14.8939257310992</v>
      </c>
      <c r="N1842" t="s">
        <v>57</v>
      </c>
      <c r="O1842" t="s">
        <v>65</v>
      </c>
      <c r="P1842">
        <f>VLOOKUP(O1842, Coordinates!$A$2:$C$6, 2, FALSE)</f>
        <v>41.878100000000003</v>
      </c>
      <c r="Q1842">
        <f>VLOOKUP(O1842, Coordinates!$A$2:$C$6, 3, FALSE)</f>
        <v>-87.629800000000003</v>
      </c>
      <c r="R1842">
        <v>4</v>
      </c>
      <c r="S1842">
        <v>494</v>
      </c>
      <c r="T1842">
        <v>22</v>
      </c>
      <c r="U1842">
        <v>77.636451930944006</v>
      </c>
      <c r="V1842" t="s">
        <v>55</v>
      </c>
      <c r="W1842">
        <v>1.34149527050401</v>
      </c>
      <c r="X1842" t="s">
        <v>52</v>
      </c>
      <c r="Y1842" t="s">
        <v>41</v>
      </c>
      <c r="Z1842">
        <v>551.05401549999999</v>
      </c>
    </row>
    <row r="1843" spans="1:26" x14ac:dyDescent="0.3">
      <c r="A1843" t="s">
        <v>49</v>
      </c>
      <c r="B1843" t="s">
        <v>1899</v>
      </c>
      <c r="C1843">
        <v>12.2655957724347</v>
      </c>
      <c r="D1843">
        <v>39</v>
      </c>
      <c r="E1843">
        <v>272</v>
      </c>
      <c r="F1843">
        <v>4362.7673662002799</v>
      </c>
      <c r="G1843" t="s">
        <v>54</v>
      </c>
      <c r="H1843">
        <v>48</v>
      </c>
      <c r="I1843">
        <v>17</v>
      </c>
      <c r="J1843">
        <v>12</v>
      </c>
      <c r="K1843">
        <v>9</v>
      </c>
      <c r="L1843" t="s">
        <v>36</v>
      </c>
      <c r="M1843">
        <v>11.587275190604201</v>
      </c>
      <c r="N1843" t="s">
        <v>37</v>
      </c>
      <c r="O1843" t="s">
        <v>38</v>
      </c>
      <c r="P1843">
        <f>VLOOKUP(O1843, Coordinates!$A$2:$C$6, 2, FALSE)</f>
        <v>25.761700000000001</v>
      </c>
      <c r="Q1843">
        <f>VLOOKUP(O1843, Coordinates!$A$2:$C$6, 3, FALSE)</f>
        <v>-80.191800000000001</v>
      </c>
      <c r="R1843">
        <v>5</v>
      </c>
      <c r="S1843">
        <v>531</v>
      </c>
      <c r="T1843">
        <v>16</v>
      </c>
      <c r="U1843">
        <v>94.525220334286502</v>
      </c>
      <c r="V1843" t="s">
        <v>39</v>
      </c>
      <c r="W1843">
        <v>4.70910328581187</v>
      </c>
      <c r="X1843" t="s">
        <v>31</v>
      </c>
      <c r="Y1843" t="s">
        <v>41</v>
      </c>
      <c r="Z1843">
        <v>988.11166574408105</v>
      </c>
    </row>
    <row r="1844" spans="1:26" x14ac:dyDescent="0.3">
      <c r="A1844" t="s">
        <v>61</v>
      </c>
      <c r="B1844" t="s">
        <v>1900</v>
      </c>
      <c r="C1844">
        <v>98.739264642580594</v>
      </c>
      <c r="D1844">
        <v>60</v>
      </c>
      <c r="E1844">
        <v>15</v>
      </c>
      <c r="F1844">
        <v>3996.2088660826198</v>
      </c>
      <c r="G1844" t="s">
        <v>54</v>
      </c>
      <c r="H1844">
        <v>64</v>
      </c>
      <c r="I1844">
        <v>4</v>
      </c>
      <c r="J1844">
        <v>75</v>
      </c>
      <c r="K1844">
        <v>6</v>
      </c>
      <c r="L1844" t="s">
        <v>44</v>
      </c>
      <c r="M1844">
        <v>1.50247069960794</v>
      </c>
      <c r="N1844" t="s">
        <v>57</v>
      </c>
      <c r="O1844" t="s">
        <v>38</v>
      </c>
      <c r="P1844">
        <f>VLOOKUP(O1844, Coordinates!$A$2:$C$6, 2, FALSE)</f>
        <v>25.761700000000001</v>
      </c>
      <c r="Q1844">
        <f>VLOOKUP(O1844, Coordinates!$A$2:$C$6, 3, FALSE)</f>
        <v>-80.191800000000001</v>
      </c>
      <c r="R1844">
        <v>4</v>
      </c>
      <c r="S1844">
        <v>534</v>
      </c>
      <c r="T1844">
        <v>8</v>
      </c>
      <c r="U1844">
        <v>50.928264197507403</v>
      </c>
      <c r="V1844" t="s">
        <v>55</v>
      </c>
      <c r="W1844">
        <v>2.6996055636076899</v>
      </c>
      <c r="X1844" t="s">
        <v>52</v>
      </c>
      <c r="Y1844" t="s">
        <v>60</v>
      </c>
      <c r="Z1844">
        <v>257.24138988290201</v>
      </c>
    </row>
    <row r="1845" spans="1:26" x14ac:dyDescent="0.3">
      <c r="A1845" t="s">
        <v>61</v>
      </c>
      <c r="B1845" t="s">
        <v>1901</v>
      </c>
      <c r="C1845">
        <v>30.779766540000001</v>
      </c>
      <c r="D1845">
        <v>41</v>
      </c>
      <c r="E1845">
        <v>348</v>
      </c>
      <c r="F1845">
        <v>2585.3852125257399</v>
      </c>
      <c r="G1845" t="s">
        <v>26</v>
      </c>
      <c r="H1845">
        <v>41</v>
      </c>
      <c r="I1845">
        <v>29</v>
      </c>
      <c r="J1845">
        <v>62</v>
      </c>
      <c r="K1845">
        <v>9</v>
      </c>
      <c r="L1845" t="s">
        <v>36</v>
      </c>
      <c r="M1845">
        <v>10.977972594891099</v>
      </c>
      <c r="N1845" t="s">
        <v>45</v>
      </c>
      <c r="O1845" t="s">
        <v>38</v>
      </c>
      <c r="P1845">
        <f>VLOOKUP(O1845, Coordinates!$A$2:$C$6, 2, FALSE)</f>
        <v>25.761700000000001</v>
      </c>
      <c r="Q1845">
        <f>VLOOKUP(O1845, Coordinates!$A$2:$C$6, 3, FALSE)</f>
        <v>-80.191800000000001</v>
      </c>
      <c r="R1845">
        <v>26</v>
      </c>
      <c r="S1845">
        <v>487</v>
      </c>
      <c r="T1845">
        <v>10</v>
      </c>
      <c r="U1845">
        <v>19.191036263663701</v>
      </c>
      <c r="V1845" t="s">
        <v>55</v>
      </c>
      <c r="W1845">
        <v>3.66593593474478</v>
      </c>
      <c r="X1845" t="s">
        <v>40</v>
      </c>
      <c r="Y1845" t="s">
        <v>60</v>
      </c>
      <c r="Z1845">
        <v>301.94119601696701</v>
      </c>
    </row>
    <row r="1846" spans="1:26" x14ac:dyDescent="0.3">
      <c r="A1846" t="s">
        <v>72</v>
      </c>
      <c r="B1846" t="s">
        <v>1902</v>
      </c>
      <c r="C1846">
        <v>35.7026257267472</v>
      </c>
      <c r="D1846">
        <v>33</v>
      </c>
      <c r="E1846">
        <v>844</v>
      </c>
      <c r="F1846">
        <v>27119.714502037201</v>
      </c>
      <c r="G1846" t="s">
        <v>48</v>
      </c>
      <c r="H1846">
        <v>22</v>
      </c>
      <c r="I1846">
        <v>23</v>
      </c>
      <c r="J1846">
        <v>87</v>
      </c>
      <c r="K1846">
        <v>5</v>
      </c>
      <c r="L1846" t="s">
        <v>36</v>
      </c>
      <c r="M1846">
        <v>12.539244477764599</v>
      </c>
      <c r="N1846" t="s">
        <v>37</v>
      </c>
      <c r="O1846" t="s">
        <v>38</v>
      </c>
      <c r="P1846">
        <f>VLOOKUP(O1846, Coordinates!$A$2:$C$6, 2, FALSE)</f>
        <v>25.761700000000001</v>
      </c>
      <c r="Q1846">
        <f>VLOOKUP(O1846, Coordinates!$A$2:$C$6, 3, FALSE)</f>
        <v>-80.191800000000001</v>
      </c>
      <c r="R1846">
        <v>9</v>
      </c>
      <c r="S1846">
        <v>908</v>
      </c>
      <c r="T1846">
        <v>16</v>
      </c>
      <c r="U1846">
        <v>84.765581094561995</v>
      </c>
      <c r="V1846" t="s">
        <v>30</v>
      </c>
      <c r="W1846">
        <v>2.6280924172800901</v>
      </c>
      <c r="X1846" t="s">
        <v>46</v>
      </c>
      <c r="Y1846" t="s">
        <v>41</v>
      </c>
      <c r="Z1846">
        <v>514.67617603723204</v>
      </c>
    </row>
    <row r="1847" spans="1:26" x14ac:dyDescent="0.3">
      <c r="A1847" t="s">
        <v>49</v>
      </c>
      <c r="B1847" t="s">
        <v>1903</v>
      </c>
      <c r="C1847">
        <v>83.784852241947107</v>
      </c>
      <c r="D1847">
        <v>83</v>
      </c>
      <c r="E1847">
        <v>548</v>
      </c>
      <c r="F1847">
        <v>5289.6174449999999</v>
      </c>
      <c r="G1847" t="s">
        <v>26</v>
      </c>
      <c r="H1847">
        <v>26</v>
      </c>
      <c r="I1847">
        <v>7</v>
      </c>
      <c r="J1847">
        <v>61</v>
      </c>
      <c r="K1847">
        <v>4</v>
      </c>
      <c r="L1847" t="s">
        <v>36</v>
      </c>
      <c r="M1847">
        <v>13.538830344381401</v>
      </c>
      <c r="N1847" t="s">
        <v>57</v>
      </c>
      <c r="O1847" t="s">
        <v>38</v>
      </c>
      <c r="P1847">
        <f>VLOOKUP(O1847, Coordinates!$A$2:$C$6, 2, FALSE)</f>
        <v>25.761700000000001</v>
      </c>
      <c r="Q1847">
        <f>VLOOKUP(O1847, Coordinates!$A$2:$C$6, 3, FALSE)</f>
        <v>-80.191800000000001</v>
      </c>
      <c r="R1847">
        <v>28</v>
      </c>
      <c r="S1847">
        <v>636</v>
      </c>
      <c r="T1847">
        <v>5</v>
      </c>
      <c r="U1847">
        <v>90.627078314909895</v>
      </c>
      <c r="V1847" t="s">
        <v>39</v>
      </c>
      <c r="W1847">
        <v>3.85996597870006</v>
      </c>
      <c r="X1847" t="s">
        <v>46</v>
      </c>
      <c r="Y1847" t="s">
        <v>60</v>
      </c>
      <c r="Z1847">
        <v>557.866520702348</v>
      </c>
    </row>
    <row r="1848" spans="1:26" x14ac:dyDescent="0.3">
      <c r="A1848" t="s">
        <v>24</v>
      </c>
      <c r="B1848" t="s">
        <v>1904</v>
      </c>
      <c r="C1848">
        <v>36.476552853839301</v>
      </c>
      <c r="D1848">
        <v>83</v>
      </c>
      <c r="E1848">
        <v>573</v>
      </c>
      <c r="F1848">
        <v>18810.9583067249</v>
      </c>
      <c r="G1848" t="s">
        <v>48</v>
      </c>
      <c r="H1848">
        <v>88</v>
      </c>
      <c r="I1848">
        <v>12</v>
      </c>
      <c r="J1848">
        <v>62</v>
      </c>
      <c r="K1848">
        <v>7</v>
      </c>
      <c r="L1848" t="s">
        <v>36</v>
      </c>
      <c r="M1848">
        <v>6.9360854406336099</v>
      </c>
      <c r="N1848" t="s">
        <v>45</v>
      </c>
      <c r="O1848" t="s">
        <v>38</v>
      </c>
      <c r="P1848">
        <f>VLOOKUP(O1848, Coordinates!$A$2:$C$6, 2, FALSE)</f>
        <v>25.761700000000001</v>
      </c>
      <c r="Q1848">
        <f>VLOOKUP(O1848, Coordinates!$A$2:$C$6, 3, FALSE)</f>
        <v>-80.191800000000001</v>
      </c>
      <c r="R1848">
        <v>28</v>
      </c>
      <c r="S1848">
        <v>244</v>
      </c>
      <c r="T1848">
        <v>19</v>
      </c>
      <c r="U1848">
        <v>87.480695841509998</v>
      </c>
      <c r="V1848" t="s">
        <v>55</v>
      </c>
      <c r="W1848">
        <v>3.8508322724137098</v>
      </c>
      <c r="X1848" t="s">
        <v>40</v>
      </c>
      <c r="Y1848" t="s">
        <v>60</v>
      </c>
      <c r="Z1848">
        <v>482.02940065142701</v>
      </c>
    </row>
    <row r="1849" spans="1:26" x14ac:dyDescent="0.3">
      <c r="A1849" t="s">
        <v>42</v>
      </c>
      <c r="B1849" t="s">
        <v>1905</v>
      </c>
      <c r="C1849">
        <v>63.635786558400497</v>
      </c>
      <c r="D1849">
        <v>97</v>
      </c>
      <c r="E1849">
        <v>170</v>
      </c>
      <c r="F1849">
        <v>1288.9862243385201</v>
      </c>
      <c r="G1849" t="s">
        <v>54</v>
      </c>
      <c r="H1849">
        <v>31</v>
      </c>
      <c r="I1849">
        <v>13</v>
      </c>
      <c r="J1849">
        <v>63</v>
      </c>
      <c r="K1849">
        <v>5</v>
      </c>
      <c r="L1849" t="s">
        <v>44</v>
      </c>
      <c r="M1849">
        <v>5.3907579534818897</v>
      </c>
      <c r="N1849" t="s">
        <v>51</v>
      </c>
      <c r="O1849" t="s">
        <v>58</v>
      </c>
      <c r="P1849">
        <f>VLOOKUP(O1849, Coordinates!$A$2:$C$6, 2, FALSE)</f>
        <v>34.052199999999999</v>
      </c>
      <c r="Q1849">
        <f>VLOOKUP(O1849, Coordinates!$A$2:$C$6, 3, FALSE)</f>
        <v>-118.2437</v>
      </c>
      <c r="R1849">
        <v>14</v>
      </c>
      <c r="S1849">
        <v>274</v>
      </c>
      <c r="T1849">
        <v>6</v>
      </c>
      <c r="U1849">
        <v>72.222211362759893</v>
      </c>
      <c r="V1849" t="s">
        <v>30</v>
      </c>
      <c r="W1849">
        <v>3.9960624084150602</v>
      </c>
      <c r="X1849" t="s">
        <v>52</v>
      </c>
      <c r="Y1849" t="s">
        <v>41</v>
      </c>
      <c r="Z1849">
        <v>487.35729037577897</v>
      </c>
    </row>
    <row r="1850" spans="1:26" x14ac:dyDescent="0.3">
      <c r="A1850" t="s">
        <v>42</v>
      </c>
      <c r="B1850" t="s">
        <v>1906</v>
      </c>
      <c r="C1850">
        <v>19.818182051398601</v>
      </c>
      <c r="D1850">
        <v>16</v>
      </c>
      <c r="E1850">
        <v>858</v>
      </c>
      <c r="F1850">
        <v>6794.8113479961303</v>
      </c>
      <c r="G1850" t="s">
        <v>54</v>
      </c>
      <c r="H1850">
        <v>4</v>
      </c>
      <c r="I1850">
        <v>27</v>
      </c>
      <c r="J1850">
        <v>56</v>
      </c>
      <c r="K1850">
        <v>8</v>
      </c>
      <c r="L1850" t="s">
        <v>44</v>
      </c>
      <c r="M1850">
        <v>12.750547098125301</v>
      </c>
      <c r="N1850" t="s">
        <v>28</v>
      </c>
      <c r="O1850" t="s">
        <v>67</v>
      </c>
      <c r="P1850">
        <f>VLOOKUP(O1850, Coordinates!$A$2:$C$6, 2, FALSE)</f>
        <v>40.712800000000001</v>
      </c>
      <c r="Q1850">
        <f>VLOOKUP(O1850, Coordinates!$A$2:$C$6, 3, FALSE)</f>
        <v>-74.006</v>
      </c>
      <c r="R1850">
        <v>16</v>
      </c>
      <c r="S1850">
        <v>619</v>
      </c>
      <c r="T1850">
        <v>10</v>
      </c>
      <c r="U1850">
        <v>98.142644817036398</v>
      </c>
      <c r="V1850" t="s">
        <v>30</v>
      </c>
      <c r="W1850">
        <v>2.6197971490497101</v>
      </c>
      <c r="X1850" t="s">
        <v>31</v>
      </c>
      <c r="Y1850" t="s">
        <v>41</v>
      </c>
      <c r="Z1850">
        <v>538.525561341497</v>
      </c>
    </row>
    <row r="1851" spans="1:26" x14ac:dyDescent="0.3">
      <c r="A1851" t="s">
        <v>61</v>
      </c>
      <c r="B1851" t="s">
        <v>1907</v>
      </c>
      <c r="C1851">
        <v>50.457131044316299</v>
      </c>
      <c r="D1851">
        <v>23</v>
      </c>
      <c r="E1851">
        <v>346</v>
      </c>
      <c r="F1851">
        <v>7866.5399070000003</v>
      </c>
      <c r="G1851" t="s">
        <v>35</v>
      </c>
      <c r="H1851">
        <v>87</v>
      </c>
      <c r="I1851">
        <v>28</v>
      </c>
      <c r="J1851">
        <v>12</v>
      </c>
      <c r="K1851">
        <v>8</v>
      </c>
      <c r="L1851" t="s">
        <v>44</v>
      </c>
      <c r="M1851">
        <v>11.8866157310195</v>
      </c>
      <c r="N1851" t="s">
        <v>45</v>
      </c>
      <c r="O1851" t="s">
        <v>38</v>
      </c>
      <c r="P1851">
        <f>VLOOKUP(O1851, Coordinates!$A$2:$C$6, 2, FALSE)</f>
        <v>25.761700000000001</v>
      </c>
      <c r="Q1851">
        <f>VLOOKUP(O1851, Coordinates!$A$2:$C$6, 3, FALSE)</f>
        <v>-80.191800000000001</v>
      </c>
      <c r="R1851">
        <v>27</v>
      </c>
      <c r="S1851">
        <v>413</v>
      </c>
      <c r="T1851">
        <v>24</v>
      </c>
      <c r="U1851">
        <v>31.663074134170401</v>
      </c>
      <c r="V1851" t="s">
        <v>39</v>
      </c>
      <c r="W1851">
        <v>4.6189973275865404</v>
      </c>
      <c r="X1851" t="s">
        <v>31</v>
      </c>
      <c r="Y1851" t="s">
        <v>41</v>
      </c>
      <c r="Z1851">
        <v>388.149743693912</v>
      </c>
    </row>
    <row r="1852" spans="1:26" x14ac:dyDescent="0.3">
      <c r="A1852" t="s">
        <v>49</v>
      </c>
      <c r="B1852" t="s">
        <v>1908</v>
      </c>
      <c r="C1852">
        <v>79.152822554285294</v>
      </c>
      <c r="D1852">
        <v>7</v>
      </c>
      <c r="E1852">
        <v>486</v>
      </c>
      <c r="F1852">
        <v>7835.3791226947596</v>
      </c>
      <c r="G1852" t="s">
        <v>54</v>
      </c>
      <c r="H1852">
        <v>2</v>
      </c>
      <c r="I1852">
        <v>6</v>
      </c>
      <c r="J1852">
        <v>74</v>
      </c>
      <c r="K1852">
        <v>2</v>
      </c>
      <c r="L1852" t="s">
        <v>44</v>
      </c>
      <c r="M1852">
        <v>8.5045943000000008</v>
      </c>
      <c r="N1852" t="s">
        <v>45</v>
      </c>
      <c r="O1852" t="s">
        <v>38</v>
      </c>
      <c r="P1852">
        <f>VLOOKUP(O1852, Coordinates!$A$2:$C$6, 2, FALSE)</f>
        <v>25.761700000000001</v>
      </c>
      <c r="Q1852">
        <f>VLOOKUP(O1852, Coordinates!$A$2:$C$6, 3, FALSE)</f>
        <v>-80.191800000000001</v>
      </c>
      <c r="R1852">
        <v>26</v>
      </c>
      <c r="S1852">
        <v>720</v>
      </c>
      <c r="T1852">
        <v>30</v>
      </c>
      <c r="U1852">
        <v>83.840451123041902</v>
      </c>
      <c r="V1852" t="s">
        <v>39</v>
      </c>
      <c r="W1852">
        <v>4.1980414666567096</v>
      </c>
      <c r="X1852" t="s">
        <v>40</v>
      </c>
      <c r="Y1852" t="s">
        <v>60</v>
      </c>
      <c r="Z1852">
        <v>217.84880043645501</v>
      </c>
    </row>
    <row r="1853" spans="1:26" x14ac:dyDescent="0.3">
      <c r="A1853" t="s">
        <v>49</v>
      </c>
      <c r="B1853" t="s">
        <v>1909</v>
      </c>
      <c r="C1853">
        <v>33.844274123664803</v>
      </c>
      <c r="D1853">
        <v>26</v>
      </c>
      <c r="E1853">
        <v>23</v>
      </c>
      <c r="F1853">
        <v>8974.6657038597205</v>
      </c>
      <c r="G1853" t="s">
        <v>48</v>
      </c>
      <c r="H1853">
        <v>59</v>
      </c>
      <c r="I1853">
        <v>2</v>
      </c>
      <c r="J1853">
        <v>24</v>
      </c>
      <c r="K1853">
        <v>5</v>
      </c>
      <c r="L1853" t="s">
        <v>27</v>
      </c>
      <c r="M1853">
        <v>2.65035898181213</v>
      </c>
      <c r="N1853" t="s">
        <v>51</v>
      </c>
      <c r="O1853" t="s">
        <v>38</v>
      </c>
      <c r="P1853">
        <f>VLOOKUP(O1853, Coordinates!$A$2:$C$6, 2, FALSE)</f>
        <v>25.761700000000001</v>
      </c>
      <c r="Q1853">
        <f>VLOOKUP(O1853, Coordinates!$A$2:$C$6, 3, FALSE)</f>
        <v>-80.191800000000001</v>
      </c>
      <c r="R1853">
        <v>27</v>
      </c>
      <c r="S1853">
        <v>228</v>
      </c>
      <c r="T1853">
        <v>5</v>
      </c>
      <c r="U1853">
        <v>36.571339841245802</v>
      </c>
      <c r="V1853" t="s">
        <v>30</v>
      </c>
      <c r="W1853">
        <v>3.70781269454256</v>
      </c>
      <c r="X1853" t="s">
        <v>40</v>
      </c>
      <c r="Y1853" t="s">
        <v>41</v>
      </c>
      <c r="Z1853">
        <v>960.49780151330697</v>
      </c>
    </row>
    <row r="1854" spans="1:26" x14ac:dyDescent="0.3">
      <c r="A1854" t="s">
        <v>24</v>
      </c>
      <c r="B1854" t="s">
        <v>1910</v>
      </c>
      <c r="C1854">
        <v>34.012279524251603</v>
      </c>
      <c r="D1854">
        <v>96</v>
      </c>
      <c r="E1854">
        <v>632</v>
      </c>
      <c r="F1854">
        <v>19346.1845933943</v>
      </c>
      <c r="G1854" t="s">
        <v>26</v>
      </c>
      <c r="H1854">
        <v>75</v>
      </c>
      <c r="I1854">
        <v>21</v>
      </c>
      <c r="J1854">
        <v>93</v>
      </c>
      <c r="K1854">
        <v>10</v>
      </c>
      <c r="L1854" t="s">
        <v>36</v>
      </c>
      <c r="M1854">
        <v>10.124658746953401</v>
      </c>
      <c r="N1854" t="s">
        <v>37</v>
      </c>
      <c r="O1854" t="s">
        <v>29</v>
      </c>
      <c r="P1854">
        <f>VLOOKUP(O1854, Coordinates!$A$2:$C$6, 2, FALSE)</f>
        <v>29.760400000000001</v>
      </c>
      <c r="Q1854">
        <f>VLOOKUP(O1854, Coordinates!$A$2:$C$6, 3, FALSE)</f>
        <v>-95.369799999999998</v>
      </c>
      <c r="R1854">
        <v>10</v>
      </c>
      <c r="S1854">
        <v>613</v>
      </c>
      <c r="T1854">
        <v>21</v>
      </c>
      <c r="U1854">
        <v>94.880518919327301</v>
      </c>
      <c r="V1854" t="s">
        <v>55</v>
      </c>
      <c r="W1854">
        <v>0.65581826252069397</v>
      </c>
      <c r="X1854" t="s">
        <v>40</v>
      </c>
      <c r="Y1854" t="s">
        <v>60</v>
      </c>
      <c r="Z1854">
        <v>815.48823544311597</v>
      </c>
    </row>
    <row r="1855" spans="1:26" x14ac:dyDescent="0.3">
      <c r="A1855" t="s">
        <v>72</v>
      </c>
      <c r="B1855" t="s">
        <v>1911</v>
      </c>
      <c r="C1855">
        <v>36.624062075222703</v>
      </c>
      <c r="D1855">
        <v>12</v>
      </c>
      <c r="E1855">
        <v>984</v>
      </c>
      <c r="F1855">
        <v>32434.269373817198</v>
      </c>
      <c r="G1855" t="s">
        <v>35</v>
      </c>
      <c r="H1855">
        <v>98</v>
      </c>
      <c r="I1855">
        <v>7</v>
      </c>
      <c r="J1855">
        <v>95</v>
      </c>
      <c r="K1855">
        <v>8</v>
      </c>
      <c r="L1855" t="s">
        <v>44</v>
      </c>
      <c r="M1855">
        <v>1.91934593006023</v>
      </c>
      <c r="N1855" t="s">
        <v>57</v>
      </c>
      <c r="O1855" t="s">
        <v>29</v>
      </c>
      <c r="P1855">
        <f>VLOOKUP(O1855, Coordinates!$A$2:$C$6, 2, FALSE)</f>
        <v>29.760400000000001</v>
      </c>
      <c r="Q1855">
        <f>VLOOKUP(O1855, Coordinates!$A$2:$C$6, 3, FALSE)</f>
        <v>-95.369799999999998</v>
      </c>
      <c r="R1855">
        <v>23</v>
      </c>
      <c r="S1855">
        <v>109</v>
      </c>
      <c r="T1855">
        <v>19</v>
      </c>
      <c r="U1855">
        <v>85.851809890581094</v>
      </c>
      <c r="V1855" t="s">
        <v>30</v>
      </c>
      <c r="W1855">
        <v>0.96158906401996502</v>
      </c>
      <c r="X1855" t="s">
        <v>46</v>
      </c>
      <c r="Y1855" t="s">
        <v>32</v>
      </c>
      <c r="Z1855">
        <v>833.41281603551795</v>
      </c>
    </row>
    <row r="1856" spans="1:26" x14ac:dyDescent="0.3">
      <c r="A1856" t="s">
        <v>33</v>
      </c>
      <c r="B1856" t="s">
        <v>1912</v>
      </c>
      <c r="C1856">
        <v>21.553123156310999</v>
      </c>
      <c r="D1856">
        <v>72</v>
      </c>
      <c r="E1856">
        <v>188</v>
      </c>
      <c r="F1856">
        <v>3993.9093983880198</v>
      </c>
      <c r="G1856" t="s">
        <v>48</v>
      </c>
      <c r="H1856">
        <v>78</v>
      </c>
      <c r="I1856">
        <v>14</v>
      </c>
      <c r="J1856">
        <v>43</v>
      </c>
      <c r="K1856">
        <v>3</v>
      </c>
      <c r="L1856" t="s">
        <v>36</v>
      </c>
      <c r="M1856">
        <v>2.4051352656623401</v>
      </c>
      <c r="N1856" t="s">
        <v>37</v>
      </c>
      <c r="O1856" t="s">
        <v>58</v>
      </c>
      <c r="P1856">
        <f>VLOOKUP(O1856, Coordinates!$A$2:$C$6, 2, FALSE)</f>
        <v>34.052199999999999</v>
      </c>
      <c r="Q1856">
        <f>VLOOKUP(O1856, Coordinates!$A$2:$C$6, 3, FALSE)</f>
        <v>-118.2437</v>
      </c>
      <c r="R1856">
        <v>21</v>
      </c>
      <c r="S1856">
        <v>446</v>
      </c>
      <c r="T1856">
        <v>19</v>
      </c>
      <c r="U1856">
        <v>50.141057359070999</v>
      </c>
      <c r="V1856" t="s">
        <v>30</v>
      </c>
      <c r="W1856">
        <v>0.63211627854824104</v>
      </c>
      <c r="X1856" t="s">
        <v>40</v>
      </c>
      <c r="Y1856" t="s">
        <v>32</v>
      </c>
      <c r="Z1856">
        <v>428.463010710623</v>
      </c>
    </row>
    <row r="1857" spans="1:26" x14ac:dyDescent="0.3">
      <c r="A1857" t="s">
        <v>42</v>
      </c>
      <c r="B1857" t="s">
        <v>1913</v>
      </c>
      <c r="C1857">
        <v>88.163534386574199</v>
      </c>
      <c r="D1857">
        <v>5</v>
      </c>
      <c r="E1857">
        <v>786</v>
      </c>
      <c r="F1857">
        <v>5528.8847507638802</v>
      </c>
      <c r="G1857" t="s">
        <v>26</v>
      </c>
      <c r="H1857">
        <v>16</v>
      </c>
      <c r="I1857">
        <v>25</v>
      </c>
      <c r="J1857">
        <v>59</v>
      </c>
      <c r="K1857">
        <v>7</v>
      </c>
      <c r="L1857" t="s">
        <v>44</v>
      </c>
      <c r="M1857">
        <v>5.6359633449532396</v>
      </c>
      <c r="N1857" t="s">
        <v>45</v>
      </c>
      <c r="O1857" t="s">
        <v>38</v>
      </c>
      <c r="P1857">
        <f>VLOOKUP(O1857, Coordinates!$A$2:$C$6, 2, FALSE)</f>
        <v>25.761700000000001</v>
      </c>
      <c r="Q1857">
        <f>VLOOKUP(O1857, Coordinates!$A$2:$C$6, 3, FALSE)</f>
        <v>-80.191800000000001</v>
      </c>
      <c r="R1857">
        <v>28</v>
      </c>
      <c r="S1857">
        <v>216</v>
      </c>
      <c r="T1857">
        <v>13</v>
      </c>
      <c r="U1857">
        <v>10.4580129185454</v>
      </c>
      <c r="V1857" t="s">
        <v>39</v>
      </c>
      <c r="W1857">
        <v>4.4051949555779499</v>
      </c>
      <c r="X1857" t="s">
        <v>31</v>
      </c>
      <c r="Y1857" t="s">
        <v>60</v>
      </c>
      <c r="Z1857">
        <v>463.49587857927497</v>
      </c>
    </row>
    <row r="1858" spans="1:26" x14ac:dyDescent="0.3">
      <c r="A1858" t="s">
        <v>72</v>
      </c>
      <c r="B1858" t="s">
        <v>1914</v>
      </c>
      <c r="C1858">
        <v>22.1770385296062</v>
      </c>
      <c r="D1858">
        <v>92</v>
      </c>
      <c r="E1858">
        <v>549</v>
      </c>
      <c r="F1858">
        <v>10957.674737478401</v>
      </c>
      <c r="G1858" t="s">
        <v>26</v>
      </c>
      <c r="H1858">
        <v>31</v>
      </c>
      <c r="I1858">
        <v>22</v>
      </c>
      <c r="J1858">
        <v>42</v>
      </c>
      <c r="K1858">
        <v>3</v>
      </c>
      <c r="L1858" t="s">
        <v>36</v>
      </c>
      <c r="M1858">
        <v>6.1964569561528702</v>
      </c>
      <c r="N1858" t="s">
        <v>57</v>
      </c>
      <c r="O1858" t="s">
        <v>65</v>
      </c>
      <c r="P1858">
        <f>VLOOKUP(O1858, Coordinates!$A$2:$C$6, 2, FALSE)</f>
        <v>41.878100000000003</v>
      </c>
      <c r="Q1858">
        <f>VLOOKUP(O1858, Coordinates!$A$2:$C$6, 3, FALSE)</f>
        <v>-87.629800000000003</v>
      </c>
      <c r="R1858">
        <v>13</v>
      </c>
      <c r="S1858">
        <v>510</v>
      </c>
      <c r="T1858">
        <v>28</v>
      </c>
      <c r="U1858">
        <v>83.847408913275601</v>
      </c>
      <c r="V1858" t="s">
        <v>39</v>
      </c>
      <c r="W1858">
        <v>3.3095689003359099</v>
      </c>
      <c r="X1858" t="s">
        <v>52</v>
      </c>
      <c r="Y1858" t="s">
        <v>60</v>
      </c>
      <c r="Z1858">
        <v>942.25893529999996</v>
      </c>
    </row>
    <row r="1859" spans="1:26" x14ac:dyDescent="0.3">
      <c r="A1859" t="s">
        <v>82</v>
      </c>
      <c r="B1859" t="s">
        <v>1915</v>
      </c>
      <c r="C1859">
        <v>98.502277427271196</v>
      </c>
      <c r="D1859">
        <v>69</v>
      </c>
      <c r="E1859">
        <v>14</v>
      </c>
      <c r="F1859">
        <v>1062.6182857296201</v>
      </c>
      <c r="G1859" t="s">
        <v>26</v>
      </c>
      <c r="H1859">
        <v>6</v>
      </c>
      <c r="I1859">
        <v>28</v>
      </c>
      <c r="J1859">
        <v>82</v>
      </c>
      <c r="K1859">
        <v>6</v>
      </c>
      <c r="L1859" t="s">
        <v>27</v>
      </c>
      <c r="M1859">
        <v>7.4676365444639199</v>
      </c>
      <c r="N1859" t="s">
        <v>28</v>
      </c>
      <c r="O1859" t="s">
        <v>65</v>
      </c>
      <c r="P1859">
        <f>VLOOKUP(O1859, Coordinates!$A$2:$C$6, 2, FALSE)</f>
        <v>41.878100000000003</v>
      </c>
      <c r="Q1859">
        <f>VLOOKUP(O1859, Coordinates!$A$2:$C$6, 3, FALSE)</f>
        <v>-87.629800000000003</v>
      </c>
      <c r="R1859">
        <v>30</v>
      </c>
      <c r="S1859">
        <v>496</v>
      </c>
      <c r="T1859">
        <v>15</v>
      </c>
      <c r="U1859">
        <v>50.076465754392601</v>
      </c>
      <c r="V1859" t="s">
        <v>30</v>
      </c>
      <c r="W1859">
        <v>1.3542202238580301</v>
      </c>
      <c r="X1859" t="s">
        <v>31</v>
      </c>
      <c r="Y1859" t="s">
        <v>41</v>
      </c>
      <c r="Z1859">
        <v>975.62206039180001</v>
      </c>
    </row>
    <row r="1860" spans="1:26" x14ac:dyDescent="0.3">
      <c r="A1860" t="s">
        <v>42</v>
      </c>
      <c r="B1860" t="s">
        <v>1916</v>
      </c>
      <c r="C1860">
        <v>42.592256539510203</v>
      </c>
      <c r="D1860">
        <v>49</v>
      </c>
      <c r="E1860">
        <v>837</v>
      </c>
      <c r="F1860">
        <v>3161.1395840636701</v>
      </c>
      <c r="G1860" t="s">
        <v>54</v>
      </c>
      <c r="H1860">
        <v>1</v>
      </c>
      <c r="I1860">
        <v>22</v>
      </c>
      <c r="J1860">
        <v>12</v>
      </c>
      <c r="K1860">
        <v>2</v>
      </c>
      <c r="L1860" t="s">
        <v>44</v>
      </c>
      <c r="M1860">
        <v>5.7480014290624801</v>
      </c>
      <c r="N1860" t="s">
        <v>28</v>
      </c>
      <c r="O1860" t="s">
        <v>67</v>
      </c>
      <c r="P1860">
        <f>VLOOKUP(O1860, Coordinates!$A$2:$C$6, 2, FALSE)</f>
        <v>40.712800000000001</v>
      </c>
      <c r="Q1860">
        <f>VLOOKUP(O1860, Coordinates!$A$2:$C$6, 3, FALSE)</f>
        <v>-74.006</v>
      </c>
      <c r="R1860">
        <v>3</v>
      </c>
      <c r="S1860">
        <v>930</v>
      </c>
      <c r="T1860">
        <v>8</v>
      </c>
      <c r="U1860">
        <v>66.901616533548605</v>
      </c>
      <c r="V1860" t="s">
        <v>55</v>
      </c>
      <c r="W1860">
        <v>0.74735229595400599</v>
      </c>
      <c r="X1860" t="s">
        <v>40</v>
      </c>
      <c r="Y1860" t="s">
        <v>60</v>
      </c>
      <c r="Z1860">
        <v>948.35877819977395</v>
      </c>
    </row>
    <row r="1861" spans="1:26" x14ac:dyDescent="0.3">
      <c r="A1861" t="s">
        <v>72</v>
      </c>
      <c r="B1861" t="s">
        <v>1917</v>
      </c>
      <c r="C1861">
        <v>29.1551935845253</v>
      </c>
      <c r="D1861">
        <v>26</v>
      </c>
      <c r="E1861">
        <v>196</v>
      </c>
      <c r="F1861">
        <v>5142.9761479999997</v>
      </c>
      <c r="G1861" t="s">
        <v>26</v>
      </c>
      <c r="H1861">
        <v>70</v>
      </c>
      <c r="I1861">
        <v>10</v>
      </c>
      <c r="J1861">
        <v>11</v>
      </c>
      <c r="K1861">
        <v>6</v>
      </c>
      <c r="L1861" t="s">
        <v>27</v>
      </c>
      <c r="M1861">
        <v>1.4730341760832699</v>
      </c>
      <c r="N1861" t="s">
        <v>57</v>
      </c>
      <c r="O1861" t="s">
        <v>38</v>
      </c>
      <c r="P1861">
        <f>VLOOKUP(O1861, Coordinates!$A$2:$C$6, 2, FALSE)</f>
        <v>25.761700000000001</v>
      </c>
      <c r="Q1861">
        <f>VLOOKUP(O1861, Coordinates!$A$2:$C$6, 3, FALSE)</f>
        <v>-80.191800000000001</v>
      </c>
      <c r="R1861">
        <v>27</v>
      </c>
      <c r="S1861">
        <v>110</v>
      </c>
      <c r="T1861">
        <v>11</v>
      </c>
      <c r="U1861">
        <v>93.445837009888905</v>
      </c>
      <c r="V1861" t="s">
        <v>30</v>
      </c>
      <c r="W1861">
        <v>1.5998624125716601</v>
      </c>
      <c r="X1861" t="s">
        <v>31</v>
      </c>
      <c r="Y1861" t="s">
        <v>60</v>
      </c>
      <c r="Z1861">
        <v>678.340163855946</v>
      </c>
    </row>
    <row r="1862" spans="1:26" x14ac:dyDescent="0.3">
      <c r="A1862" t="s">
        <v>42</v>
      </c>
      <c r="B1862" t="s">
        <v>1918</v>
      </c>
      <c r="C1862">
        <v>31.7823090759492</v>
      </c>
      <c r="D1862">
        <v>5</v>
      </c>
      <c r="E1862">
        <v>324</v>
      </c>
      <c r="F1862">
        <v>3341.9023114217798</v>
      </c>
      <c r="G1862" t="s">
        <v>54</v>
      </c>
      <c r="H1862">
        <v>68</v>
      </c>
      <c r="I1862">
        <v>4</v>
      </c>
      <c r="J1862">
        <v>13</v>
      </c>
      <c r="K1862">
        <v>6</v>
      </c>
      <c r="L1862" t="s">
        <v>27</v>
      </c>
      <c r="M1862">
        <v>3.2038195819602699</v>
      </c>
      <c r="N1862" t="s">
        <v>45</v>
      </c>
      <c r="O1862" t="s">
        <v>38</v>
      </c>
      <c r="P1862">
        <f>VLOOKUP(O1862, Coordinates!$A$2:$C$6, 2, FALSE)</f>
        <v>25.761700000000001</v>
      </c>
      <c r="Q1862">
        <f>VLOOKUP(O1862, Coordinates!$A$2:$C$6, 3, FALSE)</f>
        <v>-80.191800000000001</v>
      </c>
      <c r="R1862">
        <v>30</v>
      </c>
      <c r="S1862">
        <v>497</v>
      </c>
      <c r="T1862">
        <v>1</v>
      </c>
      <c r="U1862">
        <v>62.540705662344301</v>
      </c>
      <c r="V1862" t="s">
        <v>55</v>
      </c>
      <c r="W1862">
        <v>4.3876316363319301</v>
      </c>
      <c r="X1862" t="s">
        <v>46</v>
      </c>
      <c r="Y1862" t="s">
        <v>41</v>
      </c>
      <c r="Z1862">
        <v>318.44434302792598</v>
      </c>
    </row>
    <row r="1863" spans="1:26" x14ac:dyDescent="0.3">
      <c r="A1863" t="s">
        <v>33</v>
      </c>
      <c r="B1863" t="s">
        <v>1919</v>
      </c>
      <c r="C1863">
        <v>39.561915908388599</v>
      </c>
      <c r="D1863">
        <v>22</v>
      </c>
      <c r="E1863">
        <v>706</v>
      </c>
      <c r="F1863">
        <v>2593.3896507555701</v>
      </c>
      <c r="G1863" t="s">
        <v>26</v>
      </c>
      <c r="H1863">
        <v>57</v>
      </c>
      <c r="I1863">
        <v>3</v>
      </c>
      <c r="J1863">
        <v>25</v>
      </c>
      <c r="K1863">
        <v>8</v>
      </c>
      <c r="L1863" t="s">
        <v>36</v>
      </c>
      <c r="M1863">
        <v>2.6115675216484799</v>
      </c>
      <c r="N1863" t="s">
        <v>51</v>
      </c>
      <c r="O1863" t="s">
        <v>38</v>
      </c>
      <c r="P1863">
        <f>VLOOKUP(O1863, Coordinates!$A$2:$C$6, 2, FALSE)</f>
        <v>25.761700000000001</v>
      </c>
      <c r="Q1863">
        <f>VLOOKUP(O1863, Coordinates!$A$2:$C$6, 3, FALSE)</f>
        <v>-80.191800000000001</v>
      </c>
      <c r="R1863">
        <v>3</v>
      </c>
      <c r="S1863">
        <v>707</v>
      </c>
      <c r="T1863">
        <v>4</v>
      </c>
      <c r="U1863">
        <v>36.3728646633067</v>
      </c>
      <c r="V1863" t="s">
        <v>39</v>
      </c>
      <c r="W1863">
        <v>2.5170626044214299</v>
      </c>
      <c r="X1863" t="s">
        <v>31</v>
      </c>
      <c r="Y1863" t="s">
        <v>60</v>
      </c>
      <c r="Z1863">
        <v>644.47601506037597</v>
      </c>
    </row>
    <row r="1864" spans="1:26" x14ac:dyDescent="0.3">
      <c r="A1864" t="s">
        <v>82</v>
      </c>
      <c r="B1864" t="s">
        <v>1920</v>
      </c>
      <c r="C1864">
        <v>23.118968821134899</v>
      </c>
      <c r="D1864">
        <v>79</v>
      </c>
      <c r="E1864">
        <v>584</v>
      </c>
      <c r="F1864">
        <v>1256.6802235478301</v>
      </c>
      <c r="G1864" t="s">
        <v>26</v>
      </c>
      <c r="H1864">
        <v>39</v>
      </c>
      <c r="I1864">
        <v>25</v>
      </c>
      <c r="J1864">
        <v>63</v>
      </c>
      <c r="K1864">
        <v>5</v>
      </c>
      <c r="L1864" t="s">
        <v>44</v>
      </c>
      <c r="M1864">
        <v>7.0365703799234298</v>
      </c>
      <c r="N1864" t="s">
        <v>37</v>
      </c>
      <c r="O1864" t="s">
        <v>29</v>
      </c>
      <c r="P1864">
        <f>VLOOKUP(O1864, Coordinates!$A$2:$C$6, 2, FALSE)</f>
        <v>29.760400000000001</v>
      </c>
      <c r="Q1864">
        <f>VLOOKUP(O1864, Coordinates!$A$2:$C$6, 3, FALSE)</f>
        <v>-95.369799999999998</v>
      </c>
      <c r="R1864">
        <v>7</v>
      </c>
      <c r="S1864">
        <v>991</v>
      </c>
      <c r="T1864">
        <v>25</v>
      </c>
      <c r="U1864">
        <v>95.266388434217006</v>
      </c>
      <c r="V1864" t="s">
        <v>30</v>
      </c>
      <c r="W1864">
        <v>1.83598004165979</v>
      </c>
      <c r="X1864" t="s">
        <v>46</v>
      </c>
      <c r="Y1864" t="s">
        <v>32</v>
      </c>
      <c r="Z1864">
        <v>630.17794349999997</v>
      </c>
    </row>
    <row r="1865" spans="1:26" x14ac:dyDescent="0.3">
      <c r="A1865" t="s">
        <v>33</v>
      </c>
      <c r="B1865" t="s">
        <v>1921</v>
      </c>
      <c r="C1865">
        <v>37.970925007442503</v>
      </c>
      <c r="D1865">
        <v>13</v>
      </c>
      <c r="E1865">
        <v>479</v>
      </c>
      <c r="F1865">
        <v>9183.7373176544406</v>
      </c>
      <c r="G1865" t="s">
        <v>54</v>
      </c>
      <c r="H1865">
        <v>84</v>
      </c>
      <c r="I1865">
        <v>23</v>
      </c>
      <c r="J1865">
        <v>42</v>
      </c>
      <c r="K1865">
        <v>1</v>
      </c>
      <c r="L1865" t="s">
        <v>27</v>
      </c>
      <c r="M1865">
        <v>3.9698049805433002</v>
      </c>
      <c r="N1865" t="s">
        <v>37</v>
      </c>
      <c r="O1865" t="s">
        <v>65</v>
      </c>
      <c r="P1865">
        <f>VLOOKUP(O1865, Coordinates!$A$2:$C$6, 2, FALSE)</f>
        <v>41.878100000000003</v>
      </c>
      <c r="Q1865">
        <f>VLOOKUP(O1865, Coordinates!$A$2:$C$6, 3, FALSE)</f>
        <v>-87.629800000000003</v>
      </c>
      <c r="R1865">
        <v>27</v>
      </c>
      <c r="S1865">
        <v>192</v>
      </c>
      <c r="T1865">
        <v>22</v>
      </c>
      <c r="U1865">
        <v>45.277284136698903</v>
      </c>
      <c r="V1865" t="s">
        <v>39</v>
      </c>
      <c r="W1865">
        <v>2.4746613552071399</v>
      </c>
      <c r="X1865" t="s">
        <v>52</v>
      </c>
      <c r="Y1865" t="s">
        <v>60</v>
      </c>
      <c r="Z1865">
        <v>917.41164426771002</v>
      </c>
    </row>
    <row r="1866" spans="1:26" x14ac:dyDescent="0.3">
      <c r="A1866" t="s">
        <v>24</v>
      </c>
      <c r="B1866" t="s">
        <v>1922</v>
      </c>
      <c r="C1866">
        <v>25.729062743899799</v>
      </c>
      <c r="D1866">
        <v>28</v>
      </c>
      <c r="E1866">
        <v>864</v>
      </c>
      <c r="F1866">
        <v>20006.919189656499</v>
      </c>
      <c r="G1866" t="s">
        <v>54</v>
      </c>
      <c r="H1866">
        <v>47</v>
      </c>
      <c r="I1866">
        <v>27</v>
      </c>
      <c r="J1866">
        <v>18</v>
      </c>
      <c r="K1866">
        <v>8</v>
      </c>
      <c r="L1866" t="s">
        <v>36</v>
      </c>
      <c r="M1866">
        <v>5.1096341005295303</v>
      </c>
      <c r="N1866" t="s">
        <v>51</v>
      </c>
      <c r="O1866" t="s">
        <v>67</v>
      </c>
      <c r="P1866">
        <f>VLOOKUP(O1866, Coordinates!$A$2:$C$6, 2, FALSE)</f>
        <v>40.712800000000001</v>
      </c>
      <c r="Q1866">
        <f>VLOOKUP(O1866, Coordinates!$A$2:$C$6, 3, FALSE)</f>
        <v>-74.006</v>
      </c>
      <c r="R1866">
        <v>30</v>
      </c>
      <c r="S1866">
        <v>201</v>
      </c>
      <c r="T1866">
        <v>22</v>
      </c>
      <c r="U1866">
        <v>85.127660810119707</v>
      </c>
      <c r="V1866" t="s">
        <v>30</v>
      </c>
      <c r="W1866">
        <v>2.1367072889749701</v>
      </c>
      <c r="X1866" t="s">
        <v>40</v>
      </c>
      <c r="Y1866" t="s">
        <v>41</v>
      </c>
      <c r="Z1866">
        <v>380.50174166592097</v>
      </c>
    </row>
    <row r="1867" spans="1:26" x14ac:dyDescent="0.3">
      <c r="A1867" t="s">
        <v>82</v>
      </c>
      <c r="B1867" t="s">
        <v>1923</v>
      </c>
      <c r="C1867">
        <v>99.218423689999995</v>
      </c>
      <c r="D1867">
        <v>33</v>
      </c>
      <c r="E1867">
        <v>641</v>
      </c>
      <c r="F1867">
        <v>7624.7392990337603</v>
      </c>
      <c r="G1867" t="s">
        <v>48</v>
      </c>
      <c r="H1867">
        <v>50</v>
      </c>
      <c r="I1867">
        <v>14</v>
      </c>
      <c r="J1867">
        <v>66</v>
      </c>
      <c r="K1867">
        <v>9</v>
      </c>
      <c r="L1867" t="s">
        <v>36</v>
      </c>
      <c r="M1867">
        <v>7.6019444871061603</v>
      </c>
      <c r="N1867" t="s">
        <v>51</v>
      </c>
      <c r="O1867" t="s">
        <v>58</v>
      </c>
      <c r="P1867">
        <f>VLOOKUP(O1867, Coordinates!$A$2:$C$6, 2, FALSE)</f>
        <v>34.052199999999999</v>
      </c>
      <c r="Q1867">
        <f>VLOOKUP(O1867, Coordinates!$A$2:$C$6, 3, FALSE)</f>
        <v>-118.2437</v>
      </c>
      <c r="R1867">
        <v>10</v>
      </c>
      <c r="S1867">
        <v>197</v>
      </c>
      <c r="T1867">
        <v>30</v>
      </c>
      <c r="U1867">
        <v>59.906164570118797</v>
      </c>
      <c r="V1867" t="s">
        <v>30</v>
      </c>
      <c r="W1867">
        <v>4.11332623492242</v>
      </c>
      <c r="X1867" t="s">
        <v>52</v>
      </c>
      <c r="Y1867" t="s">
        <v>60</v>
      </c>
      <c r="Z1867">
        <v>280.61193709457302</v>
      </c>
    </row>
    <row r="1868" spans="1:26" x14ac:dyDescent="0.3">
      <c r="A1868" t="s">
        <v>61</v>
      </c>
      <c r="B1868" t="s">
        <v>1924</v>
      </c>
      <c r="C1868">
        <v>68.099162741819597</v>
      </c>
      <c r="D1868">
        <v>23</v>
      </c>
      <c r="E1868">
        <v>431</v>
      </c>
      <c r="F1868">
        <v>2369.3309822756401</v>
      </c>
      <c r="G1868" t="s">
        <v>26</v>
      </c>
      <c r="H1868">
        <v>56</v>
      </c>
      <c r="I1868">
        <v>29</v>
      </c>
      <c r="J1868">
        <v>49</v>
      </c>
      <c r="K1868">
        <v>1</v>
      </c>
      <c r="L1868" t="s">
        <v>36</v>
      </c>
      <c r="M1868">
        <v>4.29786603734739</v>
      </c>
      <c r="N1868" t="s">
        <v>28</v>
      </c>
      <c r="O1868" t="s">
        <v>58</v>
      </c>
      <c r="P1868">
        <f>VLOOKUP(O1868, Coordinates!$A$2:$C$6, 2, FALSE)</f>
        <v>34.052199999999999</v>
      </c>
      <c r="Q1868">
        <f>VLOOKUP(O1868, Coordinates!$A$2:$C$6, 3, FALSE)</f>
        <v>-118.2437</v>
      </c>
      <c r="R1868">
        <v>1</v>
      </c>
      <c r="S1868">
        <v>381</v>
      </c>
      <c r="T1868">
        <v>26</v>
      </c>
      <c r="U1868">
        <v>77.403580289282203</v>
      </c>
      <c r="V1868" t="s">
        <v>30</v>
      </c>
      <c r="W1868">
        <v>0.14806983745590899</v>
      </c>
      <c r="X1868" t="s">
        <v>40</v>
      </c>
      <c r="Y1868" t="s">
        <v>60</v>
      </c>
      <c r="Z1868">
        <v>339.22630621745299</v>
      </c>
    </row>
    <row r="1869" spans="1:26" x14ac:dyDescent="0.3">
      <c r="A1869" t="s">
        <v>72</v>
      </c>
      <c r="B1869" t="s">
        <v>1925</v>
      </c>
      <c r="C1869">
        <v>25.035947266898098</v>
      </c>
      <c r="D1869">
        <v>97</v>
      </c>
      <c r="E1869">
        <v>852</v>
      </c>
      <c r="F1869">
        <v>19197.564364257501</v>
      </c>
      <c r="G1869" t="s">
        <v>54</v>
      </c>
      <c r="H1869">
        <v>70</v>
      </c>
      <c r="I1869">
        <v>6</v>
      </c>
      <c r="J1869">
        <v>61</v>
      </c>
      <c r="K1869">
        <v>5</v>
      </c>
      <c r="L1869" t="s">
        <v>27</v>
      </c>
      <c r="M1869">
        <v>4.4430074614048296</v>
      </c>
      <c r="N1869" t="s">
        <v>51</v>
      </c>
      <c r="O1869" t="s">
        <v>67</v>
      </c>
      <c r="P1869">
        <f>VLOOKUP(O1869, Coordinates!$A$2:$C$6, 2, FALSE)</f>
        <v>40.712800000000001</v>
      </c>
      <c r="Q1869">
        <f>VLOOKUP(O1869, Coordinates!$A$2:$C$6, 3, FALSE)</f>
        <v>-74.006</v>
      </c>
      <c r="R1869">
        <v>4</v>
      </c>
      <c r="S1869">
        <v>906</v>
      </c>
      <c r="T1869">
        <v>27</v>
      </c>
      <c r="U1869">
        <v>93.784551752305802</v>
      </c>
      <c r="V1869" t="s">
        <v>30</v>
      </c>
      <c r="W1869">
        <v>4.3401506666152301</v>
      </c>
      <c r="X1869" t="s">
        <v>52</v>
      </c>
      <c r="Y1869" t="s">
        <v>60</v>
      </c>
      <c r="Z1869">
        <v>318.83053869054902</v>
      </c>
    </row>
    <row r="1870" spans="1:26" x14ac:dyDescent="0.3">
      <c r="A1870" t="s">
        <v>82</v>
      </c>
      <c r="B1870" t="s">
        <v>1926</v>
      </c>
      <c r="C1870">
        <v>9.27133695119735</v>
      </c>
      <c r="D1870">
        <v>18</v>
      </c>
      <c r="E1870">
        <v>63</v>
      </c>
      <c r="F1870">
        <v>9035.1634563089701</v>
      </c>
      <c r="G1870" t="s">
        <v>48</v>
      </c>
      <c r="H1870">
        <v>36</v>
      </c>
      <c r="I1870">
        <v>23</v>
      </c>
      <c r="J1870">
        <v>91</v>
      </c>
      <c r="K1870">
        <v>6</v>
      </c>
      <c r="L1870" t="s">
        <v>36</v>
      </c>
      <c r="M1870">
        <v>12.664018483411899</v>
      </c>
      <c r="N1870" t="s">
        <v>57</v>
      </c>
      <c r="O1870" t="s">
        <v>65</v>
      </c>
      <c r="P1870">
        <f>VLOOKUP(O1870, Coordinates!$A$2:$C$6, 2, FALSE)</f>
        <v>41.878100000000003</v>
      </c>
      <c r="Q1870">
        <f>VLOOKUP(O1870, Coordinates!$A$2:$C$6, 3, FALSE)</f>
        <v>-87.629800000000003</v>
      </c>
      <c r="R1870">
        <v>26</v>
      </c>
      <c r="S1870">
        <v>959</v>
      </c>
      <c r="T1870">
        <v>27</v>
      </c>
      <c r="U1870">
        <v>34.870960665599199</v>
      </c>
      <c r="V1870" t="s">
        <v>55</v>
      </c>
      <c r="W1870">
        <v>1.2195762783931201</v>
      </c>
      <c r="X1870" t="s">
        <v>52</v>
      </c>
      <c r="Y1870" t="s">
        <v>32</v>
      </c>
      <c r="Z1870">
        <v>683.54597710037797</v>
      </c>
    </row>
    <row r="1871" spans="1:26" x14ac:dyDescent="0.3">
      <c r="A1871" t="s">
        <v>24</v>
      </c>
      <c r="B1871" t="s">
        <v>1927</v>
      </c>
      <c r="C1871">
        <v>34.253900699427597</v>
      </c>
      <c r="D1871">
        <v>30</v>
      </c>
      <c r="E1871">
        <v>440</v>
      </c>
      <c r="F1871">
        <v>13564.544676973301</v>
      </c>
      <c r="G1871" t="s">
        <v>48</v>
      </c>
      <c r="H1871">
        <v>86</v>
      </c>
      <c r="I1871">
        <v>15</v>
      </c>
      <c r="J1871">
        <v>25</v>
      </c>
      <c r="K1871">
        <v>4</v>
      </c>
      <c r="L1871" t="s">
        <v>36</v>
      </c>
      <c r="M1871">
        <v>8.6732161528490899</v>
      </c>
      <c r="N1871" t="s">
        <v>28</v>
      </c>
      <c r="O1871" t="s">
        <v>29</v>
      </c>
      <c r="P1871">
        <f>VLOOKUP(O1871, Coordinates!$A$2:$C$6, 2, FALSE)</f>
        <v>29.760400000000001</v>
      </c>
      <c r="Q1871">
        <f>VLOOKUP(O1871, Coordinates!$A$2:$C$6, 3, FALSE)</f>
        <v>-95.369799999999998</v>
      </c>
      <c r="R1871">
        <v>30</v>
      </c>
      <c r="S1871">
        <v>767</v>
      </c>
      <c r="T1871">
        <v>13</v>
      </c>
      <c r="U1871">
        <v>90.008185263645302</v>
      </c>
      <c r="V1871" t="s">
        <v>55</v>
      </c>
      <c r="W1871">
        <v>3.6089110751812501</v>
      </c>
      <c r="X1871" t="s">
        <v>52</v>
      </c>
      <c r="Y1871" t="s">
        <v>41</v>
      </c>
      <c r="Z1871">
        <v>831.18968672112396</v>
      </c>
    </row>
    <row r="1872" spans="1:26" x14ac:dyDescent="0.3">
      <c r="A1872" t="s">
        <v>24</v>
      </c>
      <c r="B1872" t="s">
        <v>1928</v>
      </c>
      <c r="C1872">
        <v>36.624573649974103</v>
      </c>
      <c r="D1872">
        <v>26</v>
      </c>
      <c r="E1872">
        <v>101</v>
      </c>
      <c r="F1872">
        <v>3329.1737447826499</v>
      </c>
      <c r="G1872" t="s">
        <v>54</v>
      </c>
      <c r="H1872">
        <v>74</v>
      </c>
      <c r="I1872">
        <v>8</v>
      </c>
      <c r="J1872">
        <v>17</v>
      </c>
      <c r="K1872">
        <v>2</v>
      </c>
      <c r="L1872" t="s">
        <v>36</v>
      </c>
      <c r="M1872">
        <v>12.9946323221199</v>
      </c>
      <c r="N1872" t="s">
        <v>45</v>
      </c>
      <c r="O1872" t="s">
        <v>38</v>
      </c>
      <c r="P1872">
        <f>VLOOKUP(O1872, Coordinates!$A$2:$C$6, 2, FALSE)</f>
        <v>25.761700000000001</v>
      </c>
      <c r="Q1872">
        <f>VLOOKUP(O1872, Coordinates!$A$2:$C$6, 3, FALSE)</f>
        <v>-80.191800000000001</v>
      </c>
      <c r="R1872">
        <v>25</v>
      </c>
      <c r="S1872">
        <v>756</v>
      </c>
      <c r="T1872">
        <v>7</v>
      </c>
      <c r="U1872">
        <v>78.357794870000006</v>
      </c>
      <c r="V1872" t="s">
        <v>55</v>
      </c>
      <c r="W1872">
        <v>4.1185324415470896</v>
      </c>
      <c r="X1872" t="s">
        <v>46</v>
      </c>
      <c r="Y1872" t="s">
        <v>32</v>
      </c>
      <c r="Z1872">
        <v>431.30191814509402</v>
      </c>
    </row>
    <row r="1873" spans="1:26" x14ac:dyDescent="0.3">
      <c r="A1873" t="s">
        <v>33</v>
      </c>
      <c r="B1873" t="s">
        <v>1929</v>
      </c>
      <c r="C1873">
        <v>77.690231240000003</v>
      </c>
      <c r="D1873">
        <v>16</v>
      </c>
      <c r="E1873">
        <v>500</v>
      </c>
      <c r="F1873">
        <v>1048.0522777271899</v>
      </c>
      <c r="G1873" t="s">
        <v>26</v>
      </c>
      <c r="H1873">
        <v>73</v>
      </c>
      <c r="I1873">
        <v>5</v>
      </c>
      <c r="J1873">
        <v>96</v>
      </c>
      <c r="K1873">
        <v>5</v>
      </c>
      <c r="L1873" t="s">
        <v>27</v>
      </c>
      <c r="M1873">
        <v>8.2033628130689404</v>
      </c>
      <c r="N1873" t="s">
        <v>28</v>
      </c>
      <c r="O1873" t="s">
        <v>65</v>
      </c>
      <c r="P1873">
        <f>VLOOKUP(O1873, Coordinates!$A$2:$C$6, 2, FALSE)</f>
        <v>41.878100000000003</v>
      </c>
      <c r="Q1873">
        <f>VLOOKUP(O1873, Coordinates!$A$2:$C$6, 3, FALSE)</f>
        <v>-87.629800000000003</v>
      </c>
      <c r="R1873">
        <v>20</v>
      </c>
      <c r="S1873">
        <v>520</v>
      </c>
      <c r="T1873">
        <v>27</v>
      </c>
      <c r="U1873">
        <v>46.763947412192202</v>
      </c>
      <c r="V1873" t="s">
        <v>30</v>
      </c>
      <c r="W1873">
        <v>1.4716648225239299</v>
      </c>
      <c r="X1873" t="s">
        <v>46</v>
      </c>
      <c r="Y1873" t="s">
        <v>32</v>
      </c>
      <c r="Z1873">
        <v>258.77163753350902</v>
      </c>
    </row>
    <row r="1874" spans="1:26" x14ac:dyDescent="0.3">
      <c r="A1874" t="s">
        <v>42</v>
      </c>
      <c r="B1874" t="s">
        <v>1930</v>
      </c>
      <c r="C1874">
        <v>94.339824693570904</v>
      </c>
      <c r="D1874">
        <v>77</v>
      </c>
      <c r="E1874">
        <v>841</v>
      </c>
      <c r="F1874">
        <v>9863.8440950224103</v>
      </c>
      <c r="G1874" t="s">
        <v>48</v>
      </c>
      <c r="H1874">
        <v>1</v>
      </c>
      <c r="I1874">
        <v>24</v>
      </c>
      <c r="J1874">
        <v>69</v>
      </c>
      <c r="K1874">
        <v>4</v>
      </c>
      <c r="L1874" t="s">
        <v>36</v>
      </c>
      <c r="M1874">
        <v>13.729699253926499</v>
      </c>
      <c r="N1874" t="s">
        <v>28</v>
      </c>
      <c r="O1874" t="s">
        <v>67</v>
      </c>
      <c r="P1874">
        <f>VLOOKUP(O1874, Coordinates!$A$2:$C$6, 2, FALSE)</f>
        <v>40.712800000000001</v>
      </c>
      <c r="Q1874">
        <f>VLOOKUP(O1874, Coordinates!$A$2:$C$6, 3, FALSE)</f>
        <v>-74.006</v>
      </c>
      <c r="R1874">
        <v>17</v>
      </c>
      <c r="S1874">
        <v>463</v>
      </c>
      <c r="T1874">
        <v>7</v>
      </c>
      <c r="U1874">
        <v>93.781115162408</v>
      </c>
      <c r="V1874" t="s">
        <v>39</v>
      </c>
      <c r="W1874">
        <v>3.07673686499942</v>
      </c>
      <c r="X1874" t="s">
        <v>31</v>
      </c>
      <c r="Y1874" t="s">
        <v>41</v>
      </c>
      <c r="Z1874">
        <v>408.78245493173398</v>
      </c>
    </row>
    <row r="1875" spans="1:26" x14ac:dyDescent="0.3">
      <c r="A1875" t="s">
        <v>82</v>
      </c>
      <c r="B1875" t="s">
        <v>1931</v>
      </c>
      <c r="C1875">
        <v>6.50320133969797</v>
      </c>
      <c r="D1875">
        <v>39</v>
      </c>
      <c r="E1875">
        <v>665</v>
      </c>
      <c r="F1875">
        <v>8900.4934319999993</v>
      </c>
      <c r="G1875" t="s">
        <v>26</v>
      </c>
      <c r="H1875">
        <v>54</v>
      </c>
      <c r="I1875">
        <v>3</v>
      </c>
      <c r="J1875">
        <v>45</v>
      </c>
      <c r="K1875">
        <v>7</v>
      </c>
      <c r="L1875" t="s">
        <v>27</v>
      </c>
      <c r="M1875">
        <v>4.5663890009020198</v>
      </c>
      <c r="N1875" t="s">
        <v>37</v>
      </c>
      <c r="O1875" t="s">
        <v>38</v>
      </c>
      <c r="P1875">
        <f>VLOOKUP(O1875, Coordinates!$A$2:$C$6, 2, FALSE)</f>
        <v>25.761700000000001</v>
      </c>
      <c r="Q1875">
        <f>VLOOKUP(O1875, Coordinates!$A$2:$C$6, 3, FALSE)</f>
        <v>-80.191800000000001</v>
      </c>
      <c r="R1875">
        <v>5</v>
      </c>
      <c r="S1875">
        <v>310</v>
      </c>
      <c r="T1875">
        <v>6</v>
      </c>
      <c r="U1875">
        <v>18.058158741055401</v>
      </c>
      <c r="V1875" t="s">
        <v>30</v>
      </c>
      <c r="W1875">
        <v>3.8444220943155201</v>
      </c>
      <c r="X1875" t="s">
        <v>31</v>
      </c>
      <c r="Y1875" t="s">
        <v>41</v>
      </c>
      <c r="Z1875">
        <v>591.90253487359598</v>
      </c>
    </row>
    <row r="1876" spans="1:26" x14ac:dyDescent="0.3">
      <c r="A1876" t="s">
        <v>72</v>
      </c>
      <c r="B1876" t="s">
        <v>1932</v>
      </c>
      <c r="C1876">
        <v>22.294746025226399</v>
      </c>
      <c r="D1876">
        <v>33</v>
      </c>
      <c r="E1876">
        <v>282</v>
      </c>
      <c r="F1876">
        <v>5658.4065412024702</v>
      </c>
      <c r="G1876" t="s">
        <v>26</v>
      </c>
      <c r="H1876">
        <v>40</v>
      </c>
      <c r="I1876">
        <v>13</v>
      </c>
      <c r="J1876">
        <v>12</v>
      </c>
      <c r="K1876">
        <v>6</v>
      </c>
      <c r="L1876" t="s">
        <v>36</v>
      </c>
      <c r="M1876">
        <v>9.6333804682608104</v>
      </c>
      <c r="N1876" t="s">
        <v>51</v>
      </c>
      <c r="O1876" t="s">
        <v>65</v>
      </c>
      <c r="P1876">
        <f>VLOOKUP(O1876, Coordinates!$A$2:$C$6, 2, FALSE)</f>
        <v>41.878100000000003</v>
      </c>
      <c r="Q1876">
        <f>VLOOKUP(O1876, Coordinates!$A$2:$C$6, 3, FALSE)</f>
        <v>-87.629800000000003</v>
      </c>
      <c r="R1876">
        <v>17</v>
      </c>
      <c r="S1876">
        <v>766</v>
      </c>
      <c r="T1876">
        <v>25</v>
      </c>
      <c r="U1876">
        <v>78.349313286924698</v>
      </c>
      <c r="V1876" t="s">
        <v>39</v>
      </c>
      <c r="W1876">
        <v>2.2496822655180102</v>
      </c>
      <c r="X1876" t="s">
        <v>31</v>
      </c>
      <c r="Y1876" t="s">
        <v>32</v>
      </c>
      <c r="Z1876">
        <v>698.03743401543397</v>
      </c>
    </row>
    <row r="1877" spans="1:26" x14ac:dyDescent="0.3">
      <c r="A1877" t="s">
        <v>82</v>
      </c>
      <c r="B1877" t="s">
        <v>1933</v>
      </c>
      <c r="C1877">
        <v>49.7323988412017</v>
      </c>
      <c r="D1877">
        <v>26</v>
      </c>
      <c r="E1877">
        <v>269</v>
      </c>
      <c r="F1877">
        <v>6933.2008334578404</v>
      </c>
      <c r="H1877">
        <v>96</v>
      </c>
      <c r="I1877">
        <v>2</v>
      </c>
      <c r="J1877">
        <v>24</v>
      </c>
      <c r="K1877">
        <v>3</v>
      </c>
      <c r="L1877" t="s">
        <v>27</v>
      </c>
      <c r="M1877">
        <v>8.0452448339542997</v>
      </c>
      <c r="N1877" t="s">
        <v>57</v>
      </c>
      <c r="O1877" t="s">
        <v>65</v>
      </c>
      <c r="P1877">
        <f>VLOOKUP(O1877, Coordinates!$A$2:$C$6, 2, FALSE)</f>
        <v>41.878100000000003</v>
      </c>
      <c r="Q1877">
        <f>VLOOKUP(O1877, Coordinates!$A$2:$C$6, 3, FALSE)</f>
        <v>-87.629800000000003</v>
      </c>
      <c r="R1877">
        <v>9</v>
      </c>
      <c r="S1877">
        <v>853</v>
      </c>
      <c r="T1877">
        <v>8</v>
      </c>
      <c r="U1877">
        <v>40.7969844619399</v>
      </c>
      <c r="V1877" t="s">
        <v>55</v>
      </c>
      <c r="W1877">
        <v>2.3327692153273998</v>
      </c>
      <c r="X1877" t="s">
        <v>40</v>
      </c>
      <c r="Y1877" t="s">
        <v>32</v>
      </c>
      <c r="Z1877">
        <v>594.81880066514304</v>
      </c>
    </row>
    <row r="1878" spans="1:26" x14ac:dyDescent="0.3">
      <c r="A1878" t="s">
        <v>49</v>
      </c>
      <c r="B1878" t="s">
        <v>1934</v>
      </c>
      <c r="C1878">
        <v>67.3252270876918</v>
      </c>
      <c r="D1878">
        <v>48</v>
      </c>
      <c r="E1878">
        <v>13</v>
      </c>
      <c r="F1878">
        <v>4103.0823578908203</v>
      </c>
      <c r="G1878" t="s">
        <v>54</v>
      </c>
      <c r="H1878">
        <v>19</v>
      </c>
      <c r="I1878">
        <v>24</v>
      </c>
      <c r="J1878">
        <v>91</v>
      </c>
      <c r="K1878">
        <v>9</v>
      </c>
      <c r="L1878" t="s">
        <v>27</v>
      </c>
      <c r="M1878">
        <v>13.8616729735647</v>
      </c>
      <c r="N1878" t="s">
        <v>51</v>
      </c>
      <c r="O1878" t="s">
        <v>38</v>
      </c>
      <c r="P1878">
        <f>VLOOKUP(O1878, Coordinates!$A$2:$C$6, 2, FALSE)</f>
        <v>25.761700000000001</v>
      </c>
      <c r="Q1878">
        <f>VLOOKUP(O1878, Coordinates!$A$2:$C$6, 3, FALSE)</f>
        <v>-80.191800000000001</v>
      </c>
      <c r="R1878">
        <v>8</v>
      </c>
      <c r="S1878">
        <v>607</v>
      </c>
      <c r="T1878">
        <v>12</v>
      </c>
      <c r="U1878">
        <v>16.3741058463633</v>
      </c>
      <c r="V1878" t="s">
        <v>30</v>
      </c>
      <c r="W1878">
        <v>0.29428242383839698</v>
      </c>
      <c r="X1878" t="s">
        <v>46</v>
      </c>
      <c r="Y1878" t="s">
        <v>60</v>
      </c>
      <c r="Z1878">
        <v>331.05726254475098</v>
      </c>
    </row>
    <row r="1879" spans="1:26" x14ac:dyDescent="0.3">
      <c r="A1879" t="s">
        <v>42</v>
      </c>
      <c r="B1879" t="s">
        <v>1935</v>
      </c>
      <c r="C1879">
        <v>58.159991174207399</v>
      </c>
      <c r="D1879">
        <v>65</v>
      </c>
      <c r="E1879">
        <v>461</v>
      </c>
      <c r="F1879">
        <v>9042.8378418143202</v>
      </c>
      <c r="G1879" t="s">
        <v>26</v>
      </c>
      <c r="H1879">
        <v>32</v>
      </c>
      <c r="I1879">
        <v>1</v>
      </c>
      <c r="J1879">
        <v>32</v>
      </c>
      <c r="K1879">
        <v>4</v>
      </c>
      <c r="L1879" t="s">
        <v>44</v>
      </c>
      <c r="M1879">
        <v>6.8587140900026302</v>
      </c>
      <c r="N1879" t="s">
        <v>37</v>
      </c>
      <c r="O1879" t="s">
        <v>65</v>
      </c>
      <c r="P1879">
        <f>VLOOKUP(O1879, Coordinates!$A$2:$C$6, 2, FALSE)</f>
        <v>41.878100000000003</v>
      </c>
      <c r="Q1879">
        <f>VLOOKUP(O1879, Coordinates!$A$2:$C$6, 3, FALSE)</f>
        <v>-87.629800000000003</v>
      </c>
      <c r="R1879">
        <v>30</v>
      </c>
      <c r="S1879">
        <v>175</v>
      </c>
      <c r="T1879">
        <v>24</v>
      </c>
      <c r="U1879">
        <v>29.237005774973799</v>
      </c>
      <c r="V1879" t="s">
        <v>55</v>
      </c>
      <c r="W1879">
        <v>4.6199799031392104</v>
      </c>
      <c r="X1879" t="s">
        <v>52</v>
      </c>
      <c r="Y1879" t="s">
        <v>41</v>
      </c>
      <c r="Z1879">
        <v>926.21690276091203</v>
      </c>
    </row>
    <row r="1880" spans="1:26" x14ac:dyDescent="0.3">
      <c r="A1880" t="s">
        <v>72</v>
      </c>
      <c r="B1880" t="s">
        <v>1936</v>
      </c>
      <c r="C1880">
        <v>22.481988200270699</v>
      </c>
      <c r="D1880">
        <v>38</v>
      </c>
      <c r="E1880">
        <v>799</v>
      </c>
      <c r="F1880">
        <v>16166.7977148147</v>
      </c>
      <c r="G1880" t="s">
        <v>35</v>
      </c>
      <c r="H1880">
        <v>39</v>
      </c>
      <c r="I1880">
        <v>12</v>
      </c>
      <c r="J1880">
        <v>12</v>
      </c>
      <c r="K1880">
        <v>5</v>
      </c>
      <c r="L1880" t="s">
        <v>44</v>
      </c>
      <c r="M1880">
        <v>12.967533385731899</v>
      </c>
      <c r="N1880" t="s">
        <v>51</v>
      </c>
      <c r="O1880" t="s">
        <v>58</v>
      </c>
      <c r="P1880">
        <f>VLOOKUP(O1880, Coordinates!$A$2:$C$6, 2, FALSE)</f>
        <v>34.052199999999999</v>
      </c>
      <c r="Q1880">
        <f>VLOOKUP(O1880, Coordinates!$A$2:$C$6, 3, FALSE)</f>
        <v>-118.2437</v>
      </c>
      <c r="R1880">
        <v>7</v>
      </c>
      <c r="S1880">
        <v>422</v>
      </c>
      <c r="T1880">
        <v>18</v>
      </c>
      <c r="U1880">
        <v>81.359475369999998</v>
      </c>
      <c r="V1880" t="s">
        <v>55</v>
      </c>
      <c r="W1880">
        <v>4.2344834822312896</v>
      </c>
      <c r="X1880" t="s">
        <v>31</v>
      </c>
      <c r="Y1880" t="s">
        <v>32</v>
      </c>
      <c r="Z1880">
        <v>494.03134412051702</v>
      </c>
    </row>
    <row r="1881" spans="1:26" x14ac:dyDescent="0.3">
      <c r="A1881" t="s">
        <v>72</v>
      </c>
      <c r="B1881" t="s">
        <v>1937</v>
      </c>
      <c r="C1881">
        <v>32.788068696918899</v>
      </c>
      <c r="D1881">
        <v>2</v>
      </c>
      <c r="E1881">
        <v>277</v>
      </c>
      <c r="F1881">
        <v>8174.0655261418797</v>
      </c>
      <c r="G1881" t="s">
        <v>54</v>
      </c>
      <c r="H1881">
        <v>98</v>
      </c>
      <c r="I1881">
        <v>8</v>
      </c>
      <c r="J1881">
        <v>39</v>
      </c>
      <c r="K1881">
        <v>3</v>
      </c>
      <c r="L1881" t="s">
        <v>44</v>
      </c>
      <c r="M1881">
        <v>8.8946567084820902</v>
      </c>
      <c r="N1881" t="s">
        <v>57</v>
      </c>
      <c r="O1881" t="s">
        <v>58</v>
      </c>
      <c r="P1881">
        <f>VLOOKUP(O1881, Coordinates!$A$2:$C$6, 2, FALSE)</f>
        <v>34.052199999999999</v>
      </c>
      <c r="Q1881">
        <f>VLOOKUP(O1881, Coordinates!$A$2:$C$6, 3, FALSE)</f>
        <v>-118.2437</v>
      </c>
      <c r="R1881">
        <v>5</v>
      </c>
      <c r="S1881">
        <v>989</v>
      </c>
      <c r="T1881">
        <v>23</v>
      </c>
      <c r="U1881">
        <v>76.353320274227499</v>
      </c>
      <c r="V1881" t="s">
        <v>55</v>
      </c>
      <c r="W1881">
        <v>1.9899639377121701</v>
      </c>
      <c r="X1881" t="s">
        <v>46</v>
      </c>
      <c r="Y1881" t="s">
        <v>60</v>
      </c>
      <c r="Z1881">
        <v>513.07297627537798</v>
      </c>
    </row>
    <row r="1882" spans="1:26" x14ac:dyDescent="0.3">
      <c r="A1882" t="s">
        <v>61</v>
      </c>
      <c r="B1882" t="s">
        <v>1938</v>
      </c>
      <c r="C1882">
        <v>16.1161138615048</v>
      </c>
      <c r="D1882">
        <v>6</v>
      </c>
      <c r="E1882">
        <v>944</v>
      </c>
      <c r="F1882">
        <v>1897.5787510949399</v>
      </c>
      <c r="G1882" t="s">
        <v>48</v>
      </c>
      <c r="H1882">
        <v>33</v>
      </c>
      <c r="I1882">
        <v>19</v>
      </c>
      <c r="J1882">
        <v>54</v>
      </c>
      <c r="K1882">
        <v>8</v>
      </c>
      <c r="L1882" t="s">
        <v>27</v>
      </c>
      <c r="M1882">
        <v>10.9196013260469</v>
      </c>
      <c r="N1882" t="s">
        <v>51</v>
      </c>
      <c r="O1882" t="s">
        <v>58</v>
      </c>
      <c r="P1882">
        <f>VLOOKUP(O1882, Coordinates!$A$2:$C$6, 2, FALSE)</f>
        <v>34.052199999999999</v>
      </c>
      <c r="Q1882">
        <f>VLOOKUP(O1882, Coordinates!$A$2:$C$6, 3, FALSE)</f>
        <v>-118.2437</v>
      </c>
      <c r="R1882">
        <v>4</v>
      </c>
      <c r="S1882">
        <v>551</v>
      </c>
      <c r="T1882">
        <v>15</v>
      </c>
      <c r="U1882">
        <v>63.302393385041498</v>
      </c>
      <c r="V1882" t="s">
        <v>39</v>
      </c>
      <c r="W1882">
        <v>3.8247530658027902</v>
      </c>
      <c r="X1882" t="s">
        <v>46</v>
      </c>
      <c r="Y1882" t="s">
        <v>32</v>
      </c>
      <c r="Z1882">
        <v>970.646702875144</v>
      </c>
    </row>
    <row r="1883" spans="1:26" x14ac:dyDescent="0.3">
      <c r="A1883" t="s">
        <v>33</v>
      </c>
      <c r="B1883" t="s">
        <v>1939</v>
      </c>
      <c r="C1883">
        <v>80.973201793778301</v>
      </c>
      <c r="D1883">
        <v>46</v>
      </c>
      <c r="E1883">
        <v>817</v>
      </c>
      <c r="F1883">
        <v>9297.6006711947502</v>
      </c>
      <c r="G1883" t="s">
        <v>35</v>
      </c>
      <c r="H1883">
        <v>61</v>
      </c>
      <c r="I1883">
        <v>9</v>
      </c>
      <c r="J1883">
        <v>26</v>
      </c>
      <c r="K1883">
        <v>7</v>
      </c>
      <c r="L1883" t="s">
        <v>36</v>
      </c>
      <c r="M1883">
        <v>13.4165033036737</v>
      </c>
      <c r="N1883" t="s">
        <v>37</v>
      </c>
      <c r="O1883" t="s">
        <v>65</v>
      </c>
      <c r="P1883">
        <f>VLOOKUP(O1883, Coordinates!$A$2:$C$6, 2, FALSE)</f>
        <v>41.878100000000003</v>
      </c>
      <c r="Q1883">
        <f>VLOOKUP(O1883, Coordinates!$A$2:$C$6, 3, FALSE)</f>
        <v>-87.629800000000003</v>
      </c>
      <c r="R1883">
        <v>23</v>
      </c>
      <c r="S1883">
        <v>786</v>
      </c>
      <c r="T1883">
        <v>28</v>
      </c>
      <c r="U1883">
        <v>96.116537910000005</v>
      </c>
      <c r="V1883" t="s">
        <v>55</v>
      </c>
      <c r="W1883">
        <v>1.56639587854229</v>
      </c>
      <c r="X1883" t="s">
        <v>40</v>
      </c>
      <c r="Y1883" t="s">
        <v>32</v>
      </c>
      <c r="Z1883">
        <v>881.53070539988903</v>
      </c>
    </row>
    <row r="1884" spans="1:26" x14ac:dyDescent="0.3">
      <c r="A1884" t="s">
        <v>61</v>
      </c>
      <c r="B1884" t="s">
        <v>1940</v>
      </c>
      <c r="C1884">
        <v>16.707094693050799</v>
      </c>
      <c r="D1884">
        <v>50</v>
      </c>
      <c r="E1884">
        <v>12</v>
      </c>
      <c r="F1884">
        <v>2266.9341199999999</v>
      </c>
      <c r="G1884" t="s">
        <v>26</v>
      </c>
      <c r="H1884">
        <v>99</v>
      </c>
      <c r="I1884">
        <v>28</v>
      </c>
      <c r="J1884">
        <v>67</v>
      </c>
      <c r="K1884">
        <v>7</v>
      </c>
      <c r="L1884" t="s">
        <v>36</v>
      </c>
      <c r="M1884">
        <v>14.9566898058671</v>
      </c>
      <c r="N1884" t="s">
        <v>57</v>
      </c>
      <c r="O1884" t="s">
        <v>65</v>
      </c>
      <c r="P1884">
        <f>VLOOKUP(O1884, Coordinates!$A$2:$C$6, 2, FALSE)</f>
        <v>41.878100000000003</v>
      </c>
      <c r="Q1884">
        <f>VLOOKUP(O1884, Coordinates!$A$2:$C$6, 3, FALSE)</f>
        <v>-87.629800000000003</v>
      </c>
      <c r="R1884">
        <v>3</v>
      </c>
      <c r="S1884">
        <v>722</v>
      </c>
      <c r="T1884">
        <v>16</v>
      </c>
      <c r="U1884">
        <v>81.558645613324202</v>
      </c>
      <c r="V1884" t="s">
        <v>55</v>
      </c>
      <c r="W1884">
        <v>3.6521089650638698</v>
      </c>
      <c r="X1884" t="s">
        <v>52</v>
      </c>
      <c r="Y1884" t="s">
        <v>41</v>
      </c>
      <c r="Z1884">
        <v>825.64225414492103</v>
      </c>
    </row>
    <row r="1885" spans="1:26" x14ac:dyDescent="0.3">
      <c r="A1885" t="s">
        <v>72</v>
      </c>
      <c r="B1885" t="s">
        <v>1941</v>
      </c>
      <c r="C1885">
        <v>22.885979484839002</v>
      </c>
      <c r="D1885">
        <v>38</v>
      </c>
      <c r="E1885">
        <v>212</v>
      </c>
      <c r="F1885">
        <v>4366.6448857072801</v>
      </c>
      <c r="G1885" t="s">
        <v>54</v>
      </c>
      <c r="H1885">
        <v>90</v>
      </c>
      <c r="I1885">
        <v>14</v>
      </c>
      <c r="J1885">
        <v>67</v>
      </c>
      <c r="K1885">
        <v>8</v>
      </c>
      <c r="L1885" t="s">
        <v>27</v>
      </c>
      <c r="M1885">
        <v>11.235953821068</v>
      </c>
      <c r="N1885" t="s">
        <v>51</v>
      </c>
      <c r="O1885" t="s">
        <v>65</v>
      </c>
      <c r="P1885">
        <f>VLOOKUP(O1885, Coordinates!$A$2:$C$6, 2, FALSE)</f>
        <v>41.878100000000003</v>
      </c>
      <c r="Q1885">
        <f>VLOOKUP(O1885, Coordinates!$A$2:$C$6, 3, FALSE)</f>
        <v>-87.629800000000003</v>
      </c>
      <c r="R1885">
        <v>8</v>
      </c>
      <c r="S1885">
        <v>117</v>
      </c>
      <c r="T1885">
        <v>1</v>
      </c>
      <c r="U1885">
        <v>85.850816987440197</v>
      </c>
      <c r="V1885" t="s">
        <v>55</v>
      </c>
      <c r="W1885">
        <v>2.5834585828202998</v>
      </c>
      <c r="X1885" t="s">
        <v>46</v>
      </c>
      <c r="Y1885" t="s">
        <v>32</v>
      </c>
      <c r="Z1885">
        <v>264.42191451905097</v>
      </c>
    </row>
    <row r="1886" spans="1:26" x14ac:dyDescent="0.3">
      <c r="A1886" t="s">
        <v>42</v>
      </c>
      <c r="B1886" t="s">
        <v>1942</v>
      </c>
      <c r="C1886">
        <v>44.533809925857597</v>
      </c>
      <c r="D1886">
        <v>88</v>
      </c>
      <c r="E1886">
        <v>849</v>
      </c>
      <c r="F1886">
        <v>6023.20742315393</v>
      </c>
      <c r="G1886" t="s">
        <v>35</v>
      </c>
      <c r="H1886">
        <v>0</v>
      </c>
      <c r="I1886">
        <v>26</v>
      </c>
      <c r="J1886">
        <v>66</v>
      </c>
      <c r="K1886">
        <v>7</v>
      </c>
      <c r="L1886" t="s">
        <v>36</v>
      </c>
      <c r="M1886">
        <v>5.4033073408489498</v>
      </c>
      <c r="N1886" t="s">
        <v>37</v>
      </c>
      <c r="O1886" t="s">
        <v>67</v>
      </c>
      <c r="P1886">
        <f>VLOOKUP(O1886, Coordinates!$A$2:$C$6, 2, FALSE)</f>
        <v>40.712800000000001</v>
      </c>
      <c r="Q1886">
        <f>VLOOKUP(O1886, Coordinates!$A$2:$C$6, 3, FALSE)</f>
        <v>-74.006</v>
      </c>
      <c r="R1886">
        <v>5</v>
      </c>
      <c r="S1886">
        <v>390</v>
      </c>
      <c r="T1886">
        <v>10</v>
      </c>
      <c r="U1886">
        <v>22.438688172544701</v>
      </c>
      <c r="V1886" t="s">
        <v>30</v>
      </c>
      <c r="W1886">
        <v>2.3038336110987498</v>
      </c>
      <c r="X1886" t="s">
        <v>46</v>
      </c>
      <c r="Y1886" t="s">
        <v>41</v>
      </c>
      <c r="Z1886">
        <v>854.27857782183798</v>
      </c>
    </row>
    <row r="1887" spans="1:26" x14ac:dyDescent="0.3">
      <c r="A1887" t="s">
        <v>82</v>
      </c>
      <c r="B1887" t="s">
        <v>1943</v>
      </c>
      <c r="C1887">
        <v>53.815819779999998</v>
      </c>
      <c r="D1887">
        <v>18</v>
      </c>
      <c r="E1887">
        <v>641</v>
      </c>
      <c r="F1887">
        <v>7876.8370019168296</v>
      </c>
      <c r="G1887" t="s">
        <v>54</v>
      </c>
      <c r="H1887">
        <v>42</v>
      </c>
      <c r="I1887">
        <v>27</v>
      </c>
      <c r="J1887">
        <v>16</v>
      </c>
      <c r="K1887">
        <v>3</v>
      </c>
      <c r="L1887" t="s">
        <v>27</v>
      </c>
      <c r="M1887">
        <v>5.1861679060895298</v>
      </c>
      <c r="N1887" t="s">
        <v>37</v>
      </c>
      <c r="O1887" t="s">
        <v>38</v>
      </c>
      <c r="P1887">
        <f>VLOOKUP(O1887, Coordinates!$A$2:$C$6, 2, FALSE)</f>
        <v>25.761700000000001</v>
      </c>
      <c r="Q1887">
        <f>VLOOKUP(O1887, Coordinates!$A$2:$C$6, 3, FALSE)</f>
        <v>-80.191800000000001</v>
      </c>
      <c r="R1887">
        <v>5</v>
      </c>
      <c r="S1887">
        <v>885</v>
      </c>
      <c r="T1887">
        <v>15</v>
      </c>
      <c r="U1887">
        <v>51.855799052168003</v>
      </c>
      <c r="V1887" t="s">
        <v>39</v>
      </c>
      <c r="W1887">
        <v>0.28261498629057302</v>
      </c>
      <c r="X1887" t="s">
        <v>31</v>
      </c>
      <c r="Y1887" t="s">
        <v>32</v>
      </c>
      <c r="Z1887">
        <v>509.77777711164703</v>
      </c>
    </row>
    <row r="1888" spans="1:26" x14ac:dyDescent="0.3">
      <c r="A1888" t="s">
        <v>82</v>
      </c>
      <c r="B1888" t="s">
        <v>1944</v>
      </c>
      <c r="C1888">
        <v>90.813311369999994</v>
      </c>
      <c r="D1888">
        <v>27</v>
      </c>
      <c r="E1888">
        <v>127</v>
      </c>
      <c r="F1888">
        <v>6574.1617534266898</v>
      </c>
      <c r="G1888" t="s">
        <v>26</v>
      </c>
      <c r="H1888">
        <v>68</v>
      </c>
      <c r="I1888">
        <v>18</v>
      </c>
      <c r="J1888">
        <v>48</v>
      </c>
      <c r="K1888">
        <v>3</v>
      </c>
      <c r="L1888" t="s">
        <v>36</v>
      </c>
      <c r="M1888">
        <v>5.3274535484874903</v>
      </c>
      <c r="N1888" t="s">
        <v>28</v>
      </c>
      <c r="O1888" t="s">
        <v>65</v>
      </c>
      <c r="P1888">
        <f>VLOOKUP(O1888, Coordinates!$A$2:$C$6, 2, FALSE)</f>
        <v>41.878100000000003</v>
      </c>
      <c r="Q1888">
        <f>VLOOKUP(O1888, Coordinates!$A$2:$C$6, 3, FALSE)</f>
        <v>-87.629800000000003</v>
      </c>
      <c r="R1888">
        <v>17</v>
      </c>
      <c r="S1888">
        <v>849</v>
      </c>
      <c r="T1888">
        <v>24</v>
      </c>
      <c r="U1888">
        <v>45.365539256056401</v>
      </c>
      <c r="V1888" t="s">
        <v>30</v>
      </c>
      <c r="W1888">
        <v>4.8271096090443102</v>
      </c>
      <c r="X1888" t="s">
        <v>40</v>
      </c>
      <c r="Y1888" t="s">
        <v>60</v>
      </c>
      <c r="Z1888">
        <v>288.454403524783</v>
      </c>
    </row>
    <row r="1889" spans="1:26" x14ac:dyDescent="0.3">
      <c r="A1889" t="s">
        <v>42</v>
      </c>
      <c r="B1889" t="s">
        <v>1945</v>
      </c>
      <c r="C1889">
        <v>89.538954014981201</v>
      </c>
      <c r="D1889">
        <v>41</v>
      </c>
      <c r="E1889">
        <v>37</v>
      </c>
      <c r="F1889">
        <v>3089.2052152013998</v>
      </c>
      <c r="G1889" t="s">
        <v>54</v>
      </c>
      <c r="H1889">
        <v>62</v>
      </c>
      <c r="I1889">
        <v>10</v>
      </c>
      <c r="J1889">
        <v>87</v>
      </c>
      <c r="K1889">
        <v>2</v>
      </c>
      <c r="L1889" t="s">
        <v>27</v>
      </c>
      <c r="M1889">
        <v>2.37071648419297</v>
      </c>
      <c r="N1889" t="s">
        <v>57</v>
      </c>
      <c r="O1889" t="s">
        <v>38</v>
      </c>
      <c r="P1889">
        <f>VLOOKUP(O1889, Coordinates!$A$2:$C$6, 2, FALSE)</f>
        <v>25.761700000000001</v>
      </c>
      <c r="Q1889">
        <f>VLOOKUP(O1889, Coordinates!$A$2:$C$6, 3, FALSE)</f>
        <v>-80.191800000000001</v>
      </c>
      <c r="R1889">
        <v>29</v>
      </c>
      <c r="S1889">
        <v>297</v>
      </c>
      <c r="T1889">
        <v>13</v>
      </c>
      <c r="U1889">
        <v>97.455966402146601</v>
      </c>
      <c r="V1889" t="s">
        <v>55</v>
      </c>
      <c r="W1889">
        <v>4.1870448493921</v>
      </c>
      <c r="X1889" t="s">
        <v>40</v>
      </c>
      <c r="Y1889" t="s">
        <v>41</v>
      </c>
      <c r="Z1889">
        <v>991.79376942126498</v>
      </c>
    </row>
    <row r="1890" spans="1:26" x14ac:dyDescent="0.3">
      <c r="A1890" t="s">
        <v>72</v>
      </c>
      <c r="B1890" t="s">
        <v>1946</v>
      </c>
      <c r="C1890">
        <v>35.367694192497702</v>
      </c>
      <c r="D1890">
        <v>72</v>
      </c>
      <c r="E1890">
        <v>517</v>
      </c>
      <c r="F1890">
        <v>16456.588110000001</v>
      </c>
      <c r="G1890" t="s">
        <v>35</v>
      </c>
      <c r="H1890">
        <v>92</v>
      </c>
      <c r="I1890">
        <v>9</v>
      </c>
      <c r="J1890">
        <v>67</v>
      </c>
      <c r="K1890">
        <v>1</v>
      </c>
      <c r="L1890" t="s">
        <v>44</v>
      </c>
      <c r="M1890">
        <v>1.75038448700417</v>
      </c>
      <c r="N1890" t="s">
        <v>57</v>
      </c>
      <c r="O1890" t="s">
        <v>29</v>
      </c>
      <c r="P1890">
        <f>VLOOKUP(O1890, Coordinates!$A$2:$C$6, 2, FALSE)</f>
        <v>29.760400000000001</v>
      </c>
      <c r="Q1890">
        <f>VLOOKUP(O1890, Coordinates!$A$2:$C$6, 3, FALSE)</f>
        <v>-95.369799999999998</v>
      </c>
      <c r="R1890">
        <v>15</v>
      </c>
      <c r="S1890">
        <v>261</v>
      </c>
      <c r="T1890">
        <v>19</v>
      </c>
      <c r="U1890">
        <v>92.1948470075518</v>
      </c>
      <c r="V1890" t="s">
        <v>55</v>
      </c>
      <c r="W1890">
        <v>3.9669403399322301</v>
      </c>
      <c r="X1890" t="s">
        <v>52</v>
      </c>
      <c r="Y1890" t="s">
        <v>41</v>
      </c>
      <c r="Z1890">
        <v>254.84883429547301</v>
      </c>
    </row>
    <row r="1891" spans="1:26" x14ac:dyDescent="0.3">
      <c r="A1891" t="s">
        <v>24</v>
      </c>
      <c r="B1891" t="s">
        <v>1947</v>
      </c>
      <c r="C1891">
        <v>36.5739025956535</v>
      </c>
      <c r="D1891">
        <v>92</v>
      </c>
      <c r="E1891">
        <v>208</v>
      </c>
      <c r="F1891">
        <v>6846.63456590635</v>
      </c>
      <c r="G1891" t="s">
        <v>54</v>
      </c>
      <c r="H1891">
        <v>9</v>
      </c>
      <c r="I1891">
        <v>6</v>
      </c>
      <c r="J1891">
        <v>65</v>
      </c>
      <c r="K1891">
        <v>5</v>
      </c>
      <c r="L1891" t="s">
        <v>44</v>
      </c>
      <c r="M1891">
        <v>9.1318002685317605</v>
      </c>
      <c r="N1891" t="s">
        <v>51</v>
      </c>
      <c r="O1891" t="s">
        <v>58</v>
      </c>
      <c r="P1891">
        <f>VLOOKUP(O1891, Coordinates!$A$2:$C$6, 2, FALSE)</f>
        <v>34.052199999999999</v>
      </c>
      <c r="Q1891">
        <f>VLOOKUP(O1891, Coordinates!$A$2:$C$6, 3, FALSE)</f>
        <v>-118.2437</v>
      </c>
      <c r="R1891">
        <v>26</v>
      </c>
      <c r="S1891">
        <v>516</v>
      </c>
      <c r="T1891">
        <v>27</v>
      </c>
      <c r="U1891">
        <v>83.000492569337197</v>
      </c>
      <c r="V1891" t="s">
        <v>39</v>
      </c>
      <c r="W1891">
        <v>1.5245809882686201</v>
      </c>
      <c r="X1891" t="s">
        <v>40</v>
      </c>
      <c r="Y1891" t="s">
        <v>60</v>
      </c>
      <c r="Z1891">
        <v>929.74386337691305</v>
      </c>
    </row>
    <row r="1892" spans="1:26" x14ac:dyDescent="0.3">
      <c r="A1892" t="s">
        <v>82</v>
      </c>
      <c r="B1892" t="s">
        <v>1948</v>
      </c>
      <c r="C1892">
        <v>74.942781962714093</v>
      </c>
      <c r="D1892">
        <v>74</v>
      </c>
      <c r="E1892">
        <v>522</v>
      </c>
      <c r="F1892">
        <v>9866.8659331998406</v>
      </c>
      <c r="G1892" t="s">
        <v>48</v>
      </c>
      <c r="H1892">
        <v>12</v>
      </c>
      <c r="I1892">
        <v>1</v>
      </c>
      <c r="J1892">
        <v>24</v>
      </c>
      <c r="K1892">
        <v>4</v>
      </c>
      <c r="L1892" t="s">
        <v>36</v>
      </c>
      <c r="M1892">
        <v>12.3482393811036</v>
      </c>
      <c r="N1892" t="s">
        <v>28</v>
      </c>
      <c r="O1892" t="s">
        <v>67</v>
      </c>
      <c r="P1892">
        <f>VLOOKUP(O1892, Coordinates!$A$2:$C$6, 2, FALSE)</f>
        <v>40.712800000000001</v>
      </c>
      <c r="Q1892">
        <f>VLOOKUP(O1892, Coordinates!$A$2:$C$6, 3, FALSE)</f>
        <v>-74.006</v>
      </c>
      <c r="R1892">
        <v>27</v>
      </c>
      <c r="S1892">
        <v>483</v>
      </c>
      <c r="T1892">
        <v>13</v>
      </c>
      <c r="U1892">
        <v>23.390558517694299</v>
      </c>
      <c r="V1892" t="s">
        <v>55</v>
      </c>
      <c r="W1892">
        <v>1.4479509221186599</v>
      </c>
      <c r="X1892" t="s">
        <v>52</v>
      </c>
      <c r="Y1892" t="s">
        <v>41</v>
      </c>
      <c r="Z1892">
        <v>100.4756805</v>
      </c>
    </row>
    <row r="1893" spans="1:26" x14ac:dyDescent="0.3">
      <c r="A1893" t="s">
        <v>24</v>
      </c>
      <c r="B1893" t="s">
        <v>1949</v>
      </c>
      <c r="C1893">
        <v>30.456880159442601</v>
      </c>
      <c r="D1893">
        <v>17</v>
      </c>
      <c r="E1893">
        <v>813</v>
      </c>
      <c r="F1893">
        <v>22285.2992126641</v>
      </c>
      <c r="G1893" t="s">
        <v>48</v>
      </c>
      <c r="H1893">
        <v>92</v>
      </c>
      <c r="I1893">
        <v>5</v>
      </c>
      <c r="J1893">
        <v>53</v>
      </c>
      <c r="K1893">
        <v>2</v>
      </c>
      <c r="L1893" t="s">
        <v>36</v>
      </c>
      <c r="M1893">
        <v>1.50588355741504</v>
      </c>
      <c r="N1893" t="s">
        <v>57</v>
      </c>
      <c r="O1893" t="s">
        <v>38</v>
      </c>
      <c r="P1893">
        <f>VLOOKUP(O1893, Coordinates!$A$2:$C$6, 2, FALSE)</f>
        <v>25.761700000000001</v>
      </c>
      <c r="Q1893">
        <f>VLOOKUP(O1893, Coordinates!$A$2:$C$6, 3, FALSE)</f>
        <v>-80.191800000000001</v>
      </c>
      <c r="R1893">
        <v>8</v>
      </c>
      <c r="S1893">
        <v>299</v>
      </c>
      <c r="T1893">
        <v>9</v>
      </c>
      <c r="U1893">
        <v>87.966332780000002</v>
      </c>
      <c r="V1893" t="s">
        <v>55</v>
      </c>
      <c r="W1893">
        <v>2.8659654829732402</v>
      </c>
      <c r="X1893" t="s">
        <v>52</v>
      </c>
      <c r="Y1893" t="s">
        <v>60</v>
      </c>
      <c r="Z1893">
        <v>494.12625384009101</v>
      </c>
    </row>
    <row r="1894" spans="1:26" x14ac:dyDescent="0.3">
      <c r="A1894" t="s">
        <v>82</v>
      </c>
      <c r="B1894" t="s">
        <v>1950</v>
      </c>
      <c r="C1894">
        <v>87.612577835103806</v>
      </c>
      <c r="D1894">
        <v>62</v>
      </c>
      <c r="E1894">
        <v>955</v>
      </c>
      <c r="F1894">
        <v>5141.85956340953</v>
      </c>
      <c r="G1894" t="s">
        <v>35</v>
      </c>
      <c r="H1894">
        <v>4</v>
      </c>
      <c r="I1894">
        <v>10</v>
      </c>
      <c r="J1894">
        <v>21</v>
      </c>
      <c r="K1894">
        <v>1</v>
      </c>
      <c r="L1894" t="s">
        <v>36</v>
      </c>
      <c r="M1894">
        <v>8.9328801499057597</v>
      </c>
      <c r="N1894" t="s">
        <v>37</v>
      </c>
      <c r="O1894" t="s">
        <v>58</v>
      </c>
      <c r="P1894">
        <f>VLOOKUP(O1894, Coordinates!$A$2:$C$6, 2, FALSE)</f>
        <v>34.052199999999999</v>
      </c>
      <c r="Q1894">
        <f>VLOOKUP(O1894, Coordinates!$A$2:$C$6, 3, FALSE)</f>
        <v>-118.2437</v>
      </c>
      <c r="R1894">
        <v>7</v>
      </c>
      <c r="S1894">
        <v>845</v>
      </c>
      <c r="T1894">
        <v>21</v>
      </c>
      <c r="U1894">
        <v>81.418804809999997</v>
      </c>
      <c r="V1894" t="s">
        <v>30</v>
      </c>
      <c r="W1894">
        <v>4.2311159811307402</v>
      </c>
      <c r="X1894" t="s">
        <v>31</v>
      </c>
      <c r="Y1894" t="s">
        <v>41</v>
      </c>
      <c r="Z1894">
        <v>126.906389021723</v>
      </c>
    </row>
    <row r="1895" spans="1:26" x14ac:dyDescent="0.3">
      <c r="A1895" t="s">
        <v>82</v>
      </c>
      <c r="B1895" t="s">
        <v>1951</v>
      </c>
      <c r="C1895">
        <v>43.263704157125403</v>
      </c>
      <c r="D1895">
        <v>29</v>
      </c>
      <c r="E1895">
        <v>521</v>
      </c>
      <c r="F1895">
        <v>9133.9053525919498</v>
      </c>
      <c r="G1895" t="s">
        <v>54</v>
      </c>
      <c r="H1895">
        <v>57</v>
      </c>
      <c r="I1895">
        <v>25</v>
      </c>
      <c r="J1895">
        <v>17</v>
      </c>
      <c r="K1895">
        <v>3</v>
      </c>
      <c r="L1895" t="s">
        <v>36</v>
      </c>
      <c r="M1895">
        <v>6.2046556971196001</v>
      </c>
      <c r="N1895" t="s">
        <v>57</v>
      </c>
      <c r="O1895" t="s">
        <v>67</v>
      </c>
      <c r="P1895">
        <f>VLOOKUP(O1895, Coordinates!$A$2:$C$6, 2, FALSE)</f>
        <v>40.712800000000001</v>
      </c>
      <c r="Q1895">
        <f>VLOOKUP(O1895, Coordinates!$A$2:$C$6, 3, FALSE)</f>
        <v>-74.006</v>
      </c>
      <c r="R1895">
        <v>17</v>
      </c>
      <c r="S1895">
        <v>994</v>
      </c>
      <c r="T1895">
        <v>16</v>
      </c>
      <c r="U1895">
        <v>56.014678599012697</v>
      </c>
      <c r="V1895" t="s">
        <v>39</v>
      </c>
      <c r="W1895">
        <v>4.6731420308432599</v>
      </c>
      <c r="X1895" t="s">
        <v>31</v>
      </c>
      <c r="Y1895" t="s">
        <v>41</v>
      </c>
      <c r="Z1895">
        <v>921.20692753262904</v>
      </c>
    </row>
    <row r="1896" spans="1:26" x14ac:dyDescent="0.3">
      <c r="A1896" t="s">
        <v>33</v>
      </c>
      <c r="B1896" t="s">
        <v>1952</v>
      </c>
      <c r="C1896">
        <v>97.172357719999994</v>
      </c>
      <c r="D1896">
        <v>58</v>
      </c>
      <c r="E1896">
        <v>447</v>
      </c>
      <c r="F1896">
        <v>4688.6290580000004</v>
      </c>
      <c r="G1896" t="s">
        <v>35</v>
      </c>
      <c r="H1896">
        <v>58</v>
      </c>
      <c r="I1896">
        <v>13</v>
      </c>
      <c r="J1896">
        <v>89</v>
      </c>
      <c r="K1896">
        <v>10</v>
      </c>
      <c r="L1896" t="s">
        <v>44</v>
      </c>
      <c r="M1896">
        <v>13.494792835806599</v>
      </c>
      <c r="N1896" t="s">
        <v>28</v>
      </c>
      <c r="O1896" t="s">
        <v>58</v>
      </c>
      <c r="P1896">
        <f>VLOOKUP(O1896, Coordinates!$A$2:$C$6, 2, FALSE)</f>
        <v>34.052199999999999</v>
      </c>
      <c r="Q1896">
        <f>VLOOKUP(O1896, Coordinates!$A$2:$C$6, 3, FALSE)</f>
        <v>-118.2437</v>
      </c>
      <c r="R1896">
        <v>12</v>
      </c>
      <c r="S1896">
        <v>951</v>
      </c>
      <c r="T1896">
        <v>23</v>
      </c>
      <c r="U1896">
        <v>42.881917871362702</v>
      </c>
      <c r="V1896" t="s">
        <v>30</v>
      </c>
      <c r="W1896">
        <v>1.3446451300390201</v>
      </c>
      <c r="X1896" t="s">
        <v>46</v>
      </c>
      <c r="Y1896" t="s">
        <v>41</v>
      </c>
      <c r="Z1896">
        <v>942.49811934894694</v>
      </c>
    </row>
    <row r="1897" spans="1:26" x14ac:dyDescent="0.3">
      <c r="A1897" t="s">
        <v>33</v>
      </c>
      <c r="B1897" t="s">
        <v>1953</v>
      </c>
      <c r="C1897">
        <v>93.570662031743296</v>
      </c>
      <c r="D1897">
        <v>70</v>
      </c>
      <c r="E1897">
        <v>596</v>
      </c>
      <c r="F1897">
        <v>5724.4067581912004</v>
      </c>
      <c r="G1897" t="s">
        <v>54</v>
      </c>
      <c r="H1897">
        <v>75</v>
      </c>
      <c r="I1897">
        <v>22</v>
      </c>
      <c r="J1897">
        <v>50</v>
      </c>
      <c r="K1897">
        <v>2</v>
      </c>
      <c r="L1897" t="s">
        <v>44</v>
      </c>
      <c r="M1897">
        <v>3.0354170043324</v>
      </c>
      <c r="N1897" t="s">
        <v>45</v>
      </c>
      <c r="O1897" t="s">
        <v>38</v>
      </c>
      <c r="P1897">
        <f>VLOOKUP(O1897, Coordinates!$A$2:$C$6, 2, FALSE)</f>
        <v>25.761700000000001</v>
      </c>
      <c r="Q1897">
        <f>VLOOKUP(O1897, Coordinates!$A$2:$C$6, 3, FALSE)</f>
        <v>-80.191800000000001</v>
      </c>
      <c r="R1897">
        <v>27</v>
      </c>
      <c r="S1897">
        <v>597</v>
      </c>
      <c r="T1897">
        <v>14</v>
      </c>
      <c r="U1897">
        <v>50.334924483975399</v>
      </c>
      <c r="V1897" t="s">
        <v>39</v>
      </c>
      <c r="W1897">
        <v>4.5585534604496001</v>
      </c>
      <c r="X1897" t="s">
        <v>31</v>
      </c>
      <c r="Y1897" t="s">
        <v>41</v>
      </c>
      <c r="Z1897">
        <v>705.78862650006204</v>
      </c>
    </row>
    <row r="1898" spans="1:26" x14ac:dyDescent="0.3">
      <c r="A1898" t="s">
        <v>49</v>
      </c>
      <c r="B1898" t="s">
        <v>1954</v>
      </c>
      <c r="C1898">
        <v>75.452248847919606</v>
      </c>
      <c r="D1898">
        <v>78</v>
      </c>
      <c r="E1898">
        <v>790</v>
      </c>
      <c r="F1898">
        <v>5294.1679065611397</v>
      </c>
      <c r="G1898" t="s">
        <v>26</v>
      </c>
      <c r="H1898">
        <v>58</v>
      </c>
      <c r="I1898">
        <v>23</v>
      </c>
      <c r="J1898">
        <v>43</v>
      </c>
      <c r="K1898">
        <v>10</v>
      </c>
      <c r="L1898" t="s">
        <v>27</v>
      </c>
      <c r="M1898">
        <v>8.88804807013363</v>
      </c>
      <c r="N1898" t="s">
        <v>37</v>
      </c>
      <c r="O1898" t="s">
        <v>65</v>
      </c>
      <c r="P1898">
        <f>VLOOKUP(O1898, Coordinates!$A$2:$C$6, 2, FALSE)</f>
        <v>41.878100000000003</v>
      </c>
      <c r="Q1898">
        <f>VLOOKUP(O1898, Coordinates!$A$2:$C$6, 3, FALSE)</f>
        <v>-87.629800000000003</v>
      </c>
      <c r="R1898">
        <v>4</v>
      </c>
      <c r="S1898">
        <v>142</v>
      </c>
      <c r="T1898">
        <v>23</v>
      </c>
      <c r="U1898">
        <v>91.169305777459897</v>
      </c>
      <c r="V1898" t="s">
        <v>30</v>
      </c>
      <c r="W1898">
        <v>3.61951399946732</v>
      </c>
      <c r="X1898" t="s">
        <v>46</v>
      </c>
      <c r="Y1898" t="s">
        <v>32</v>
      </c>
      <c r="Z1898">
        <v>668.09833775374102</v>
      </c>
    </row>
    <row r="1899" spans="1:26" x14ac:dyDescent="0.3">
      <c r="A1899" t="s">
        <v>61</v>
      </c>
      <c r="B1899" t="s">
        <v>1955</v>
      </c>
      <c r="C1899">
        <v>31.544508996726801</v>
      </c>
      <c r="D1899">
        <v>22</v>
      </c>
      <c r="E1899">
        <v>693</v>
      </c>
      <c r="F1899">
        <v>5028.6148539897204</v>
      </c>
      <c r="G1899" t="s">
        <v>48</v>
      </c>
      <c r="H1899">
        <v>76</v>
      </c>
      <c r="I1899">
        <v>4</v>
      </c>
      <c r="J1899">
        <v>55</v>
      </c>
      <c r="K1899">
        <v>7</v>
      </c>
      <c r="L1899" t="s">
        <v>36</v>
      </c>
      <c r="M1899">
        <v>14.592889897927</v>
      </c>
      <c r="N1899" t="s">
        <v>57</v>
      </c>
      <c r="O1899" t="s">
        <v>58</v>
      </c>
      <c r="P1899">
        <f>VLOOKUP(O1899, Coordinates!$A$2:$C$6, 2, FALSE)</f>
        <v>34.052199999999999</v>
      </c>
      <c r="Q1899">
        <f>VLOOKUP(O1899, Coordinates!$A$2:$C$6, 3, FALSE)</f>
        <v>-118.2437</v>
      </c>
      <c r="R1899">
        <v>20</v>
      </c>
      <c r="S1899">
        <v>181</v>
      </c>
      <c r="T1899">
        <v>9</v>
      </c>
      <c r="U1899">
        <v>26.6179102987184</v>
      </c>
      <c r="V1899" t="s">
        <v>55</v>
      </c>
      <c r="W1899">
        <v>1.13196072591611</v>
      </c>
      <c r="X1899" t="s">
        <v>46</v>
      </c>
      <c r="Y1899" t="s">
        <v>32</v>
      </c>
      <c r="Z1899">
        <v>801.16156780024005</v>
      </c>
    </row>
    <row r="1900" spans="1:26" x14ac:dyDescent="0.3">
      <c r="A1900" t="s">
        <v>42</v>
      </c>
      <c r="B1900" t="s">
        <v>1956</v>
      </c>
      <c r="C1900">
        <v>17.5070909353595</v>
      </c>
      <c r="D1900">
        <v>6</v>
      </c>
      <c r="E1900">
        <v>813</v>
      </c>
      <c r="F1900">
        <v>7976.71692364515</v>
      </c>
      <c r="G1900" t="s">
        <v>26</v>
      </c>
      <c r="H1900">
        <v>1</v>
      </c>
      <c r="I1900">
        <v>24</v>
      </c>
      <c r="J1900">
        <v>97</v>
      </c>
      <c r="K1900">
        <v>7</v>
      </c>
      <c r="L1900" t="s">
        <v>44</v>
      </c>
      <c r="M1900">
        <v>5.8304615305108696</v>
      </c>
      <c r="N1900" t="s">
        <v>37</v>
      </c>
      <c r="O1900" t="s">
        <v>67</v>
      </c>
      <c r="P1900">
        <f>VLOOKUP(O1900, Coordinates!$A$2:$C$6, 2, FALSE)</f>
        <v>40.712800000000001</v>
      </c>
      <c r="Q1900">
        <f>VLOOKUP(O1900, Coordinates!$A$2:$C$6, 3, FALSE)</f>
        <v>-74.006</v>
      </c>
      <c r="R1900">
        <v>28</v>
      </c>
      <c r="S1900">
        <v>638</v>
      </c>
      <c r="T1900">
        <v>18</v>
      </c>
      <c r="U1900">
        <v>82.610516901112305</v>
      </c>
      <c r="V1900" t="s">
        <v>30</v>
      </c>
      <c r="W1900">
        <v>2.0373431511121201</v>
      </c>
      <c r="X1900" t="s">
        <v>46</v>
      </c>
      <c r="Y1900" t="s">
        <v>32</v>
      </c>
      <c r="Z1900">
        <v>772.18988075952097</v>
      </c>
    </row>
    <row r="1901" spans="1:26" x14ac:dyDescent="0.3">
      <c r="A1901" t="s">
        <v>42</v>
      </c>
      <c r="B1901" t="s">
        <v>1957</v>
      </c>
      <c r="C1901">
        <v>86.196827758853701</v>
      </c>
      <c r="D1901">
        <v>26</v>
      </c>
      <c r="E1901">
        <v>837</v>
      </c>
      <c r="F1901">
        <v>5740.9201654254202</v>
      </c>
      <c r="G1901" t="s">
        <v>54</v>
      </c>
      <c r="H1901">
        <v>14</v>
      </c>
      <c r="I1901">
        <v>21</v>
      </c>
      <c r="J1901">
        <v>38</v>
      </c>
      <c r="K1901">
        <v>3</v>
      </c>
      <c r="L1901" t="s">
        <v>27</v>
      </c>
      <c r="M1901">
        <v>11.384876758109</v>
      </c>
      <c r="N1901" t="s">
        <v>51</v>
      </c>
      <c r="O1901" t="s">
        <v>58</v>
      </c>
      <c r="P1901">
        <f>VLOOKUP(O1901, Coordinates!$A$2:$C$6, 2, FALSE)</f>
        <v>34.052199999999999</v>
      </c>
      <c r="Q1901">
        <f>VLOOKUP(O1901, Coordinates!$A$2:$C$6, 3, FALSE)</f>
        <v>-118.2437</v>
      </c>
      <c r="R1901">
        <v>25</v>
      </c>
      <c r="S1901">
        <v>403</v>
      </c>
      <c r="T1901">
        <v>4</v>
      </c>
      <c r="U1901">
        <v>11.637156954443901</v>
      </c>
      <c r="V1901" t="s">
        <v>30</v>
      </c>
      <c r="W1901">
        <v>0.93737136856820302</v>
      </c>
      <c r="X1901" t="s">
        <v>46</v>
      </c>
      <c r="Y1901" t="s">
        <v>41</v>
      </c>
      <c r="Z1901">
        <v>129.20397233419999</v>
      </c>
    </row>
    <row r="1902" spans="1:26" x14ac:dyDescent="0.3">
      <c r="A1902" t="s">
        <v>42</v>
      </c>
      <c r="B1902" t="s">
        <v>1958</v>
      </c>
      <c r="C1902">
        <v>20.703717183106299</v>
      </c>
      <c r="D1902">
        <v>39</v>
      </c>
      <c r="E1902">
        <v>343</v>
      </c>
      <c r="F1902">
        <v>3850.45409822694</v>
      </c>
      <c r="G1902" t="s">
        <v>26</v>
      </c>
      <c r="H1902">
        <v>76</v>
      </c>
      <c r="I1902">
        <v>2</v>
      </c>
      <c r="J1902">
        <v>25</v>
      </c>
      <c r="K1902">
        <v>1</v>
      </c>
      <c r="L1902" t="s">
        <v>27</v>
      </c>
      <c r="M1902">
        <v>13.3543161705611</v>
      </c>
      <c r="N1902" t="s">
        <v>37</v>
      </c>
      <c r="O1902" t="s">
        <v>29</v>
      </c>
      <c r="P1902">
        <f>VLOOKUP(O1902, Coordinates!$A$2:$C$6, 2, FALSE)</f>
        <v>29.760400000000001</v>
      </c>
      <c r="Q1902">
        <f>VLOOKUP(O1902, Coordinates!$A$2:$C$6, 3, FALSE)</f>
        <v>-95.369799999999998</v>
      </c>
      <c r="R1902">
        <v>26</v>
      </c>
      <c r="S1902">
        <v>680</v>
      </c>
      <c r="T1902">
        <v>12</v>
      </c>
      <c r="U1902">
        <v>92.851479382787602</v>
      </c>
      <c r="V1902" t="s">
        <v>30</v>
      </c>
      <c r="W1902">
        <v>3.4945253888416699</v>
      </c>
      <c r="X1902" t="s">
        <v>52</v>
      </c>
      <c r="Y1902" t="s">
        <v>32</v>
      </c>
      <c r="Z1902">
        <v>449.56056425581698</v>
      </c>
    </row>
    <row r="1903" spans="1:26" x14ac:dyDescent="0.3">
      <c r="A1903" t="s">
        <v>49</v>
      </c>
      <c r="B1903" t="s">
        <v>1959</v>
      </c>
      <c r="C1903">
        <v>86.154774950000004</v>
      </c>
      <c r="D1903">
        <v>12</v>
      </c>
      <c r="E1903">
        <v>442</v>
      </c>
      <c r="F1903">
        <v>3323.4235089263002</v>
      </c>
      <c r="G1903" t="s">
        <v>35</v>
      </c>
      <c r="H1903">
        <v>0</v>
      </c>
      <c r="I1903">
        <v>24</v>
      </c>
      <c r="J1903">
        <v>14</v>
      </c>
      <c r="K1903">
        <v>9</v>
      </c>
      <c r="L1903" t="s">
        <v>27</v>
      </c>
      <c r="M1903">
        <v>3.6069478746042001</v>
      </c>
      <c r="N1903" t="s">
        <v>57</v>
      </c>
      <c r="O1903" t="s">
        <v>67</v>
      </c>
      <c r="P1903">
        <f>VLOOKUP(O1903, Coordinates!$A$2:$C$6, 2, FALSE)</f>
        <v>40.712800000000001</v>
      </c>
      <c r="Q1903">
        <f>VLOOKUP(O1903, Coordinates!$A$2:$C$6, 3, FALSE)</f>
        <v>-74.006</v>
      </c>
      <c r="R1903">
        <v>18</v>
      </c>
      <c r="S1903">
        <v>298</v>
      </c>
      <c r="T1903">
        <v>24</v>
      </c>
      <c r="U1903">
        <v>55.026755168158502</v>
      </c>
      <c r="V1903" t="s">
        <v>30</v>
      </c>
      <c r="W1903">
        <v>4.3189256827259799</v>
      </c>
      <c r="X1903" t="s">
        <v>46</v>
      </c>
      <c r="Y1903" t="s">
        <v>41</v>
      </c>
      <c r="Z1903">
        <v>390.27075960000002</v>
      </c>
    </row>
    <row r="1904" spans="1:26" x14ac:dyDescent="0.3">
      <c r="A1904" t="s">
        <v>33</v>
      </c>
      <c r="B1904" t="s">
        <v>1960</v>
      </c>
      <c r="C1904">
        <v>51.622675637674199</v>
      </c>
      <c r="D1904">
        <v>99</v>
      </c>
      <c r="E1904">
        <v>925</v>
      </c>
      <c r="F1904">
        <v>1339.7258527069</v>
      </c>
      <c r="G1904" t="s">
        <v>35</v>
      </c>
      <c r="H1904">
        <v>6</v>
      </c>
      <c r="I1904">
        <v>24</v>
      </c>
      <c r="J1904">
        <v>14</v>
      </c>
      <c r="K1904">
        <v>10</v>
      </c>
      <c r="L1904" t="s">
        <v>44</v>
      </c>
      <c r="M1904">
        <v>14.895380523668001</v>
      </c>
      <c r="N1904" t="s">
        <v>51</v>
      </c>
      <c r="O1904" t="s">
        <v>67</v>
      </c>
      <c r="P1904">
        <f>VLOOKUP(O1904, Coordinates!$A$2:$C$6, 2, FALSE)</f>
        <v>40.712800000000001</v>
      </c>
      <c r="Q1904">
        <f>VLOOKUP(O1904, Coordinates!$A$2:$C$6, 3, FALSE)</f>
        <v>-74.006</v>
      </c>
      <c r="R1904">
        <v>4</v>
      </c>
      <c r="S1904">
        <v>505</v>
      </c>
      <c r="T1904">
        <v>5</v>
      </c>
      <c r="U1904">
        <v>30.4073043707054</v>
      </c>
      <c r="V1904" t="s">
        <v>30</v>
      </c>
      <c r="W1904">
        <v>4.3876717727582699</v>
      </c>
      <c r="X1904" t="s">
        <v>46</v>
      </c>
      <c r="Y1904" t="s">
        <v>41</v>
      </c>
      <c r="Z1904">
        <v>850.48433277283698</v>
      </c>
    </row>
    <row r="1905" spans="1:26" x14ac:dyDescent="0.3">
      <c r="A1905" t="s">
        <v>72</v>
      </c>
      <c r="B1905" t="s">
        <v>1961</v>
      </c>
      <c r="C1905">
        <v>38.168050918932899</v>
      </c>
      <c r="D1905">
        <v>14</v>
      </c>
      <c r="E1905">
        <v>140</v>
      </c>
      <c r="F1905">
        <v>4809.1744157855501</v>
      </c>
      <c r="G1905" t="s">
        <v>54</v>
      </c>
      <c r="H1905">
        <v>52</v>
      </c>
      <c r="I1905">
        <v>17</v>
      </c>
      <c r="J1905">
        <v>39</v>
      </c>
      <c r="K1905">
        <v>2</v>
      </c>
      <c r="L1905" t="s">
        <v>27</v>
      </c>
      <c r="M1905">
        <v>12.331413310546401</v>
      </c>
      <c r="N1905" t="s">
        <v>51</v>
      </c>
      <c r="O1905" t="s">
        <v>58</v>
      </c>
      <c r="P1905">
        <f>VLOOKUP(O1905, Coordinates!$A$2:$C$6, 2, FALSE)</f>
        <v>34.052199999999999</v>
      </c>
      <c r="Q1905">
        <f>VLOOKUP(O1905, Coordinates!$A$2:$C$6, 3, FALSE)</f>
        <v>-118.2437</v>
      </c>
      <c r="R1905">
        <v>10</v>
      </c>
      <c r="S1905">
        <v>526</v>
      </c>
      <c r="T1905">
        <v>11</v>
      </c>
      <c r="U1905">
        <v>94.629646159999993</v>
      </c>
      <c r="V1905" t="s">
        <v>39</v>
      </c>
      <c r="W1905">
        <v>3.3504443524635299</v>
      </c>
      <c r="X1905" t="s">
        <v>46</v>
      </c>
      <c r="Y1905" t="s">
        <v>60</v>
      </c>
      <c r="Z1905">
        <v>797.40388176930003</v>
      </c>
    </row>
    <row r="1906" spans="1:26" x14ac:dyDescent="0.3">
      <c r="A1906" t="s">
        <v>24</v>
      </c>
      <c r="B1906" t="s">
        <v>1962</v>
      </c>
      <c r="C1906">
        <v>20.407017609669101</v>
      </c>
      <c r="D1906">
        <v>22</v>
      </c>
      <c r="E1906">
        <v>391</v>
      </c>
      <c r="F1906">
        <v>7181.2294968425604</v>
      </c>
      <c r="G1906" t="s">
        <v>48</v>
      </c>
      <c r="H1906">
        <v>51</v>
      </c>
      <c r="I1906">
        <v>10</v>
      </c>
      <c r="J1906">
        <v>59</v>
      </c>
      <c r="K1906">
        <v>8</v>
      </c>
      <c r="L1906" t="s">
        <v>36</v>
      </c>
      <c r="M1906">
        <v>2.9258996135755502</v>
      </c>
      <c r="N1906" t="s">
        <v>51</v>
      </c>
      <c r="O1906" t="s">
        <v>38</v>
      </c>
      <c r="P1906">
        <f>VLOOKUP(O1906, Coordinates!$A$2:$C$6, 2, FALSE)</f>
        <v>25.761700000000001</v>
      </c>
      <c r="Q1906">
        <f>VLOOKUP(O1906, Coordinates!$A$2:$C$6, 3, FALSE)</f>
        <v>-80.191800000000001</v>
      </c>
      <c r="R1906">
        <v>3</v>
      </c>
      <c r="S1906">
        <v>560</v>
      </c>
      <c r="T1906">
        <v>5</v>
      </c>
      <c r="U1906">
        <v>78.874686819999994</v>
      </c>
      <c r="V1906" t="s">
        <v>39</v>
      </c>
      <c r="W1906">
        <v>1.7357618008718101</v>
      </c>
      <c r="X1906" t="s">
        <v>52</v>
      </c>
      <c r="Y1906" t="s">
        <v>60</v>
      </c>
      <c r="Z1906">
        <v>737.16378941994901</v>
      </c>
    </row>
    <row r="1907" spans="1:26" x14ac:dyDescent="0.3">
      <c r="A1907" t="s">
        <v>24</v>
      </c>
      <c r="B1907" t="s">
        <v>1963</v>
      </c>
      <c r="C1907">
        <v>24.5282097616345</v>
      </c>
      <c r="D1907">
        <v>51</v>
      </c>
      <c r="E1907">
        <v>29</v>
      </c>
      <c r="F1907">
        <v>640.18627477866198</v>
      </c>
      <c r="G1907" t="s">
        <v>35</v>
      </c>
      <c r="H1907">
        <v>0</v>
      </c>
      <c r="I1907">
        <v>23</v>
      </c>
      <c r="J1907">
        <v>14</v>
      </c>
      <c r="K1907">
        <v>10</v>
      </c>
      <c r="L1907" t="s">
        <v>27</v>
      </c>
      <c r="M1907">
        <v>5.3523858072077202</v>
      </c>
      <c r="N1907" t="s">
        <v>45</v>
      </c>
      <c r="O1907" t="s">
        <v>38</v>
      </c>
      <c r="P1907">
        <f>VLOOKUP(O1907, Coordinates!$A$2:$C$6, 2, FALSE)</f>
        <v>25.761700000000001</v>
      </c>
      <c r="Q1907">
        <f>VLOOKUP(O1907, Coordinates!$A$2:$C$6, 3, FALSE)</f>
        <v>-80.191800000000001</v>
      </c>
      <c r="R1907">
        <v>25</v>
      </c>
      <c r="S1907">
        <v>983</v>
      </c>
      <c r="T1907">
        <v>19</v>
      </c>
      <c r="U1907">
        <v>82.161315926760395</v>
      </c>
      <c r="V1907" t="s">
        <v>39</v>
      </c>
      <c r="W1907">
        <v>4.7784037148330896</v>
      </c>
      <c r="X1907" t="s">
        <v>40</v>
      </c>
      <c r="Y1907" t="s">
        <v>60</v>
      </c>
      <c r="Z1907">
        <v>497.94434804644499</v>
      </c>
    </row>
    <row r="1908" spans="1:26" x14ac:dyDescent="0.3">
      <c r="A1908" t="s">
        <v>72</v>
      </c>
      <c r="B1908" t="s">
        <v>1964</v>
      </c>
      <c r="C1908">
        <v>35.4587855999835</v>
      </c>
      <c r="D1908">
        <v>23</v>
      </c>
      <c r="E1908">
        <v>510</v>
      </c>
      <c r="F1908">
        <v>16275.5825903924</v>
      </c>
      <c r="G1908" t="s">
        <v>48</v>
      </c>
      <c r="H1908">
        <v>10</v>
      </c>
      <c r="I1908">
        <v>12</v>
      </c>
      <c r="J1908">
        <v>22</v>
      </c>
      <c r="K1908">
        <v>10</v>
      </c>
      <c r="L1908" t="s">
        <v>27</v>
      </c>
      <c r="M1908">
        <v>9.7495805370028101</v>
      </c>
      <c r="N1908" t="s">
        <v>45</v>
      </c>
      <c r="O1908" t="s">
        <v>38</v>
      </c>
      <c r="P1908">
        <f>VLOOKUP(O1908, Coordinates!$A$2:$C$6, 2, FALSE)</f>
        <v>25.761700000000001</v>
      </c>
      <c r="Q1908">
        <f>VLOOKUP(O1908, Coordinates!$A$2:$C$6, 3, FALSE)</f>
        <v>-80.191800000000001</v>
      </c>
      <c r="R1908">
        <v>30</v>
      </c>
      <c r="S1908">
        <v>579</v>
      </c>
      <c r="T1908">
        <v>21</v>
      </c>
      <c r="U1908">
        <v>75.499795991966806</v>
      </c>
      <c r="V1908" t="s">
        <v>55</v>
      </c>
      <c r="W1908">
        <v>4.8616355736052501</v>
      </c>
      <c r="X1908" t="s">
        <v>40</v>
      </c>
      <c r="Y1908" t="s">
        <v>41</v>
      </c>
      <c r="Z1908">
        <v>901.87149941812095</v>
      </c>
    </row>
    <row r="1909" spans="1:26" x14ac:dyDescent="0.3">
      <c r="A1909" t="s">
        <v>49</v>
      </c>
      <c r="B1909" t="s">
        <v>1965</v>
      </c>
      <c r="D1909">
        <v>48</v>
      </c>
      <c r="E1909">
        <v>329</v>
      </c>
      <c r="F1909">
        <v>7130.8833203939303</v>
      </c>
      <c r="G1909" t="s">
        <v>54</v>
      </c>
      <c r="H1909">
        <v>57</v>
      </c>
      <c r="I1909">
        <v>27</v>
      </c>
      <c r="J1909">
        <v>58</v>
      </c>
      <c r="K1909">
        <v>4</v>
      </c>
      <c r="L1909" t="s">
        <v>44</v>
      </c>
      <c r="M1909">
        <v>13.3888486764614</v>
      </c>
      <c r="N1909" t="s">
        <v>51</v>
      </c>
      <c r="O1909" t="s">
        <v>67</v>
      </c>
      <c r="P1909">
        <f>VLOOKUP(O1909, Coordinates!$A$2:$C$6, 2, FALSE)</f>
        <v>40.712800000000001</v>
      </c>
      <c r="Q1909">
        <f>VLOOKUP(O1909, Coordinates!$A$2:$C$6, 3, FALSE)</f>
        <v>-74.006</v>
      </c>
      <c r="R1909">
        <v>12</v>
      </c>
      <c r="S1909">
        <v>827</v>
      </c>
      <c r="T1909">
        <v>29</v>
      </c>
      <c r="U1909">
        <v>35.305235330684198</v>
      </c>
      <c r="V1909" t="s">
        <v>39</v>
      </c>
      <c r="W1909">
        <v>3.12927916967891</v>
      </c>
      <c r="X1909" t="s">
        <v>46</v>
      </c>
      <c r="Y1909" t="s">
        <v>60</v>
      </c>
      <c r="Z1909">
        <v>115.137688253734</v>
      </c>
    </row>
    <row r="1910" spans="1:26" x14ac:dyDescent="0.3">
      <c r="A1910" t="s">
        <v>72</v>
      </c>
      <c r="B1910" t="s">
        <v>1966</v>
      </c>
      <c r="C1910">
        <v>39.1460107421806</v>
      </c>
      <c r="D1910">
        <v>71</v>
      </c>
      <c r="E1910">
        <v>699</v>
      </c>
      <c r="F1910">
        <v>24626.7553579058</v>
      </c>
      <c r="G1910" t="s">
        <v>48</v>
      </c>
      <c r="H1910">
        <v>39</v>
      </c>
      <c r="I1910">
        <v>2</v>
      </c>
      <c r="J1910">
        <v>98</v>
      </c>
      <c r="K1910">
        <v>10</v>
      </c>
      <c r="L1910" t="s">
        <v>27</v>
      </c>
      <c r="M1910">
        <v>3.7276973162918798</v>
      </c>
      <c r="N1910" t="s">
        <v>57</v>
      </c>
      <c r="O1910" t="s">
        <v>65</v>
      </c>
      <c r="P1910">
        <f>VLOOKUP(O1910, Coordinates!$A$2:$C$6, 2, FALSE)</f>
        <v>41.878100000000003</v>
      </c>
      <c r="Q1910">
        <f>VLOOKUP(O1910, Coordinates!$A$2:$C$6, 3, FALSE)</f>
        <v>-87.629800000000003</v>
      </c>
      <c r="R1910">
        <v>23</v>
      </c>
      <c r="S1910">
        <v>223</v>
      </c>
      <c r="T1910">
        <v>7</v>
      </c>
      <c r="U1910">
        <v>79.637879826356595</v>
      </c>
      <c r="V1910" t="s">
        <v>30</v>
      </c>
      <c r="W1910">
        <v>2.0644597014793198</v>
      </c>
      <c r="X1910" t="s">
        <v>40</v>
      </c>
      <c r="Y1910" t="s">
        <v>60</v>
      </c>
      <c r="Z1910">
        <v>305.59482477932102</v>
      </c>
    </row>
    <row r="1911" spans="1:26" x14ac:dyDescent="0.3">
      <c r="A1911" t="s">
        <v>42</v>
      </c>
      <c r="B1911" t="s">
        <v>1967</v>
      </c>
      <c r="C1911">
        <v>79.636094835267002</v>
      </c>
      <c r="D1911">
        <v>50</v>
      </c>
      <c r="E1911">
        <v>684</v>
      </c>
      <c r="F1911">
        <v>5532.1920670473201</v>
      </c>
      <c r="G1911" t="s">
        <v>54</v>
      </c>
      <c r="H1911">
        <v>85</v>
      </c>
      <c r="I1911">
        <v>3</v>
      </c>
      <c r="J1911">
        <v>59</v>
      </c>
      <c r="K1911">
        <v>7</v>
      </c>
      <c r="L1911" t="s">
        <v>44</v>
      </c>
      <c r="M1911">
        <v>11.2368781556369</v>
      </c>
      <c r="N1911" t="s">
        <v>51</v>
      </c>
      <c r="O1911" t="s">
        <v>65</v>
      </c>
      <c r="P1911">
        <f>VLOOKUP(O1911, Coordinates!$A$2:$C$6, 2, FALSE)</f>
        <v>41.878100000000003</v>
      </c>
      <c r="Q1911">
        <f>VLOOKUP(O1911, Coordinates!$A$2:$C$6, 3, FALSE)</f>
        <v>-87.629800000000003</v>
      </c>
      <c r="R1911">
        <v>5</v>
      </c>
      <c r="S1911">
        <v>627</v>
      </c>
      <c r="T1911">
        <v>4</v>
      </c>
      <c r="U1911">
        <v>55.454646685920302</v>
      </c>
      <c r="V1911" t="s">
        <v>30</v>
      </c>
      <c r="W1911">
        <v>4.5990137535949902</v>
      </c>
      <c r="X1911" t="s">
        <v>31</v>
      </c>
      <c r="Y1911" t="s">
        <v>41</v>
      </c>
      <c r="Z1911">
        <v>725.51152008548797</v>
      </c>
    </row>
    <row r="1912" spans="1:26" x14ac:dyDescent="0.3">
      <c r="A1912" t="s">
        <v>61</v>
      </c>
      <c r="B1912" t="s">
        <v>1968</v>
      </c>
      <c r="C1912">
        <v>29.015852181498399</v>
      </c>
      <c r="D1912">
        <v>89</v>
      </c>
      <c r="E1912">
        <v>983</v>
      </c>
      <c r="F1912">
        <v>9046.4914468349707</v>
      </c>
      <c r="G1912" t="s">
        <v>26</v>
      </c>
      <c r="H1912">
        <v>98</v>
      </c>
      <c r="I1912">
        <v>14</v>
      </c>
      <c r="J1912">
        <v>23</v>
      </c>
      <c r="K1912">
        <v>5</v>
      </c>
      <c r="L1912" t="s">
        <v>44</v>
      </c>
      <c r="M1912">
        <v>4.7890721850522899</v>
      </c>
      <c r="N1912" t="s">
        <v>51</v>
      </c>
      <c r="O1912" t="s">
        <v>58</v>
      </c>
      <c r="P1912">
        <f>VLOOKUP(O1912, Coordinates!$A$2:$C$6, 2, FALSE)</f>
        <v>34.052199999999999</v>
      </c>
      <c r="Q1912">
        <f>VLOOKUP(O1912, Coordinates!$A$2:$C$6, 3, FALSE)</f>
        <v>-118.2437</v>
      </c>
      <c r="R1912">
        <v>5</v>
      </c>
      <c r="S1912">
        <v>737</v>
      </c>
      <c r="T1912">
        <v>8</v>
      </c>
      <c r="U1912">
        <v>60.803716265932898</v>
      </c>
      <c r="V1912" t="s">
        <v>55</v>
      </c>
      <c r="W1912">
        <v>4.1760829663471304</v>
      </c>
      <c r="X1912" t="s">
        <v>31</v>
      </c>
      <c r="Y1912" t="s">
        <v>41</v>
      </c>
      <c r="Z1912">
        <v>557.54906626068896</v>
      </c>
    </row>
    <row r="1913" spans="1:26" x14ac:dyDescent="0.3">
      <c r="A1913" t="s">
        <v>82</v>
      </c>
      <c r="B1913" t="s">
        <v>1969</v>
      </c>
      <c r="C1913">
        <v>94.195021203921101</v>
      </c>
      <c r="D1913">
        <v>13</v>
      </c>
      <c r="E1913">
        <v>342</v>
      </c>
      <c r="F1913">
        <v>9427.0847809999996</v>
      </c>
      <c r="H1913">
        <v>59</v>
      </c>
      <c r="I1913">
        <v>25</v>
      </c>
      <c r="J1913">
        <v>55</v>
      </c>
      <c r="K1913">
        <v>3</v>
      </c>
      <c r="L1913" t="s">
        <v>36</v>
      </c>
      <c r="M1913">
        <v>12.275830308787301</v>
      </c>
      <c r="N1913" t="s">
        <v>37</v>
      </c>
      <c r="O1913" t="s">
        <v>38</v>
      </c>
      <c r="P1913">
        <f>VLOOKUP(O1913, Coordinates!$A$2:$C$6, 2, FALSE)</f>
        <v>25.761700000000001</v>
      </c>
      <c r="Q1913">
        <f>VLOOKUP(O1913, Coordinates!$A$2:$C$6, 3, FALSE)</f>
        <v>-80.191800000000001</v>
      </c>
      <c r="R1913">
        <v>4</v>
      </c>
      <c r="S1913">
        <v>625</v>
      </c>
      <c r="T1913">
        <v>30</v>
      </c>
      <c r="U1913">
        <v>50.733102298559501</v>
      </c>
      <c r="V1913" t="s">
        <v>30</v>
      </c>
      <c r="W1913">
        <v>4.41217620123905</v>
      </c>
      <c r="X1913" t="s">
        <v>31</v>
      </c>
      <c r="Y1913" t="s">
        <v>32</v>
      </c>
      <c r="Z1913">
        <v>580.42654804641995</v>
      </c>
    </row>
    <row r="1914" spans="1:26" x14ac:dyDescent="0.3">
      <c r="A1914" t="s">
        <v>24</v>
      </c>
      <c r="B1914" t="s">
        <v>1970</v>
      </c>
      <c r="C1914">
        <v>39.211590524211097</v>
      </c>
      <c r="D1914">
        <v>85</v>
      </c>
      <c r="E1914">
        <v>694</v>
      </c>
      <c r="F1914">
        <v>24491.5594414222</v>
      </c>
      <c r="G1914" t="s">
        <v>26</v>
      </c>
      <c r="H1914">
        <v>43</v>
      </c>
      <c r="I1914">
        <v>15</v>
      </c>
      <c r="J1914">
        <v>99</v>
      </c>
      <c r="K1914">
        <v>10</v>
      </c>
      <c r="L1914" t="s">
        <v>27</v>
      </c>
      <c r="M1914">
        <v>10.568188381850399</v>
      </c>
      <c r="N1914" t="s">
        <v>37</v>
      </c>
      <c r="O1914" t="s">
        <v>58</v>
      </c>
      <c r="P1914">
        <f>VLOOKUP(O1914, Coordinates!$A$2:$C$6, 2, FALSE)</f>
        <v>34.052199999999999</v>
      </c>
      <c r="Q1914">
        <f>VLOOKUP(O1914, Coordinates!$A$2:$C$6, 3, FALSE)</f>
        <v>-118.2437</v>
      </c>
      <c r="R1914">
        <v>30</v>
      </c>
      <c r="S1914">
        <v>138</v>
      </c>
      <c r="T1914">
        <v>27</v>
      </c>
      <c r="U1914">
        <v>90.588389884166901</v>
      </c>
      <c r="V1914" t="s">
        <v>30</v>
      </c>
      <c r="W1914">
        <v>4.5159601052014704</v>
      </c>
      <c r="X1914" t="s">
        <v>31</v>
      </c>
      <c r="Y1914" t="s">
        <v>41</v>
      </c>
      <c r="Z1914">
        <v>474.710445495378</v>
      </c>
    </row>
    <row r="1915" spans="1:26" x14ac:dyDescent="0.3">
      <c r="A1915" t="s">
        <v>33</v>
      </c>
      <c r="B1915" t="s">
        <v>1971</v>
      </c>
      <c r="C1915">
        <v>37.060630939115299</v>
      </c>
      <c r="D1915">
        <v>10</v>
      </c>
      <c r="E1915">
        <v>889</v>
      </c>
      <c r="F1915">
        <v>6720.3413380736802</v>
      </c>
      <c r="G1915" t="s">
        <v>54</v>
      </c>
      <c r="H1915">
        <v>5</v>
      </c>
      <c r="I1915">
        <v>13</v>
      </c>
      <c r="J1915">
        <v>91</v>
      </c>
      <c r="K1915">
        <v>8</v>
      </c>
      <c r="L1915" t="s">
        <v>36</v>
      </c>
      <c r="M1915">
        <v>8.3207264853605007</v>
      </c>
      <c r="N1915" t="s">
        <v>37</v>
      </c>
      <c r="O1915" t="s">
        <v>29</v>
      </c>
      <c r="P1915">
        <f>VLOOKUP(O1915, Coordinates!$A$2:$C$6, 2, FALSE)</f>
        <v>29.760400000000001</v>
      </c>
      <c r="Q1915">
        <f>VLOOKUP(O1915, Coordinates!$A$2:$C$6, 3, FALSE)</f>
        <v>-95.369799999999998</v>
      </c>
      <c r="R1915">
        <v>25</v>
      </c>
      <c r="S1915">
        <v>298</v>
      </c>
      <c r="T1915">
        <v>6</v>
      </c>
      <c r="U1915">
        <v>63.068511511001297</v>
      </c>
      <c r="V1915" t="s">
        <v>55</v>
      </c>
      <c r="W1915">
        <v>1.9690615383015599</v>
      </c>
      <c r="X1915" t="s">
        <v>52</v>
      </c>
      <c r="Y1915" t="s">
        <v>32</v>
      </c>
      <c r="Z1915">
        <v>249.81245270562101</v>
      </c>
    </row>
    <row r="1916" spans="1:26" x14ac:dyDescent="0.3">
      <c r="A1916" t="s">
        <v>33</v>
      </c>
      <c r="B1916" t="s">
        <v>1972</v>
      </c>
      <c r="D1916">
        <v>55</v>
      </c>
      <c r="E1916">
        <v>99</v>
      </c>
      <c r="F1916">
        <v>3733.4885823206901</v>
      </c>
      <c r="G1916" t="s">
        <v>35</v>
      </c>
      <c r="H1916">
        <v>27</v>
      </c>
      <c r="I1916">
        <v>9</v>
      </c>
      <c r="J1916">
        <v>93</v>
      </c>
      <c r="K1916">
        <v>2</v>
      </c>
      <c r="L1916" t="s">
        <v>36</v>
      </c>
      <c r="M1916">
        <v>10.098123473726</v>
      </c>
      <c r="N1916" t="s">
        <v>28</v>
      </c>
      <c r="O1916" t="s">
        <v>58</v>
      </c>
      <c r="P1916">
        <f>VLOOKUP(O1916, Coordinates!$A$2:$C$6, 2, FALSE)</f>
        <v>34.052199999999999</v>
      </c>
      <c r="Q1916">
        <f>VLOOKUP(O1916, Coordinates!$A$2:$C$6, 3, FALSE)</f>
        <v>-118.2437</v>
      </c>
      <c r="R1916">
        <v>6</v>
      </c>
      <c r="S1916">
        <v>207</v>
      </c>
      <c r="T1916">
        <v>6</v>
      </c>
      <c r="U1916">
        <v>57.371815846913798</v>
      </c>
      <c r="V1916" t="s">
        <v>55</v>
      </c>
      <c r="W1916">
        <v>4.2981950375366704</v>
      </c>
      <c r="X1916" t="s">
        <v>46</v>
      </c>
      <c r="Y1916" t="s">
        <v>41</v>
      </c>
      <c r="Z1916">
        <v>249.59933443902599</v>
      </c>
    </row>
    <row r="1917" spans="1:26" x14ac:dyDescent="0.3">
      <c r="A1917" t="s">
        <v>49</v>
      </c>
      <c r="B1917" t="s">
        <v>1973</v>
      </c>
      <c r="C1917">
        <v>59.456203472711103</v>
      </c>
      <c r="D1917">
        <v>9</v>
      </c>
      <c r="E1917">
        <v>549</v>
      </c>
      <c r="F1917">
        <v>9846.5042945819896</v>
      </c>
      <c r="G1917" t="s">
        <v>35</v>
      </c>
      <c r="H1917">
        <v>30</v>
      </c>
      <c r="I1917">
        <v>2</v>
      </c>
      <c r="J1917">
        <v>43</v>
      </c>
      <c r="K1917">
        <v>1</v>
      </c>
      <c r="L1917" t="s">
        <v>27</v>
      </c>
      <c r="M1917">
        <v>13.270233437473401</v>
      </c>
      <c r="N1917" t="s">
        <v>37</v>
      </c>
      <c r="O1917" t="s">
        <v>58</v>
      </c>
      <c r="P1917">
        <f>VLOOKUP(O1917, Coordinates!$A$2:$C$6, 2, FALSE)</f>
        <v>34.052199999999999</v>
      </c>
      <c r="Q1917">
        <f>VLOOKUP(O1917, Coordinates!$A$2:$C$6, 3, FALSE)</f>
        <v>-118.2437</v>
      </c>
      <c r="R1917">
        <v>10</v>
      </c>
      <c r="S1917">
        <v>367</v>
      </c>
      <c r="T1917">
        <v>22</v>
      </c>
      <c r="U1917">
        <v>21.931078497639199</v>
      </c>
      <c r="V1917" t="s">
        <v>30</v>
      </c>
      <c r="W1917">
        <v>2.8517483562334802</v>
      </c>
      <c r="X1917" t="s">
        <v>52</v>
      </c>
      <c r="Y1917" t="s">
        <v>60</v>
      </c>
      <c r="Z1917">
        <v>365.033098712433</v>
      </c>
    </row>
    <row r="1918" spans="1:26" x14ac:dyDescent="0.3">
      <c r="A1918" t="s">
        <v>33</v>
      </c>
      <c r="B1918" t="s">
        <v>1974</v>
      </c>
      <c r="C1918">
        <v>37.076683689927201</v>
      </c>
      <c r="D1918">
        <v>79</v>
      </c>
      <c r="E1918">
        <v>627</v>
      </c>
      <c r="F1918">
        <v>3467.2255047274398</v>
      </c>
      <c r="G1918" t="s">
        <v>48</v>
      </c>
      <c r="H1918">
        <v>7</v>
      </c>
      <c r="I1918">
        <v>19</v>
      </c>
      <c r="J1918">
        <v>80</v>
      </c>
      <c r="K1918">
        <v>5</v>
      </c>
      <c r="L1918" t="s">
        <v>27</v>
      </c>
      <c r="M1918">
        <v>6.4099620378507698</v>
      </c>
      <c r="N1918" t="s">
        <v>37</v>
      </c>
      <c r="O1918" t="s">
        <v>58</v>
      </c>
      <c r="P1918">
        <f>VLOOKUP(O1918, Coordinates!$A$2:$C$6, 2, FALSE)</f>
        <v>34.052199999999999</v>
      </c>
      <c r="Q1918">
        <f>VLOOKUP(O1918, Coordinates!$A$2:$C$6, 3, FALSE)</f>
        <v>-118.2437</v>
      </c>
      <c r="R1918">
        <v>6</v>
      </c>
      <c r="S1918">
        <v>452</v>
      </c>
      <c r="T1918">
        <v>4</v>
      </c>
      <c r="U1918">
        <v>27.737708183652899</v>
      </c>
      <c r="V1918" t="s">
        <v>39</v>
      </c>
      <c r="W1918">
        <v>0.19079486777019999</v>
      </c>
      <c r="X1918" t="s">
        <v>52</v>
      </c>
      <c r="Y1918" t="s">
        <v>41</v>
      </c>
      <c r="Z1918">
        <v>521.47867765914202</v>
      </c>
    </row>
    <row r="1919" spans="1:26" x14ac:dyDescent="0.3">
      <c r="A1919" t="s">
        <v>42</v>
      </c>
      <c r="B1919" t="s">
        <v>1975</v>
      </c>
      <c r="C1919">
        <v>98.909556559567406</v>
      </c>
      <c r="D1919">
        <v>52</v>
      </c>
      <c r="E1919">
        <v>150</v>
      </c>
      <c r="F1919">
        <v>2823.9122979138701</v>
      </c>
      <c r="G1919" t="s">
        <v>54</v>
      </c>
      <c r="H1919">
        <v>4</v>
      </c>
      <c r="I1919">
        <v>16</v>
      </c>
      <c r="J1919">
        <v>56</v>
      </c>
      <c r="K1919">
        <v>4</v>
      </c>
      <c r="L1919" t="s">
        <v>44</v>
      </c>
      <c r="M1919">
        <v>11.7695025221844</v>
      </c>
      <c r="N1919" t="s">
        <v>57</v>
      </c>
      <c r="O1919" t="s">
        <v>58</v>
      </c>
      <c r="P1919">
        <f>VLOOKUP(O1919, Coordinates!$A$2:$C$6, 2, FALSE)</f>
        <v>34.052199999999999</v>
      </c>
      <c r="Q1919">
        <f>VLOOKUP(O1919, Coordinates!$A$2:$C$6, 3, FALSE)</f>
        <v>-118.2437</v>
      </c>
      <c r="R1919">
        <v>27</v>
      </c>
      <c r="S1919">
        <v>410</v>
      </c>
      <c r="T1919">
        <v>14</v>
      </c>
      <c r="U1919">
        <v>22.761193728614501</v>
      </c>
      <c r="V1919" t="s">
        <v>55</v>
      </c>
      <c r="W1919">
        <v>3.1791817826005802</v>
      </c>
      <c r="X1919" t="s">
        <v>46</v>
      </c>
      <c r="Y1919" t="s">
        <v>32</v>
      </c>
      <c r="Z1919">
        <v>841.71325045289302</v>
      </c>
    </row>
    <row r="1920" spans="1:26" x14ac:dyDescent="0.3">
      <c r="A1920" t="s">
        <v>24</v>
      </c>
      <c r="B1920" t="s">
        <v>1976</v>
      </c>
      <c r="C1920">
        <v>20.007960875373701</v>
      </c>
      <c r="D1920">
        <v>2</v>
      </c>
      <c r="E1920">
        <v>897</v>
      </c>
      <c r="F1920">
        <v>16152.426814689199</v>
      </c>
      <c r="G1920" t="s">
        <v>54</v>
      </c>
      <c r="H1920">
        <v>53</v>
      </c>
      <c r="I1920">
        <v>11</v>
      </c>
      <c r="J1920">
        <v>69</v>
      </c>
      <c r="K1920">
        <v>10</v>
      </c>
      <c r="L1920" t="s">
        <v>27</v>
      </c>
      <c r="M1920">
        <v>3.2246760882569498</v>
      </c>
      <c r="N1920" t="s">
        <v>45</v>
      </c>
      <c r="O1920" t="s">
        <v>38</v>
      </c>
      <c r="P1920">
        <f>VLOOKUP(O1920, Coordinates!$A$2:$C$6, 2, FALSE)</f>
        <v>25.761700000000001</v>
      </c>
      <c r="Q1920">
        <f>VLOOKUP(O1920, Coordinates!$A$2:$C$6, 3, FALSE)</f>
        <v>-80.191800000000001</v>
      </c>
      <c r="R1920">
        <v>30</v>
      </c>
      <c r="S1920">
        <v>489</v>
      </c>
      <c r="T1920">
        <v>3</v>
      </c>
      <c r="U1920">
        <v>88.131804514620995</v>
      </c>
      <c r="V1920" t="s">
        <v>39</v>
      </c>
      <c r="W1920">
        <v>3.5696173980095098</v>
      </c>
      <c r="X1920" t="s">
        <v>52</v>
      </c>
      <c r="Y1920" t="s">
        <v>41</v>
      </c>
      <c r="Z1920">
        <v>502.14881948666101</v>
      </c>
    </row>
    <row r="1921" spans="1:26" x14ac:dyDescent="0.3">
      <c r="A1921" t="s">
        <v>72</v>
      </c>
      <c r="B1921" t="s">
        <v>1977</v>
      </c>
      <c r="C1921">
        <v>32.637269839413896</v>
      </c>
      <c r="D1921">
        <v>25</v>
      </c>
      <c r="E1921">
        <v>957</v>
      </c>
      <c r="F1921">
        <v>28110.480512687202</v>
      </c>
      <c r="H1921">
        <v>16</v>
      </c>
      <c r="I1921">
        <v>12</v>
      </c>
      <c r="J1921">
        <v>83</v>
      </c>
      <c r="K1921">
        <v>9</v>
      </c>
      <c r="L1921" t="s">
        <v>44</v>
      </c>
      <c r="M1921">
        <v>10.8165979161866</v>
      </c>
      <c r="N1921" t="s">
        <v>45</v>
      </c>
      <c r="O1921" t="s">
        <v>38</v>
      </c>
      <c r="P1921">
        <f>VLOOKUP(O1921, Coordinates!$A$2:$C$6, 2, FALSE)</f>
        <v>25.761700000000001</v>
      </c>
      <c r="Q1921">
        <f>VLOOKUP(O1921, Coordinates!$A$2:$C$6, 3, FALSE)</f>
        <v>-80.191800000000001</v>
      </c>
      <c r="R1921">
        <v>26</v>
      </c>
      <c r="S1921">
        <v>139</v>
      </c>
      <c r="T1921">
        <v>10</v>
      </c>
      <c r="U1921">
        <v>90.676166109541398</v>
      </c>
      <c r="V1921" t="s">
        <v>39</v>
      </c>
      <c r="W1921">
        <v>4.3304091914472798</v>
      </c>
      <c r="X1921" t="s">
        <v>46</v>
      </c>
      <c r="Y1921" t="s">
        <v>41</v>
      </c>
      <c r="Z1921">
        <v>968.88784364080698</v>
      </c>
    </row>
    <row r="1922" spans="1:26" x14ac:dyDescent="0.3">
      <c r="A1922" t="s">
        <v>42</v>
      </c>
      <c r="B1922" t="s">
        <v>1978</v>
      </c>
      <c r="C1922">
        <v>54.407035805559197</v>
      </c>
      <c r="D1922">
        <v>13</v>
      </c>
      <c r="E1922">
        <v>235</v>
      </c>
      <c r="F1922">
        <v>9806.4501820461101</v>
      </c>
      <c r="G1922" t="s">
        <v>48</v>
      </c>
      <c r="H1922">
        <v>37</v>
      </c>
      <c r="I1922">
        <v>25</v>
      </c>
      <c r="J1922">
        <v>88</v>
      </c>
      <c r="K1922">
        <v>9</v>
      </c>
      <c r="L1922" t="s">
        <v>36</v>
      </c>
      <c r="M1922">
        <v>11.509203074603899</v>
      </c>
      <c r="N1922" t="s">
        <v>45</v>
      </c>
      <c r="O1922" t="s">
        <v>38</v>
      </c>
      <c r="P1922">
        <f>VLOOKUP(O1922, Coordinates!$A$2:$C$6, 2, FALSE)</f>
        <v>25.761700000000001</v>
      </c>
      <c r="Q1922">
        <f>VLOOKUP(O1922, Coordinates!$A$2:$C$6, 3, FALSE)</f>
        <v>-80.191800000000001</v>
      </c>
      <c r="R1922">
        <v>25</v>
      </c>
      <c r="S1922">
        <v>958</v>
      </c>
      <c r="T1922">
        <v>22</v>
      </c>
      <c r="U1922">
        <v>48.686961117783497</v>
      </c>
      <c r="V1922" t="s">
        <v>39</v>
      </c>
      <c r="W1922">
        <v>3.5605573181582799</v>
      </c>
      <c r="X1922" t="s">
        <v>52</v>
      </c>
      <c r="Y1922" t="s">
        <v>60</v>
      </c>
      <c r="Z1922">
        <v>208.46503262277099</v>
      </c>
    </row>
    <row r="1923" spans="1:26" x14ac:dyDescent="0.3">
      <c r="A1923" t="s">
        <v>49</v>
      </c>
      <c r="B1923" t="s">
        <v>1979</v>
      </c>
      <c r="C1923">
        <v>54.5855353304635</v>
      </c>
      <c r="D1923">
        <v>98</v>
      </c>
      <c r="E1923">
        <v>788</v>
      </c>
      <c r="F1923">
        <v>6295.9020077478199</v>
      </c>
      <c r="G1923" t="s">
        <v>35</v>
      </c>
      <c r="H1923">
        <v>8</v>
      </c>
      <c r="I1923">
        <v>1</v>
      </c>
      <c r="J1923">
        <v>90</v>
      </c>
      <c r="K1923">
        <v>6</v>
      </c>
      <c r="L1923" t="s">
        <v>36</v>
      </c>
      <c r="M1923">
        <v>7.2019677545623697</v>
      </c>
      <c r="N1923" t="s">
        <v>28</v>
      </c>
      <c r="O1923" t="s">
        <v>29</v>
      </c>
      <c r="P1923">
        <f>VLOOKUP(O1923, Coordinates!$A$2:$C$6, 2, FALSE)</f>
        <v>29.760400000000001</v>
      </c>
      <c r="Q1923">
        <f>VLOOKUP(O1923, Coordinates!$A$2:$C$6, 3, FALSE)</f>
        <v>-95.369799999999998</v>
      </c>
      <c r="R1923">
        <v>16</v>
      </c>
      <c r="S1923">
        <v>880</v>
      </c>
      <c r="T1923">
        <v>6</v>
      </c>
      <c r="U1923">
        <v>81.850509574556398</v>
      </c>
      <c r="V1923" t="s">
        <v>39</v>
      </c>
      <c r="W1923">
        <v>0.27535429146487</v>
      </c>
      <c r="X1923" t="s">
        <v>40</v>
      </c>
      <c r="Y1923" t="s">
        <v>41</v>
      </c>
      <c r="Z1923">
        <v>344.59567924952597</v>
      </c>
    </row>
    <row r="1924" spans="1:26" x14ac:dyDescent="0.3">
      <c r="A1924" t="s">
        <v>42</v>
      </c>
      <c r="B1924" t="s">
        <v>1980</v>
      </c>
      <c r="C1924">
        <v>60.948642119828499</v>
      </c>
      <c r="D1924">
        <v>51</v>
      </c>
      <c r="E1924">
        <v>852</v>
      </c>
      <c r="F1924">
        <v>6012.5688249775703</v>
      </c>
      <c r="G1924" t="s">
        <v>54</v>
      </c>
      <c r="H1924">
        <v>73</v>
      </c>
      <c r="I1924">
        <v>2</v>
      </c>
      <c r="J1924">
        <v>20</v>
      </c>
      <c r="K1924">
        <v>1</v>
      </c>
      <c r="L1924" t="s">
        <v>44</v>
      </c>
      <c r="M1924">
        <v>12.110709474194</v>
      </c>
      <c r="N1924" t="s">
        <v>51</v>
      </c>
      <c r="O1924" t="s">
        <v>29</v>
      </c>
      <c r="P1924">
        <f>VLOOKUP(O1924, Coordinates!$A$2:$C$6, 2, FALSE)</f>
        <v>29.760400000000001</v>
      </c>
      <c r="Q1924">
        <f>VLOOKUP(O1924, Coordinates!$A$2:$C$6, 3, FALSE)</f>
        <v>-95.369799999999998</v>
      </c>
      <c r="R1924">
        <v>11</v>
      </c>
      <c r="S1924">
        <v>680</v>
      </c>
      <c r="T1924">
        <v>18</v>
      </c>
      <c r="U1924">
        <v>39.321519378472402</v>
      </c>
      <c r="V1924" t="s">
        <v>30</v>
      </c>
      <c r="W1924">
        <v>4.7293869535353297</v>
      </c>
      <c r="X1924" t="s">
        <v>40</v>
      </c>
      <c r="Y1924" t="s">
        <v>60</v>
      </c>
      <c r="Z1924">
        <v>163.47138741633401</v>
      </c>
    </row>
    <row r="1925" spans="1:26" x14ac:dyDescent="0.3">
      <c r="A1925" t="s">
        <v>72</v>
      </c>
      <c r="B1925" t="s">
        <v>1981</v>
      </c>
      <c r="C1925">
        <v>20.5465799940695</v>
      </c>
      <c r="D1925">
        <v>58</v>
      </c>
      <c r="E1925">
        <v>499</v>
      </c>
      <c r="F1925">
        <v>9227.4690753366194</v>
      </c>
      <c r="G1925" t="s">
        <v>48</v>
      </c>
      <c r="H1925">
        <v>83</v>
      </c>
      <c r="I1925">
        <v>16</v>
      </c>
      <c r="J1925">
        <v>100</v>
      </c>
      <c r="K1925">
        <v>8</v>
      </c>
      <c r="L1925" t="s">
        <v>27</v>
      </c>
      <c r="M1925">
        <v>8.7994471222902693</v>
      </c>
      <c r="N1925" t="s">
        <v>37</v>
      </c>
      <c r="O1925" t="s">
        <v>58</v>
      </c>
      <c r="P1925">
        <f>VLOOKUP(O1925, Coordinates!$A$2:$C$6, 2, FALSE)</f>
        <v>34.052199999999999</v>
      </c>
      <c r="Q1925">
        <f>VLOOKUP(O1925, Coordinates!$A$2:$C$6, 3, FALSE)</f>
        <v>-118.2437</v>
      </c>
      <c r="R1925">
        <v>6</v>
      </c>
      <c r="S1925">
        <v>251</v>
      </c>
      <c r="T1925">
        <v>30</v>
      </c>
      <c r="U1925">
        <v>83.506270465100101</v>
      </c>
      <c r="V1925" t="s">
        <v>55</v>
      </c>
      <c r="W1925">
        <v>0.79633530317319001</v>
      </c>
      <c r="X1925" t="s">
        <v>31</v>
      </c>
      <c r="Y1925" t="s">
        <v>32</v>
      </c>
      <c r="Z1925">
        <v>559.02300940920395</v>
      </c>
    </row>
    <row r="1926" spans="1:26" x14ac:dyDescent="0.3">
      <c r="A1926" t="s">
        <v>61</v>
      </c>
      <c r="B1926" t="s">
        <v>1982</v>
      </c>
      <c r="C1926">
        <v>64.230393899333095</v>
      </c>
      <c r="D1926">
        <v>34</v>
      </c>
      <c r="E1926">
        <v>42</v>
      </c>
      <c r="F1926">
        <v>5473.2128300000004</v>
      </c>
      <c r="G1926" t="s">
        <v>54</v>
      </c>
      <c r="H1926">
        <v>77</v>
      </c>
      <c r="I1926">
        <v>27</v>
      </c>
      <c r="J1926">
        <v>94</v>
      </c>
      <c r="K1926">
        <v>2</v>
      </c>
      <c r="L1926" t="s">
        <v>27</v>
      </c>
      <c r="M1926">
        <v>14.1078415673725</v>
      </c>
      <c r="N1926" t="s">
        <v>57</v>
      </c>
      <c r="O1926" t="s">
        <v>38</v>
      </c>
      <c r="P1926">
        <f>VLOOKUP(O1926, Coordinates!$A$2:$C$6, 2, FALSE)</f>
        <v>25.761700000000001</v>
      </c>
      <c r="Q1926">
        <f>VLOOKUP(O1926, Coordinates!$A$2:$C$6, 3, FALSE)</f>
        <v>-80.191800000000001</v>
      </c>
      <c r="R1926">
        <v>20</v>
      </c>
      <c r="S1926">
        <v>286</v>
      </c>
      <c r="T1926">
        <v>10</v>
      </c>
      <c r="U1926">
        <v>16.696684134117799</v>
      </c>
      <c r="V1926" t="s">
        <v>30</v>
      </c>
      <c r="W1926">
        <v>1.8849408965026599</v>
      </c>
      <c r="X1926" t="s">
        <v>40</v>
      </c>
      <c r="Y1926" t="s">
        <v>41</v>
      </c>
      <c r="Z1926">
        <v>181.02906567325999</v>
      </c>
    </row>
    <row r="1927" spans="1:26" x14ac:dyDescent="0.3">
      <c r="A1927" t="s">
        <v>49</v>
      </c>
      <c r="B1927" t="s">
        <v>1983</v>
      </c>
      <c r="C1927">
        <v>62.026738750163503</v>
      </c>
      <c r="D1927">
        <v>35</v>
      </c>
      <c r="E1927">
        <v>429</v>
      </c>
      <c r="F1927">
        <v>1288.57165385087</v>
      </c>
      <c r="G1927" t="s">
        <v>26</v>
      </c>
      <c r="H1927">
        <v>13</v>
      </c>
      <c r="I1927">
        <v>2</v>
      </c>
      <c r="J1927">
        <v>59</v>
      </c>
      <c r="K1927">
        <v>4</v>
      </c>
      <c r="L1927" t="s">
        <v>44</v>
      </c>
      <c r="M1927">
        <v>2.5745301034591002</v>
      </c>
      <c r="N1927" t="s">
        <v>28</v>
      </c>
      <c r="O1927" t="s">
        <v>29</v>
      </c>
      <c r="P1927">
        <f>VLOOKUP(O1927, Coordinates!$A$2:$C$6, 2, FALSE)</f>
        <v>29.760400000000001</v>
      </c>
      <c r="Q1927">
        <f>VLOOKUP(O1927, Coordinates!$A$2:$C$6, 3, FALSE)</f>
        <v>-95.369799999999998</v>
      </c>
      <c r="R1927">
        <v>18</v>
      </c>
      <c r="S1927">
        <v>529</v>
      </c>
      <c r="T1927">
        <v>9</v>
      </c>
      <c r="U1927">
        <v>76.996367544259996</v>
      </c>
      <c r="V1927" t="s">
        <v>30</v>
      </c>
      <c r="W1927">
        <v>2.08617587709674</v>
      </c>
      <c r="X1927" t="s">
        <v>31</v>
      </c>
      <c r="Y1927" t="s">
        <v>32</v>
      </c>
      <c r="Z1927">
        <v>816.11573040029202</v>
      </c>
    </row>
    <row r="1928" spans="1:26" x14ac:dyDescent="0.3">
      <c r="A1928" t="s">
        <v>61</v>
      </c>
      <c r="B1928" t="s">
        <v>1984</v>
      </c>
      <c r="C1928">
        <v>10.083873976739101</v>
      </c>
      <c r="D1928">
        <v>3</v>
      </c>
      <c r="E1928">
        <v>651</v>
      </c>
      <c r="F1928">
        <v>6510.8015995635697</v>
      </c>
      <c r="G1928" t="s">
        <v>54</v>
      </c>
      <c r="H1928">
        <v>25</v>
      </c>
      <c r="I1928">
        <v>26</v>
      </c>
      <c r="J1928">
        <v>13</v>
      </c>
      <c r="K1928">
        <v>3</v>
      </c>
      <c r="L1928" t="s">
        <v>36</v>
      </c>
      <c r="M1928">
        <v>2.8314999677125399</v>
      </c>
      <c r="N1928" t="s">
        <v>45</v>
      </c>
      <c r="O1928" t="s">
        <v>38</v>
      </c>
      <c r="P1928">
        <f>VLOOKUP(O1928, Coordinates!$A$2:$C$6, 2, FALSE)</f>
        <v>25.761700000000001</v>
      </c>
      <c r="Q1928">
        <f>VLOOKUP(O1928, Coordinates!$A$2:$C$6, 3, FALSE)</f>
        <v>-80.191800000000001</v>
      </c>
      <c r="R1928">
        <v>30</v>
      </c>
      <c r="S1928">
        <v>963</v>
      </c>
      <c r="T1928">
        <v>16</v>
      </c>
      <c r="U1928">
        <v>72.567320033403007</v>
      </c>
      <c r="V1928" t="s">
        <v>39</v>
      </c>
      <c r="W1928">
        <v>4.8513951659999996</v>
      </c>
      <c r="X1928" t="s">
        <v>31</v>
      </c>
      <c r="Y1928" t="s">
        <v>41</v>
      </c>
      <c r="Z1928">
        <v>135.78733625782201</v>
      </c>
    </row>
    <row r="1929" spans="1:26" x14ac:dyDescent="0.3">
      <c r="A1929" t="s">
        <v>82</v>
      </c>
      <c r="B1929" t="s">
        <v>1985</v>
      </c>
      <c r="C1929">
        <v>40.770377339983298</v>
      </c>
      <c r="D1929">
        <v>59</v>
      </c>
      <c r="E1929">
        <v>850</v>
      </c>
      <c r="F1929">
        <v>7445.5648926078702</v>
      </c>
      <c r="G1929" t="s">
        <v>26</v>
      </c>
      <c r="H1929">
        <v>92</v>
      </c>
      <c r="I1929">
        <v>30</v>
      </c>
      <c r="J1929">
        <v>50</v>
      </c>
      <c r="K1929">
        <v>6</v>
      </c>
      <c r="L1929" t="s">
        <v>44</v>
      </c>
      <c r="M1929">
        <v>12.7939841886237</v>
      </c>
      <c r="N1929" t="s">
        <v>28</v>
      </c>
      <c r="O1929" t="s">
        <v>58</v>
      </c>
      <c r="P1929">
        <f>VLOOKUP(O1929, Coordinates!$A$2:$C$6, 2, FALSE)</f>
        <v>34.052199999999999</v>
      </c>
      <c r="Q1929">
        <f>VLOOKUP(O1929, Coordinates!$A$2:$C$6, 3, FALSE)</f>
        <v>-118.2437</v>
      </c>
      <c r="R1929">
        <v>17</v>
      </c>
      <c r="S1929">
        <v>556</v>
      </c>
      <c r="T1929">
        <v>20</v>
      </c>
      <c r="U1929">
        <v>82.214166636719298</v>
      </c>
      <c r="V1929" t="s">
        <v>30</v>
      </c>
      <c r="W1929">
        <v>1.07804604368352</v>
      </c>
      <c r="X1929" t="s">
        <v>31</v>
      </c>
      <c r="Y1929" t="s">
        <v>60</v>
      </c>
      <c r="Z1929">
        <v>527.85408324276898</v>
      </c>
    </row>
    <row r="1930" spans="1:26" x14ac:dyDescent="0.3">
      <c r="A1930" t="s">
        <v>61</v>
      </c>
      <c r="B1930" t="s">
        <v>1986</v>
      </c>
      <c r="C1930">
        <v>27.045295271609799</v>
      </c>
      <c r="D1930">
        <v>70</v>
      </c>
      <c r="E1930">
        <v>751</v>
      </c>
      <c r="F1930">
        <v>4750.7415456164699</v>
      </c>
      <c r="G1930" t="s">
        <v>48</v>
      </c>
      <c r="H1930">
        <v>61</v>
      </c>
      <c r="I1930">
        <v>19</v>
      </c>
      <c r="J1930">
        <v>68</v>
      </c>
      <c r="K1930">
        <v>2</v>
      </c>
      <c r="L1930" t="s">
        <v>27</v>
      </c>
      <c r="M1930">
        <v>12.793057843928899</v>
      </c>
      <c r="N1930" t="s">
        <v>57</v>
      </c>
      <c r="O1930" t="s">
        <v>67</v>
      </c>
      <c r="P1930">
        <f>VLOOKUP(O1930, Coordinates!$A$2:$C$6, 2, FALSE)</f>
        <v>40.712800000000001</v>
      </c>
      <c r="Q1930">
        <f>VLOOKUP(O1930, Coordinates!$A$2:$C$6, 3, FALSE)</f>
        <v>-74.006</v>
      </c>
      <c r="R1930">
        <v>12</v>
      </c>
      <c r="S1930">
        <v>852</v>
      </c>
      <c r="T1930">
        <v>4</v>
      </c>
      <c r="U1930">
        <v>89.602836221489795</v>
      </c>
      <c r="V1930" t="s">
        <v>30</v>
      </c>
      <c r="W1930">
        <v>4.9305092161376898</v>
      </c>
      <c r="X1930" t="s">
        <v>52</v>
      </c>
      <c r="Y1930" t="s">
        <v>41</v>
      </c>
      <c r="Z1930">
        <v>478.55305851827899</v>
      </c>
    </row>
    <row r="1931" spans="1:26" x14ac:dyDescent="0.3">
      <c r="A1931" t="s">
        <v>82</v>
      </c>
      <c r="B1931" t="s">
        <v>1987</v>
      </c>
      <c r="C1931">
        <v>30.210160602187599</v>
      </c>
      <c r="D1931">
        <v>48</v>
      </c>
      <c r="E1931">
        <v>441</v>
      </c>
      <c r="F1931">
        <v>7815.6601486407299</v>
      </c>
      <c r="G1931" t="s">
        <v>48</v>
      </c>
      <c r="H1931">
        <v>90</v>
      </c>
      <c r="I1931">
        <v>10</v>
      </c>
      <c r="J1931">
        <v>69</v>
      </c>
      <c r="K1931">
        <v>5</v>
      </c>
      <c r="L1931" t="s">
        <v>27</v>
      </c>
      <c r="M1931">
        <v>7.59714651691562</v>
      </c>
      <c r="N1931" t="s">
        <v>28</v>
      </c>
      <c r="O1931" t="s">
        <v>38</v>
      </c>
      <c r="P1931">
        <f>VLOOKUP(O1931, Coordinates!$A$2:$C$6, 2, FALSE)</f>
        <v>25.761700000000001</v>
      </c>
      <c r="Q1931">
        <f>VLOOKUP(O1931, Coordinates!$A$2:$C$6, 3, FALSE)</f>
        <v>-80.191800000000001</v>
      </c>
      <c r="R1931">
        <v>17</v>
      </c>
      <c r="S1931">
        <v>326</v>
      </c>
      <c r="T1931">
        <v>26</v>
      </c>
      <c r="U1931">
        <v>78.222544056587594</v>
      </c>
      <c r="V1931" t="s">
        <v>39</v>
      </c>
      <c r="W1931">
        <v>3.7450592638201101</v>
      </c>
      <c r="X1931" t="s">
        <v>46</v>
      </c>
      <c r="Y1931" t="s">
        <v>60</v>
      </c>
      <c r="Z1931">
        <v>282.00957124726898</v>
      </c>
    </row>
    <row r="1932" spans="1:26" x14ac:dyDescent="0.3">
      <c r="A1932" t="s">
        <v>82</v>
      </c>
      <c r="B1932" t="s">
        <v>1988</v>
      </c>
      <c r="C1932">
        <v>57.662060062332699</v>
      </c>
      <c r="D1932">
        <v>64</v>
      </c>
      <c r="E1932">
        <v>835</v>
      </c>
      <c r="F1932">
        <v>3043.0116940457801</v>
      </c>
      <c r="H1932">
        <v>24</v>
      </c>
      <c r="I1932">
        <v>19</v>
      </c>
      <c r="J1932">
        <v>90</v>
      </c>
      <c r="K1932">
        <v>9</v>
      </c>
      <c r="L1932" t="s">
        <v>44</v>
      </c>
      <c r="M1932">
        <v>14.4954709382112</v>
      </c>
      <c r="N1932" t="s">
        <v>45</v>
      </c>
      <c r="O1932" t="s">
        <v>38</v>
      </c>
      <c r="P1932">
        <f>VLOOKUP(O1932, Coordinates!$A$2:$C$6, 2, FALSE)</f>
        <v>25.761700000000001</v>
      </c>
      <c r="Q1932">
        <f>VLOOKUP(O1932, Coordinates!$A$2:$C$6, 3, FALSE)</f>
        <v>-80.191800000000001</v>
      </c>
      <c r="R1932">
        <v>27</v>
      </c>
      <c r="S1932">
        <v>527</v>
      </c>
      <c r="T1932">
        <v>29</v>
      </c>
      <c r="U1932">
        <v>86.004090111456406</v>
      </c>
      <c r="V1932" t="s">
        <v>39</v>
      </c>
      <c r="W1932">
        <v>4.14389871107673</v>
      </c>
      <c r="X1932" t="s">
        <v>40</v>
      </c>
      <c r="Y1932" t="s">
        <v>32</v>
      </c>
      <c r="Z1932">
        <v>628.16840121401594</v>
      </c>
    </row>
    <row r="1933" spans="1:26" x14ac:dyDescent="0.3">
      <c r="A1933" t="s">
        <v>61</v>
      </c>
      <c r="B1933" t="s">
        <v>1989</v>
      </c>
      <c r="C1933">
        <v>23.953004920000001</v>
      </c>
      <c r="D1933">
        <v>19</v>
      </c>
      <c r="E1933">
        <v>372</v>
      </c>
      <c r="F1933">
        <v>2991.4893195956502</v>
      </c>
      <c r="G1933" t="s">
        <v>54</v>
      </c>
      <c r="H1933">
        <v>79</v>
      </c>
      <c r="I1933">
        <v>10</v>
      </c>
      <c r="J1933">
        <v>71</v>
      </c>
      <c r="K1933">
        <v>3</v>
      </c>
      <c r="L1933" t="s">
        <v>27</v>
      </c>
      <c r="M1933">
        <v>10.5114504607738</v>
      </c>
      <c r="N1933" t="s">
        <v>51</v>
      </c>
      <c r="O1933" t="s">
        <v>58</v>
      </c>
      <c r="P1933">
        <f>VLOOKUP(O1933, Coordinates!$A$2:$C$6, 2, FALSE)</f>
        <v>34.052199999999999</v>
      </c>
      <c r="Q1933">
        <f>VLOOKUP(O1933, Coordinates!$A$2:$C$6, 3, FALSE)</f>
        <v>-118.2437</v>
      </c>
      <c r="R1933">
        <v>22</v>
      </c>
      <c r="S1933">
        <v>303</v>
      </c>
      <c r="T1933">
        <v>28</v>
      </c>
      <c r="U1933">
        <v>41.108913906555202</v>
      </c>
      <c r="V1933" t="s">
        <v>55</v>
      </c>
      <c r="W1933">
        <v>0.53214386357447196</v>
      </c>
      <c r="X1933" t="s">
        <v>46</v>
      </c>
      <c r="Y1933" t="s">
        <v>32</v>
      </c>
      <c r="Z1933">
        <v>447.488507598571</v>
      </c>
    </row>
    <row r="1934" spans="1:26" x14ac:dyDescent="0.3">
      <c r="A1934" t="s">
        <v>49</v>
      </c>
      <c r="B1934" t="s">
        <v>1990</v>
      </c>
      <c r="C1934">
        <v>32.9251645966052</v>
      </c>
      <c r="D1934">
        <v>67</v>
      </c>
      <c r="E1934">
        <v>349</v>
      </c>
      <c r="F1934">
        <v>2452.7528891881602</v>
      </c>
      <c r="G1934" t="s">
        <v>48</v>
      </c>
      <c r="H1934">
        <v>35</v>
      </c>
      <c r="I1934">
        <v>16</v>
      </c>
      <c r="J1934">
        <v>93</v>
      </c>
      <c r="K1934">
        <v>2</v>
      </c>
      <c r="L1934" t="s">
        <v>36</v>
      </c>
      <c r="M1934">
        <v>14.7599454546688</v>
      </c>
      <c r="N1934" t="s">
        <v>45</v>
      </c>
      <c r="O1934" t="s">
        <v>38</v>
      </c>
      <c r="P1934">
        <f>VLOOKUP(O1934, Coordinates!$A$2:$C$6, 2, FALSE)</f>
        <v>25.761700000000001</v>
      </c>
      <c r="Q1934">
        <f>VLOOKUP(O1934, Coordinates!$A$2:$C$6, 3, FALSE)</f>
        <v>-80.191800000000001</v>
      </c>
      <c r="R1934">
        <v>25</v>
      </c>
      <c r="S1934">
        <v>878</v>
      </c>
      <c r="T1934">
        <v>11</v>
      </c>
      <c r="U1934">
        <v>40.900362581344503</v>
      </c>
      <c r="V1934" t="s">
        <v>39</v>
      </c>
      <c r="W1934">
        <v>4.8507881150033301</v>
      </c>
      <c r="X1934" t="s">
        <v>40</v>
      </c>
      <c r="Y1934" t="s">
        <v>60</v>
      </c>
      <c r="Z1934">
        <v>278.170129929464</v>
      </c>
    </row>
    <row r="1935" spans="1:26" x14ac:dyDescent="0.3">
      <c r="A1935" t="s">
        <v>72</v>
      </c>
      <c r="B1935" t="s">
        <v>1991</v>
      </c>
      <c r="C1935">
        <v>34.006516294089103</v>
      </c>
      <c r="D1935">
        <v>82</v>
      </c>
      <c r="E1935">
        <v>164</v>
      </c>
      <c r="F1935">
        <v>5019.3618050075602</v>
      </c>
      <c r="G1935" t="s">
        <v>35</v>
      </c>
      <c r="H1935">
        <v>97</v>
      </c>
      <c r="I1935">
        <v>13</v>
      </c>
      <c r="J1935">
        <v>34</v>
      </c>
      <c r="K1935">
        <v>2</v>
      </c>
      <c r="L1935" t="s">
        <v>44</v>
      </c>
      <c r="M1935">
        <v>8.4535355328184494</v>
      </c>
      <c r="N1935" t="s">
        <v>45</v>
      </c>
      <c r="O1935" t="s">
        <v>38</v>
      </c>
      <c r="P1935">
        <f>VLOOKUP(O1935, Coordinates!$A$2:$C$6, 2, FALSE)</f>
        <v>25.761700000000001</v>
      </c>
      <c r="Q1935">
        <f>VLOOKUP(O1935, Coordinates!$A$2:$C$6, 3, FALSE)</f>
        <v>-80.191800000000001</v>
      </c>
      <c r="R1935">
        <v>25</v>
      </c>
      <c r="S1935">
        <v>217</v>
      </c>
      <c r="T1935">
        <v>28</v>
      </c>
      <c r="U1935">
        <v>89.712670370449601</v>
      </c>
      <c r="V1935" t="s">
        <v>55</v>
      </c>
      <c r="W1935">
        <v>3.7815251147762501</v>
      </c>
      <c r="X1935" t="s">
        <v>40</v>
      </c>
      <c r="Y1935" t="s">
        <v>41</v>
      </c>
      <c r="Z1935">
        <v>843.90651725019904</v>
      </c>
    </row>
    <row r="1936" spans="1:26" x14ac:dyDescent="0.3">
      <c r="A1936" t="s">
        <v>42</v>
      </c>
      <c r="B1936" t="s">
        <v>1992</v>
      </c>
      <c r="C1936">
        <v>95.107779609999994</v>
      </c>
      <c r="D1936">
        <v>73</v>
      </c>
      <c r="E1936">
        <v>554</v>
      </c>
      <c r="F1936">
        <v>8623.1083185017505</v>
      </c>
      <c r="G1936" t="s">
        <v>54</v>
      </c>
      <c r="H1936">
        <v>79</v>
      </c>
      <c r="I1936">
        <v>16</v>
      </c>
      <c r="J1936">
        <v>96</v>
      </c>
      <c r="K1936">
        <v>9</v>
      </c>
      <c r="L1936" t="s">
        <v>36</v>
      </c>
      <c r="M1936">
        <v>3.8225868194722099</v>
      </c>
      <c r="N1936" t="s">
        <v>45</v>
      </c>
      <c r="O1936" t="s">
        <v>38</v>
      </c>
      <c r="P1936">
        <f>VLOOKUP(O1936, Coordinates!$A$2:$C$6, 2, FALSE)</f>
        <v>25.761700000000001</v>
      </c>
      <c r="Q1936">
        <f>VLOOKUP(O1936, Coordinates!$A$2:$C$6, 3, FALSE)</f>
        <v>-80.191800000000001</v>
      </c>
      <c r="R1936">
        <v>25</v>
      </c>
      <c r="S1936">
        <v>928</v>
      </c>
      <c r="T1936">
        <v>12</v>
      </c>
      <c r="U1936">
        <v>92.311708269358405</v>
      </c>
      <c r="V1936" t="s">
        <v>39</v>
      </c>
      <c r="W1936">
        <v>3.7435568605297802</v>
      </c>
      <c r="X1936" t="s">
        <v>52</v>
      </c>
      <c r="Y1936" t="s">
        <v>60</v>
      </c>
      <c r="Z1936">
        <v>694.62594206053404</v>
      </c>
    </row>
    <row r="1937" spans="1:26" x14ac:dyDescent="0.3">
      <c r="A1937" t="s">
        <v>42</v>
      </c>
      <c r="B1937" t="s">
        <v>1993</v>
      </c>
      <c r="C1937">
        <v>94.743244556253998</v>
      </c>
      <c r="D1937">
        <v>76</v>
      </c>
      <c r="E1937">
        <v>666</v>
      </c>
      <c r="F1937">
        <v>8451.2085590000006</v>
      </c>
      <c r="G1937" t="s">
        <v>48</v>
      </c>
      <c r="H1937">
        <v>32</v>
      </c>
      <c r="I1937">
        <v>18</v>
      </c>
      <c r="J1937">
        <v>88</v>
      </c>
      <c r="K1937">
        <v>6</v>
      </c>
      <c r="L1937" t="s">
        <v>36</v>
      </c>
      <c r="M1937">
        <v>7.2215037784078202</v>
      </c>
      <c r="N1937" t="s">
        <v>28</v>
      </c>
      <c r="O1937" t="s">
        <v>29</v>
      </c>
      <c r="P1937">
        <f>VLOOKUP(O1937, Coordinates!$A$2:$C$6, 2, FALSE)</f>
        <v>29.760400000000001</v>
      </c>
      <c r="Q1937">
        <f>VLOOKUP(O1937, Coordinates!$A$2:$C$6, 3, FALSE)</f>
        <v>-95.369799999999998</v>
      </c>
      <c r="R1937">
        <v>20</v>
      </c>
      <c r="S1937">
        <v>903</v>
      </c>
      <c r="T1937">
        <v>24</v>
      </c>
      <c r="U1937">
        <v>59.364760699469997</v>
      </c>
      <c r="V1937" t="s">
        <v>55</v>
      </c>
      <c r="W1937">
        <v>0.72691827475429804</v>
      </c>
      <c r="X1937" t="s">
        <v>40</v>
      </c>
      <c r="Y1937" t="s">
        <v>60</v>
      </c>
      <c r="Z1937">
        <v>110.937565489006</v>
      </c>
    </row>
    <row r="1938" spans="1:26" x14ac:dyDescent="0.3">
      <c r="A1938" t="s">
        <v>72</v>
      </c>
      <c r="B1938" t="s">
        <v>1994</v>
      </c>
      <c r="C1938">
        <v>35.360835096314901</v>
      </c>
      <c r="D1938">
        <v>5</v>
      </c>
      <c r="E1938">
        <v>916</v>
      </c>
      <c r="G1938" t="s">
        <v>26</v>
      </c>
      <c r="H1938">
        <v>2</v>
      </c>
      <c r="I1938">
        <v>24</v>
      </c>
      <c r="J1938">
        <v>42</v>
      </c>
      <c r="K1938">
        <v>2</v>
      </c>
      <c r="L1938" t="s">
        <v>44</v>
      </c>
      <c r="M1938">
        <v>14.7268157872582</v>
      </c>
      <c r="N1938" t="s">
        <v>57</v>
      </c>
      <c r="O1938" t="s">
        <v>67</v>
      </c>
      <c r="P1938">
        <f>VLOOKUP(O1938, Coordinates!$A$2:$C$6, 2, FALSE)</f>
        <v>40.712800000000001</v>
      </c>
      <c r="Q1938">
        <f>VLOOKUP(O1938, Coordinates!$A$2:$C$6, 3, FALSE)</f>
        <v>-74.006</v>
      </c>
      <c r="R1938">
        <v>12</v>
      </c>
      <c r="S1938">
        <v>493</v>
      </c>
      <c r="T1938">
        <v>19</v>
      </c>
      <c r="U1938">
        <v>86.991141724373193</v>
      </c>
      <c r="V1938" t="s">
        <v>30</v>
      </c>
      <c r="W1938">
        <v>2.4269722988209401</v>
      </c>
      <c r="X1938" t="s">
        <v>46</v>
      </c>
      <c r="Y1938" t="s">
        <v>60</v>
      </c>
      <c r="Z1938">
        <v>551.67821438037095</v>
      </c>
    </row>
    <row r="1939" spans="1:26" x14ac:dyDescent="0.3">
      <c r="A1939" t="s">
        <v>24</v>
      </c>
      <c r="B1939" t="s">
        <v>1995</v>
      </c>
      <c r="C1939">
        <v>37.153256923549101</v>
      </c>
      <c r="D1939">
        <v>67</v>
      </c>
      <c r="E1939">
        <v>824</v>
      </c>
      <c r="F1939">
        <v>27552.855334504002</v>
      </c>
      <c r="G1939" t="s">
        <v>48</v>
      </c>
      <c r="H1939">
        <v>86</v>
      </c>
      <c r="I1939">
        <v>8</v>
      </c>
      <c r="J1939">
        <v>28</v>
      </c>
      <c r="K1939">
        <v>3</v>
      </c>
      <c r="L1939" t="s">
        <v>44</v>
      </c>
      <c r="M1939">
        <v>6.1857953424116996</v>
      </c>
      <c r="N1939" t="s">
        <v>45</v>
      </c>
      <c r="O1939" t="s">
        <v>38</v>
      </c>
      <c r="P1939">
        <f>VLOOKUP(O1939, Coordinates!$A$2:$C$6, 2, FALSE)</f>
        <v>25.761700000000001</v>
      </c>
      <c r="Q1939">
        <f>VLOOKUP(O1939, Coordinates!$A$2:$C$6, 3, FALSE)</f>
        <v>-80.191800000000001</v>
      </c>
      <c r="R1939">
        <v>28</v>
      </c>
      <c r="S1939">
        <v>321</v>
      </c>
      <c r="T1939">
        <v>10</v>
      </c>
      <c r="U1939">
        <v>81.568365969634499</v>
      </c>
      <c r="V1939" t="s">
        <v>39</v>
      </c>
      <c r="W1939">
        <v>4.86248621441199</v>
      </c>
      <c r="X1939" t="s">
        <v>46</v>
      </c>
      <c r="Y1939" t="s">
        <v>60</v>
      </c>
      <c r="Z1939">
        <v>344.17603338053499</v>
      </c>
    </row>
    <row r="1940" spans="1:26" x14ac:dyDescent="0.3">
      <c r="A1940" t="s">
        <v>24</v>
      </c>
      <c r="B1940" t="s">
        <v>1996</v>
      </c>
      <c r="C1940">
        <v>30.588868366523599</v>
      </c>
      <c r="D1940">
        <v>11</v>
      </c>
      <c r="E1940">
        <v>545</v>
      </c>
      <c r="F1940">
        <v>15003.8399337798</v>
      </c>
      <c r="G1940" t="s">
        <v>26</v>
      </c>
      <c r="H1940">
        <v>10</v>
      </c>
      <c r="I1940">
        <v>24</v>
      </c>
      <c r="J1940">
        <v>66</v>
      </c>
      <c r="K1940">
        <v>1</v>
      </c>
      <c r="L1940" t="s">
        <v>27</v>
      </c>
      <c r="M1940">
        <v>14.398230063887601</v>
      </c>
      <c r="N1940" t="s">
        <v>28</v>
      </c>
      <c r="O1940" t="s">
        <v>29</v>
      </c>
      <c r="P1940">
        <f>VLOOKUP(O1940, Coordinates!$A$2:$C$6, 2, FALSE)</f>
        <v>29.760400000000001</v>
      </c>
      <c r="Q1940">
        <f>VLOOKUP(O1940, Coordinates!$A$2:$C$6, 3, FALSE)</f>
        <v>-95.369799999999998</v>
      </c>
      <c r="R1940">
        <v>10</v>
      </c>
      <c r="S1940">
        <v>996</v>
      </c>
      <c r="T1940">
        <v>7</v>
      </c>
      <c r="U1940">
        <v>83.248074753913002</v>
      </c>
      <c r="V1940" t="s">
        <v>55</v>
      </c>
      <c r="W1940">
        <v>2.4339531221531301</v>
      </c>
      <c r="X1940" t="s">
        <v>40</v>
      </c>
      <c r="Y1940" t="s">
        <v>32</v>
      </c>
      <c r="Z1940">
        <v>923.60103701789603</v>
      </c>
    </row>
    <row r="1941" spans="1:26" x14ac:dyDescent="0.3">
      <c r="A1941" t="s">
        <v>82</v>
      </c>
      <c r="B1941" t="s">
        <v>1997</v>
      </c>
      <c r="C1941">
        <v>61.045048866171797</v>
      </c>
      <c r="D1941">
        <v>94</v>
      </c>
      <c r="E1941">
        <v>148</v>
      </c>
      <c r="F1941">
        <v>3170.8609716522001</v>
      </c>
      <c r="G1941" t="s">
        <v>35</v>
      </c>
      <c r="H1941">
        <v>57</v>
      </c>
      <c r="I1941">
        <v>18</v>
      </c>
      <c r="J1941">
        <v>24</v>
      </c>
      <c r="K1941">
        <v>2</v>
      </c>
      <c r="L1941" t="s">
        <v>27</v>
      </c>
      <c r="M1941">
        <v>-10</v>
      </c>
      <c r="N1941" t="s">
        <v>57</v>
      </c>
      <c r="O1941" t="s">
        <v>65</v>
      </c>
      <c r="P1941">
        <f>VLOOKUP(O1941, Coordinates!$A$2:$C$6, 2, FALSE)</f>
        <v>41.878100000000003</v>
      </c>
      <c r="Q1941">
        <f>VLOOKUP(O1941, Coordinates!$A$2:$C$6, 3, FALSE)</f>
        <v>-87.629800000000003</v>
      </c>
      <c r="R1941">
        <v>30</v>
      </c>
      <c r="S1941">
        <v>162</v>
      </c>
      <c r="T1941">
        <v>7</v>
      </c>
      <c r="U1941">
        <v>23.827157460499901</v>
      </c>
      <c r="V1941" t="s">
        <v>55</v>
      </c>
      <c r="W1941">
        <v>2.0241715145982901</v>
      </c>
      <c r="X1941" t="s">
        <v>46</v>
      </c>
      <c r="Y1941" t="s">
        <v>60</v>
      </c>
      <c r="Z1941">
        <v>-50</v>
      </c>
    </row>
    <row r="1942" spans="1:26" x14ac:dyDescent="0.3">
      <c r="A1942" t="s">
        <v>82</v>
      </c>
      <c r="B1942" t="s">
        <v>1998</v>
      </c>
      <c r="C1942">
        <v>5.6113450921955899</v>
      </c>
      <c r="D1942">
        <v>68</v>
      </c>
      <c r="E1942">
        <v>592</v>
      </c>
      <c r="F1942">
        <v>2513.2697730527202</v>
      </c>
      <c r="G1942" t="s">
        <v>35</v>
      </c>
      <c r="H1942">
        <v>63</v>
      </c>
      <c r="I1942">
        <v>13</v>
      </c>
      <c r="J1942">
        <v>50</v>
      </c>
      <c r="K1942">
        <v>2</v>
      </c>
      <c r="L1942" t="s">
        <v>44</v>
      </c>
      <c r="M1942">
        <v>7.18948858910196</v>
      </c>
      <c r="N1942" t="s">
        <v>51</v>
      </c>
      <c r="O1942" t="s">
        <v>65</v>
      </c>
      <c r="P1942">
        <f>VLOOKUP(O1942, Coordinates!$A$2:$C$6, 2, FALSE)</f>
        <v>41.878100000000003</v>
      </c>
      <c r="Q1942">
        <f>VLOOKUP(O1942, Coordinates!$A$2:$C$6, 3, FALSE)</f>
        <v>-87.629800000000003</v>
      </c>
      <c r="R1942">
        <v>5</v>
      </c>
      <c r="S1942">
        <v>495</v>
      </c>
      <c r="T1942">
        <v>18</v>
      </c>
      <c r="U1942">
        <v>67.554340749999994</v>
      </c>
      <c r="V1942" t="s">
        <v>55</v>
      </c>
      <c r="W1942">
        <v>3.25136218356888</v>
      </c>
      <c r="X1942" t="s">
        <v>31</v>
      </c>
      <c r="Y1942" t="s">
        <v>60</v>
      </c>
      <c r="Z1942">
        <v>650.45322726164204</v>
      </c>
    </row>
    <row r="1943" spans="1:26" x14ac:dyDescent="0.3">
      <c r="A1943" t="s">
        <v>49</v>
      </c>
      <c r="B1943" t="s">
        <v>1999</v>
      </c>
      <c r="C1943">
        <v>78.389047177543304</v>
      </c>
      <c r="D1943">
        <v>69</v>
      </c>
      <c r="E1943">
        <v>661</v>
      </c>
      <c r="F1943">
        <v>9748.8639390000008</v>
      </c>
      <c r="G1943" t="s">
        <v>54</v>
      </c>
      <c r="H1943">
        <v>17</v>
      </c>
      <c r="I1943">
        <v>25</v>
      </c>
      <c r="J1943">
        <v>78</v>
      </c>
      <c r="K1943">
        <v>2</v>
      </c>
      <c r="L1943" t="s">
        <v>44</v>
      </c>
      <c r="M1943">
        <v>8.5861944470000005</v>
      </c>
      <c r="N1943" t="s">
        <v>45</v>
      </c>
      <c r="O1943" t="s">
        <v>38</v>
      </c>
      <c r="P1943">
        <f>VLOOKUP(O1943, Coordinates!$A$2:$C$6, 2, FALSE)</f>
        <v>25.761700000000001</v>
      </c>
      <c r="Q1943">
        <f>VLOOKUP(O1943, Coordinates!$A$2:$C$6, 3, FALSE)</f>
        <v>-80.191800000000001</v>
      </c>
      <c r="R1943">
        <v>28</v>
      </c>
      <c r="S1943">
        <v>104</v>
      </c>
      <c r="T1943">
        <v>3</v>
      </c>
      <c r="U1943">
        <v>13.835962875967001</v>
      </c>
      <c r="V1943" t="s">
        <v>39</v>
      </c>
      <c r="W1943">
        <v>4.9075633745661902</v>
      </c>
      <c r="X1943" t="s">
        <v>46</v>
      </c>
      <c r="Y1943" t="s">
        <v>32</v>
      </c>
      <c r="Z1943">
        <v>180.14867305182</v>
      </c>
    </row>
    <row r="1944" spans="1:26" x14ac:dyDescent="0.3">
      <c r="A1944" t="s">
        <v>33</v>
      </c>
      <c r="B1944" t="s">
        <v>2000</v>
      </c>
      <c r="C1944">
        <v>71.736392450904503</v>
      </c>
      <c r="D1944">
        <v>1</v>
      </c>
      <c r="E1944">
        <v>899</v>
      </c>
      <c r="F1944">
        <v>6558.0158188865598</v>
      </c>
      <c r="G1944" t="s">
        <v>54</v>
      </c>
      <c r="H1944">
        <v>2</v>
      </c>
      <c r="I1944">
        <v>30</v>
      </c>
      <c r="J1944">
        <v>89</v>
      </c>
      <c r="K1944">
        <v>7</v>
      </c>
      <c r="L1944" t="s">
        <v>27</v>
      </c>
      <c r="M1944">
        <v>9.5041470819521301</v>
      </c>
      <c r="N1944" t="s">
        <v>37</v>
      </c>
      <c r="O1944" t="s">
        <v>67</v>
      </c>
      <c r="P1944">
        <f>VLOOKUP(O1944, Coordinates!$A$2:$C$6, 2, FALSE)</f>
        <v>40.712800000000001</v>
      </c>
      <c r="Q1944">
        <f>VLOOKUP(O1944, Coordinates!$A$2:$C$6, 3, FALSE)</f>
        <v>-74.006</v>
      </c>
      <c r="R1944">
        <v>4</v>
      </c>
      <c r="S1944">
        <v>433</v>
      </c>
      <c r="T1944">
        <v>12</v>
      </c>
      <c r="U1944">
        <v>44.1191715549839</v>
      </c>
      <c r="V1944" t="s">
        <v>39</v>
      </c>
      <c r="W1944">
        <v>0.24528724602033</v>
      </c>
      <c r="X1944" t="s">
        <v>31</v>
      </c>
      <c r="Y1944" t="s">
        <v>32</v>
      </c>
      <c r="Z1944">
        <v>937.58132325474298</v>
      </c>
    </row>
    <row r="1945" spans="1:26" x14ac:dyDescent="0.3">
      <c r="A1945" t="s">
        <v>61</v>
      </c>
      <c r="B1945" t="s">
        <v>2001</v>
      </c>
      <c r="C1945">
        <v>63.449097061829299</v>
      </c>
      <c r="D1945">
        <v>91</v>
      </c>
      <c r="E1945">
        <v>580</v>
      </c>
      <c r="F1945">
        <v>9832.7414965029693</v>
      </c>
      <c r="G1945" t="s">
        <v>54</v>
      </c>
      <c r="H1945">
        <v>43</v>
      </c>
      <c r="I1945">
        <v>7</v>
      </c>
      <c r="J1945">
        <v>69</v>
      </c>
      <c r="K1945">
        <v>3</v>
      </c>
      <c r="L1945" t="s">
        <v>27</v>
      </c>
      <c r="M1945">
        <v>10.3207251862242</v>
      </c>
      <c r="N1945" t="s">
        <v>28</v>
      </c>
      <c r="O1945" t="s">
        <v>67</v>
      </c>
      <c r="P1945">
        <f>VLOOKUP(O1945, Coordinates!$A$2:$C$6, 2, FALSE)</f>
        <v>40.712800000000001</v>
      </c>
      <c r="Q1945">
        <f>VLOOKUP(O1945, Coordinates!$A$2:$C$6, 3, FALSE)</f>
        <v>-74.006</v>
      </c>
      <c r="R1945">
        <v>27</v>
      </c>
      <c r="S1945">
        <v>391</v>
      </c>
      <c r="T1945">
        <v>14</v>
      </c>
      <c r="U1945">
        <v>82.689743412515895</v>
      </c>
      <c r="V1945" t="s">
        <v>39</v>
      </c>
      <c r="W1945">
        <v>0.766977727</v>
      </c>
      <c r="X1945" t="s">
        <v>31</v>
      </c>
      <c r="Y1945" t="s">
        <v>32</v>
      </c>
      <c r="Z1945">
        <v>229.78111994916799</v>
      </c>
    </row>
    <row r="1946" spans="1:26" x14ac:dyDescent="0.3">
      <c r="A1946" t="s">
        <v>82</v>
      </c>
      <c r="B1946" t="s">
        <v>2002</v>
      </c>
      <c r="C1946">
        <v>77.240309609834796</v>
      </c>
      <c r="D1946">
        <v>92</v>
      </c>
      <c r="E1946">
        <v>863</v>
      </c>
      <c r="F1946">
        <v>4039.8038841900602</v>
      </c>
      <c r="G1946" t="s">
        <v>35</v>
      </c>
      <c r="H1946">
        <v>92</v>
      </c>
      <c r="I1946">
        <v>28</v>
      </c>
      <c r="J1946">
        <v>31</v>
      </c>
      <c r="K1946">
        <v>4</v>
      </c>
      <c r="L1946" t="s">
        <v>27</v>
      </c>
      <c r="M1946">
        <v>2.0737890326116699</v>
      </c>
      <c r="N1946" t="s">
        <v>51</v>
      </c>
      <c r="O1946" t="s">
        <v>67</v>
      </c>
      <c r="P1946">
        <f>VLOOKUP(O1946, Coordinates!$A$2:$C$6, 2, FALSE)</f>
        <v>40.712800000000001</v>
      </c>
      <c r="Q1946">
        <f>VLOOKUP(O1946, Coordinates!$A$2:$C$6, 3, FALSE)</f>
        <v>-74.006</v>
      </c>
      <c r="R1946">
        <v>30</v>
      </c>
      <c r="S1946">
        <v>607</v>
      </c>
      <c r="T1946">
        <v>20</v>
      </c>
      <c r="U1946">
        <v>36.569457612355102</v>
      </c>
      <c r="V1946" t="s">
        <v>55</v>
      </c>
      <c r="W1946">
        <v>0.66377155022130196</v>
      </c>
      <c r="X1946" t="s">
        <v>46</v>
      </c>
      <c r="Y1946" t="s">
        <v>41</v>
      </c>
      <c r="Z1946">
        <v>505.67197641339101</v>
      </c>
    </row>
    <row r="1947" spans="1:26" x14ac:dyDescent="0.3">
      <c r="A1947" t="s">
        <v>42</v>
      </c>
      <c r="B1947" t="s">
        <v>2003</v>
      </c>
      <c r="C1947">
        <v>53.727605653602701</v>
      </c>
      <c r="D1947">
        <v>63</v>
      </c>
      <c r="E1947">
        <v>349</v>
      </c>
      <c r="F1947">
        <v>7327.2852997671798</v>
      </c>
      <c r="G1947" t="s">
        <v>26</v>
      </c>
      <c r="H1947">
        <v>58</v>
      </c>
      <c r="I1947">
        <v>21</v>
      </c>
      <c r="J1947">
        <v>52</v>
      </c>
      <c r="K1947">
        <v>2</v>
      </c>
      <c r="L1947" t="s">
        <v>44</v>
      </c>
      <c r="M1947">
        <v>14.0702327338269</v>
      </c>
      <c r="N1947" t="s">
        <v>51</v>
      </c>
      <c r="O1947" t="s">
        <v>29</v>
      </c>
      <c r="P1947">
        <f>VLOOKUP(O1947, Coordinates!$A$2:$C$6, 2, FALSE)</f>
        <v>29.760400000000001</v>
      </c>
      <c r="Q1947">
        <f>VLOOKUP(O1947, Coordinates!$A$2:$C$6, 3, FALSE)</f>
        <v>-95.369799999999998</v>
      </c>
      <c r="R1947">
        <v>16</v>
      </c>
      <c r="S1947">
        <v>244</v>
      </c>
      <c r="T1947">
        <v>2</v>
      </c>
      <c r="U1947">
        <v>93.818393119999996</v>
      </c>
      <c r="V1947" t="s">
        <v>55</v>
      </c>
      <c r="W1947">
        <v>0.42666491149582803</v>
      </c>
      <c r="X1947" t="s">
        <v>31</v>
      </c>
      <c r="Y1947" t="s">
        <v>41</v>
      </c>
      <c r="Z1947">
        <v>712.93741400271199</v>
      </c>
    </row>
    <row r="1948" spans="1:26" x14ac:dyDescent="0.3">
      <c r="A1948" t="s">
        <v>49</v>
      </c>
      <c r="B1948" t="s">
        <v>2004</v>
      </c>
      <c r="C1948">
        <v>71.887910775527203</v>
      </c>
      <c r="D1948">
        <v>29</v>
      </c>
      <c r="E1948">
        <v>273</v>
      </c>
      <c r="F1948">
        <v>3003.4327288711302</v>
      </c>
      <c r="G1948" t="s">
        <v>54</v>
      </c>
      <c r="H1948">
        <v>49</v>
      </c>
      <c r="I1948">
        <v>23</v>
      </c>
      <c r="J1948">
        <v>41</v>
      </c>
      <c r="K1948">
        <v>5</v>
      </c>
      <c r="L1948" t="s">
        <v>44</v>
      </c>
      <c r="M1948">
        <v>9.3579959834093103</v>
      </c>
      <c r="N1948" t="s">
        <v>51</v>
      </c>
      <c r="O1948" t="s">
        <v>29</v>
      </c>
      <c r="P1948">
        <f>VLOOKUP(O1948, Coordinates!$A$2:$C$6, 2, FALSE)</f>
        <v>29.760400000000001</v>
      </c>
      <c r="Q1948">
        <f>VLOOKUP(O1948, Coordinates!$A$2:$C$6, 3, FALSE)</f>
        <v>-95.369799999999998</v>
      </c>
      <c r="R1948">
        <v>5</v>
      </c>
      <c r="S1948">
        <v>761</v>
      </c>
      <c r="T1948">
        <v>30</v>
      </c>
      <c r="U1948">
        <v>96.024219995497305</v>
      </c>
      <c r="V1948" t="s">
        <v>55</v>
      </c>
      <c r="W1948">
        <v>1.51053040324197</v>
      </c>
      <c r="X1948" t="s">
        <v>46</v>
      </c>
      <c r="Y1948" t="s">
        <v>32</v>
      </c>
      <c r="Z1948">
        <v>545.29211099999998</v>
      </c>
    </row>
    <row r="1949" spans="1:26" x14ac:dyDescent="0.3">
      <c r="A1949" t="s">
        <v>61</v>
      </c>
      <c r="B1949" t="s">
        <v>2005</v>
      </c>
      <c r="C1949">
        <v>93.841348239016796</v>
      </c>
      <c r="D1949">
        <v>82</v>
      </c>
      <c r="E1949">
        <v>844</v>
      </c>
      <c r="F1949">
        <v>3350.80154146521</v>
      </c>
      <c r="G1949" t="s">
        <v>54</v>
      </c>
      <c r="H1949">
        <v>68</v>
      </c>
      <c r="I1949">
        <v>24</v>
      </c>
      <c r="J1949">
        <v>22</v>
      </c>
      <c r="K1949">
        <v>9</v>
      </c>
      <c r="L1949" t="s">
        <v>27</v>
      </c>
      <c r="M1949">
        <v>14.0360890744534</v>
      </c>
      <c r="N1949" t="s">
        <v>28</v>
      </c>
      <c r="O1949" t="s">
        <v>29</v>
      </c>
      <c r="P1949">
        <f>VLOOKUP(O1949, Coordinates!$A$2:$C$6, 2, FALSE)</f>
        <v>29.760400000000001</v>
      </c>
      <c r="Q1949">
        <f>VLOOKUP(O1949, Coordinates!$A$2:$C$6, 3, FALSE)</f>
        <v>-95.369799999999998</v>
      </c>
      <c r="R1949">
        <v>26</v>
      </c>
      <c r="S1949">
        <v>258</v>
      </c>
      <c r="T1949">
        <v>9</v>
      </c>
      <c r="U1949">
        <v>83.423467070000001</v>
      </c>
      <c r="V1949" t="s">
        <v>55</v>
      </c>
      <c r="W1949">
        <v>1.14654516560155</v>
      </c>
      <c r="X1949" t="s">
        <v>46</v>
      </c>
      <c r="Y1949" t="s">
        <v>60</v>
      </c>
      <c r="Z1949">
        <v>894.22303233565196</v>
      </c>
    </row>
    <row r="1950" spans="1:26" x14ac:dyDescent="0.3">
      <c r="A1950" t="s">
        <v>49</v>
      </c>
      <c r="B1950" t="s">
        <v>2006</v>
      </c>
      <c r="C1950">
        <v>40.701476505378103</v>
      </c>
      <c r="D1950">
        <v>12</v>
      </c>
      <c r="E1950">
        <v>700</v>
      </c>
      <c r="F1950">
        <v>5607.1190914266099</v>
      </c>
      <c r="G1950" t="s">
        <v>35</v>
      </c>
      <c r="H1950">
        <v>87</v>
      </c>
      <c r="I1950">
        <v>25</v>
      </c>
      <c r="J1950">
        <v>47</v>
      </c>
      <c r="K1950">
        <v>9</v>
      </c>
      <c r="L1950" t="s">
        <v>36</v>
      </c>
      <c r="M1950">
        <v>9.8465785980370999</v>
      </c>
      <c r="N1950" t="s">
        <v>57</v>
      </c>
      <c r="O1950" t="s">
        <v>65</v>
      </c>
      <c r="P1950">
        <f>VLOOKUP(O1950, Coordinates!$A$2:$C$6, 2, FALSE)</f>
        <v>41.878100000000003</v>
      </c>
      <c r="Q1950">
        <f>VLOOKUP(O1950, Coordinates!$A$2:$C$6, 3, FALSE)</f>
        <v>-87.629800000000003</v>
      </c>
      <c r="R1950">
        <v>19</v>
      </c>
      <c r="S1950">
        <v>880</v>
      </c>
      <c r="T1950">
        <v>10</v>
      </c>
      <c r="U1950">
        <v>98.887898709285594</v>
      </c>
      <c r="V1950" t="s">
        <v>30</v>
      </c>
      <c r="W1950">
        <v>2.7434563310466702</v>
      </c>
      <c r="X1950" t="s">
        <v>40</v>
      </c>
      <c r="Y1950" t="s">
        <v>60</v>
      </c>
      <c r="Z1950">
        <v>851.80713588804394</v>
      </c>
    </row>
    <row r="1951" spans="1:26" x14ac:dyDescent="0.3">
      <c r="A1951" t="s">
        <v>61</v>
      </c>
      <c r="B1951" t="s">
        <v>2007</v>
      </c>
      <c r="C1951">
        <v>72.271574315559405</v>
      </c>
      <c r="D1951">
        <v>77</v>
      </c>
      <c r="E1951">
        <v>777</v>
      </c>
      <c r="F1951">
        <v>3876.5631295726398</v>
      </c>
      <c r="G1951" t="s">
        <v>26</v>
      </c>
      <c r="H1951">
        <v>28</v>
      </c>
      <c r="I1951">
        <v>18</v>
      </c>
      <c r="J1951">
        <v>35</v>
      </c>
      <c r="K1951">
        <v>7</v>
      </c>
      <c r="L1951" t="s">
        <v>36</v>
      </c>
      <c r="M1951">
        <v>7.03421684613651</v>
      </c>
      <c r="N1951" t="s">
        <v>37</v>
      </c>
      <c r="O1951" t="s">
        <v>29</v>
      </c>
      <c r="P1951">
        <f>VLOOKUP(O1951, Coordinates!$A$2:$C$6, 2, FALSE)</f>
        <v>29.760400000000001</v>
      </c>
      <c r="Q1951">
        <f>VLOOKUP(O1951, Coordinates!$A$2:$C$6, 3, FALSE)</f>
        <v>-95.369799999999998</v>
      </c>
      <c r="R1951">
        <v>24</v>
      </c>
      <c r="S1951">
        <v>930</v>
      </c>
      <c r="T1951">
        <v>27</v>
      </c>
      <c r="U1951">
        <v>57.768770036029302</v>
      </c>
      <c r="V1951" t="s">
        <v>55</v>
      </c>
      <c r="W1951">
        <v>1.6364471086285099</v>
      </c>
      <c r="X1951" t="s">
        <v>46</v>
      </c>
      <c r="Y1951" t="s">
        <v>32</v>
      </c>
      <c r="Z1951">
        <v>221.83106481164401</v>
      </c>
    </row>
    <row r="1952" spans="1:26" x14ac:dyDescent="0.3">
      <c r="A1952" t="s">
        <v>61</v>
      </c>
      <c r="B1952" t="s">
        <v>2008</v>
      </c>
      <c r="D1952">
        <v>41</v>
      </c>
      <c r="E1952">
        <v>272</v>
      </c>
      <c r="F1952">
        <v>2508.594075</v>
      </c>
      <c r="G1952" t="s">
        <v>48</v>
      </c>
      <c r="H1952">
        <v>92</v>
      </c>
      <c r="I1952">
        <v>6</v>
      </c>
      <c r="J1952">
        <v>90</v>
      </c>
      <c r="K1952">
        <v>8</v>
      </c>
      <c r="L1952" t="s">
        <v>27</v>
      </c>
      <c r="M1952">
        <v>8.9369921615086501</v>
      </c>
      <c r="N1952" t="s">
        <v>57</v>
      </c>
      <c r="O1952" t="s">
        <v>58</v>
      </c>
      <c r="P1952">
        <f>VLOOKUP(O1952, Coordinates!$A$2:$C$6, 2, FALSE)</f>
        <v>34.052199999999999</v>
      </c>
      <c r="Q1952">
        <f>VLOOKUP(O1952, Coordinates!$A$2:$C$6, 3, FALSE)</f>
        <v>-118.2437</v>
      </c>
      <c r="R1952">
        <v>6</v>
      </c>
      <c r="S1952">
        <v>110</v>
      </c>
      <c r="T1952">
        <v>6</v>
      </c>
      <c r="U1952">
        <v>61.227959692507397</v>
      </c>
      <c r="V1952" t="s">
        <v>55</v>
      </c>
      <c r="W1952">
        <v>2.0260393072893801</v>
      </c>
      <c r="X1952" t="s">
        <v>46</v>
      </c>
      <c r="Y1952" t="s">
        <v>32</v>
      </c>
      <c r="Z1952">
        <v>655.87263416457699</v>
      </c>
    </row>
    <row r="1953" spans="1:26" x14ac:dyDescent="0.3">
      <c r="A1953" t="s">
        <v>72</v>
      </c>
      <c r="B1953" t="s">
        <v>2009</v>
      </c>
      <c r="C1953">
        <v>37.002248232135898</v>
      </c>
      <c r="D1953">
        <v>2</v>
      </c>
      <c r="E1953">
        <v>173</v>
      </c>
      <c r="F1953">
        <v>5761.2500497435703</v>
      </c>
      <c r="G1953" t="s">
        <v>54</v>
      </c>
      <c r="H1953">
        <v>89</v>
      </c>
      <c r="I1953">
        <v>9</v>
      </c>
      <c r="J1953">
        <v>14</v>
      </c>
      <c r="K1953">
        <v>5</v>
      </c>
      <c r="L1953" t="s">
        <v>44</v>
      </c>
      <c r="M1953">
        <v>12.6130458365639</v>
      </c>
      <c r="N1953" t="s">
        <v>45</v>
      </c>
      <c r="O1953" t="s">
        <v>38</v>
      </c>
      <c r="P1953">
        <f>VLOOKUP(O1953, Coordinates!$A$2:$C$6, 2, FALSE)</f>
        <v>25.761700000000001</v>
      </c>
      <c r="Q1953">
        <f>VLOOKUP(O1953, Coordinates!$A$2:$C$6, 3, FALSE)</f>
        <v>-80.191800000000001</v>
      </c>
      <c r="R1953">
        <v>26</v>
      </c>
      <c r="S1953">
        <v>168</v>
      </c>
      <c r="T1953">
        <v>17</v>
      </c>
      <c r="U1953">
        <v>85.826609455490896</v>
      </c>
      <c r="V1953" t="s">
        <v>55</v>
      </c>
      <c r="W1953">
        <v>4.6501844509944599</v>
      </c>
      <c r="X1953" t="s">
        <v>40</v>
      </c>
      <c r="Y1953" t="s">
        <v>41</v>
      </c>
      <c r="Z1953">
        <v>146.98283525927101</v>
      </c>
    </row>
    <row r="1954" spans="1:26" x14ac:dyDescent="0.3">
      <c r="A1954" t="s">
        <v>82</v>
      </c>
      <c r="B1954" t="s">
        <v>2010</v>
      </c>
      <c r="C1954">
        <v>77.474866879999993</v>
      </c>
      <c r="D1954">
        <v>37</v>
      </c>
      <c r="E1954">
        <v>775</v>
      </c>
      <c r="F1954">
        <v>1321.73555019278</v>
      </c>
      <c r="G1954" t="s">
        <v>48</v>
      </c>
      <c r="H1954">
        <v>66</v>
      </c>
      <c r="I1954">
        <v>29</v>
      </c>
      <c r="J1954">
        <v>58</v>
      </c>
      <c r="K1954">
        <v>5</v>
      </c>
      <c r="L1954" t="s">
        <v>44</v>
      </c>
      <c r="M1954">
        <v>5.56576164032343</v>
      </c>
      <c r="N1954" t="s">
        <v>37</v>
      </c>
      <c r="O1954" t="s">
        <v>65</v>
      </c>
      <c r="P1954">
        <f>VLOOKUP(O1954, Coordinates!$A$2:$C$6, 2, FALSE)</f>
        <v>41.878100000000003</v>
      </c>
      <c r="Q1954">
        <f>VLOOKUP(O1954, Coordinates!$A$2:$C$6, 3, FALSE)</f>
        <v>-87.629800000000003</v>
      </c>
      <c r="R1954">
        <v>21</v>
      </c>
      <c r="S1954">
        <v>803</v>
      </c>
      <c r="T1954">
        <v>15</v>
      </c>
      <c r="U1954">
        <v>54.352473020928102</v>
      </c>
      <c r="V1954" t="s">
        <v>55</v>
      </c>
      <c r="W1954">
        <v>0.77827820634703104</v>
      </c>
      <c r="X1954" t="s">
        <v>52</v>
      </c>
      <c r="Y1954" t="s">
        <v>32</v>
      </c>
      <c r="Z1954">
        <v>748.51975550150598</v>
      </c>
    </row>
    <row r="1955" spans="1:26" x14ac:dyDescent="0.3">
      <c r="A1955" t="s">
        <v>49</v>
      </c>
      <c r="B1955" t="s">
        <v>2011</v>
      </c>
      <c r="C1955">
        <v>9.3179875414006101</v>
      </c>
      <c r="D1955">
        <v>45</v>
      </c>
      <c r="E1955">
        <v>743</v>
      </c>
      <c r="F1955">
        <v>7339.8125929999997</v>
      </c>
      <c r="G1955" t="s">
        <v>48</v>
      </c>
      <c r="H1955">
        <v>1</v>
      </c>
      <c r="I1955">
        <v>6</v>
      </c>
      <c r="J1955">
        <v>100</v>
      </c>
      <c r="K1955">
        <v>3</v>
      </c>
      <c r="L1955" t="s">
        <v>36</v>
      </c>
      <c r="M1955">
        <v>14.3904407990628</v>
      </c>
      <c r="N1955" t="s">
        <v>57</v>
      </c>
      <c r="O1955" t="s">
        <v>67</v>
      </c>
      <c r="P1955">
        <f>VLOOKUP(O1955, Coordinates!$A$2:$C$6, 2, FALSE)</f>
        <v>40.712800000000001</v>
      </c>
      <c r="Q1955">
        <f>VLOOKUP(O1955, Coordinates!$A$2:$C$6, 3, FALSE)</f>
        <v>-74.006</v>
      </c>
      <c r="R1955">
        <v>7</v>
      </c>
      <c r="S1955">
        <v>713</v>
      </c>
      <c r="T1955">
        <v>1</v>
      </c>
      <c r="U1955">
        <v>46.604800614976199</v>
      </c>
      <c r="V1955" t="s">
        <v>39</v>
      </c>
      <c r="W1955">
        <v>1.9422866339740099</v>
      </c>
      <c r="X1955" t="s">
        <v>46</v>
      </c>
      <c r="Y1955" t="s">
        <v>41</v>
      </c>
      <c r="Z1955">
        <v>762.41882825081598</v>
      </c>
    </row>
    <row r="1956" spans="1:26" x14ac:dyDescent="0.3">
      <c r="A1956" t="s">
        <v>49</v>
      </c>
      <c r="B1956" t="s">
        <v>2012</v>
      </c>
      <c r="C1956">
        <v>66.427042175122807</v>
      </c>
      <c r="D1956">
        <v>80</v>
      </c>
      <c r="E1956">
        <v>37</v>
      </c>
      <c r="F1956">
        <v>5429.0499137727502</v>
      </c>
      <c r="G1956" t="s">
        <v>54</v>
      </c>
      <c r="H1956">
        <v>24</v>
      </c>
      <c r="I1956">
        <v>18</v>
      </c>
      <c r="J1956">
        <v>14</v>
      </c>
      <c r="K1956">
        <v>6</v>
      </c>
      <c r="L1956" t="s">
        <v>27</v>
      </c>
      <c r="M1956">
        <v>7.5233727692803001</v>
      </c>
      <c r="N1956" t="s">
        <v>45</v>
      </c>
      <c r="O1956" t="s">
        <v>38</v>
      </c>
      <c r="P1956">
        <f>VLOOKUP(O1956, Coordinates!$A$2:$C$6, 2, FALSE)</f>
        <v>25.761700000000001</v>
      </c>
      <c r="Q1956">
        <f>VLOOKUP(O1956, Coordinates!$A$2:$C$6, 3, FALSE)</f>
        <v>-80.191800000000001</v>
      </c>
      <c r="R1956">
        <v>25</v>
      </c>
      <c r="S1956">
        <v>643</v>
      </c>
      <c r="T1956">
        <v>24</v>
      </c>
      <c r="U1956">
        <v>65.327823205708498</v>
      </c>
      <c r="V1956" t="s">
        <v>55</v>
      </c>
      <c r="W1956">
        <v>3.8330380592204598</v>
      </c>
      <c r="X1956" t="s">
        <v>52</v>
      </c>
      <c r="Y1956" t="s">
        <v>32</v>
      </c>
      <c r="Z1956">
        <v>410.042034679224</v>
      </c>
    </row>
    <row r="1957" spans="1:26" x14ac:dyDescent="0.3">
      <c r="A1957" t="s">
        <v>72</v>
      </c>
      <c r="B1957" t="s">
        <v>2013</v>
      </c>
      <c r="C1957">
        <v>38.476868300647403</v>
      </c>
      <c r="D1957">
        <v>48</v>
      </c>
      <c r="E1957">
        <v>381</v>
      </c>
      <c r="F1957">
        <v>13193.718140292</v>
      </c>
      <c r="G1957" t="s">
        <v>35</v>
      </c>
      <c r="H1957">
        <v>18</v>
      </c>
      <c r="I1957">
        <v>17</v>
      </c>
      <c r="J1957">
        <v>80</v>
      </c>
      <c r="K1957">
        <v>1</v>
      </c>
      <c r="L1957" t="s">
        <v>36</v>
      </c>
      <c r="M1957">
        <v>14.387318029363399</v>
      </c>
      <c r="N1957" t="s">
        <v>37</v>
      </c>
      <c r="O1957" t="s">
        <v>65</v>
      </c>
      <c r="P1957">
        <f>VLOOKUP(O1957, Coordinates!$A$2:$C$6, 2, FALSE)</f>
        <v>41.878100000000003</v>
      </c>
      <c r="Q1957">
        <f>VLOOKUP(O1957, Coordinates!$A$2:$C$6, 3, FALSE)</f>
        <v>-87.629800000000003</v>
      </c>
      <c r="R1957">
        <v>7</v>
      </c>
      <c r="S1957">
        <v>301</v>
      </c>
      <c r="T1957">
        <v>27</v>
      </c>
      <c r="U1957">
        <v>94.128695800464399</v>
      </c>
      <c r="V1957" t="s">
        <v>30</v>
      </c>
      <c r="W1957">
        <v>2.7458299117887601</v>
      </c>
      <c r="X1957" t="s">
        <v>52</v>
      </c>
      <c r="Y1957" t="s">
        <v>60</v>
      </c>
      <c r="Z1957">
        <v>807.93443562849802</v>
      </c>
    </row>
    <row r="1958" spans="1:26" x14ac:dyDescent="0.3">
      <c r="A1958" t="s">
        <v>42</v>
      </c>
      <c r="B1958" t="s">
        <v>2014</v>
      </c>
      <c r="C1958">
        <v>68.653091091718807</v>
      </c>
      <c r="D1958">
        <v>24</v>
      </c>
      <c r="E1958">
        <v>218</v>
      </c>
      <c r="F1958">
        <v>2545.2459381564199</v>
      </c>
      <c r="G1958" t="s">
        <v>54</v>
      </c>
      <c r="H1958">
        <v>39</v>
      </c>
      <c r="I1958">
        <v>12</v>
      </c>
      <c r="J1958">
        <v>57</v>
      </c>
      <c r="K1958">
        <v>3</v>
      </c>
      <c r="L1958" t="s">
        <v>36</v>
      </c>
      <c r="M1958">
        <v>13.330592606405601</v>
      </c>
      <c r="N1958" t="s">
        <v>28</v>
      </c>
      <c r="O1958" t="s">
        <v>38</v>
      </c>
      <c r="P1958">
        <f>VLOOKUP(O1958, Coordinates!$A$2:$C$6, 2, FALSE)</f>
        <v>25.761700000000001</v>
      </c>
      <c r="Q1958">
        <f>VLOOKUP(O1958, Coordinates!$A$2:$C$6, 3, FALSE)</f>
        <v>-80.191800000000001</v>
      </c>
      <c r="R1958">
        <v>22</v>
      </c>
      <c r="S1958">
        <v>365</v>
      </c>
      <c r="T1958">
        <v>22</v>
      </c>
      <c r="U1958">
        <v>77.580623952654904</v>
      </c>
      <c r="V1958" t="s">
        <v>39</v>
      </c>
      <c r="W1958">
        <v>3.6816811327332202</v>
      </c>
      <c r="X1958" t="s">
        <v>40</v>
      </c>
      <c r="Y1958" t="s">
        <v>32</v>
      </c>
      <c r="Z1958">
        <v>687.43220580000002</v>
      </c>
    </row>
    <row r="1959" spans="1:26" x14ac:dyDescent="0.3">
      <c r="A1959" t="s">
        <v>42</v>
      </c>
      <c r="B1959" t="s">
        <v>2015</v>
      </c>
      <c r="D1959">
        <v>99</v>
      </c>
      <c r="E1959">
        <v>566</v>
      </c>
      <c r="F1959">
        <v>1922.81084301379</v>
      </c>
      <c r="G1959" t="s">
        <v>26</v>
      </c>
      <c r="H1959">
        <v>1</v>
      </c>
      <c r="I1959">
        <v>3</v>
      </c>
      <c r="J1959">
        <v>27</v>
      </c>
      <c r="K1959">
        <v>2</v>
      </c>
      <c r="L1959" t="s">
        <v>27</v>
      </c>
      <c r="M1959">
        <v>11.7472673898213</v>
      </c>
      <c r="N1959" t="s">
        <v>45</v>
      </c>
      <c r="O1959" t="s">
        <v>38</v>
      </c>
      <c r="P1959">
        <f>VLOOKUP(O1959, Coordinates!$A$2:$C$6, 2, FALSE)</f>
        <v>25.761700000000001</v>
      </c>
      <c r="Q1959">
        <f>VLOOKUP(O1959, Coordinates!$A$2:$C$6, 3, FALSE)</f>
        <v>-80.191800000000001</v>
      </c>
      <c r="R1959">
        <v>28</v>
      </c>
      <c r="S1959">
        <v>207</v>
      </c>
      <c r="T1959">
        <v>13</v>
      </c>
      <c r="U1959">
        <v>70.138062753407596</v>
      </c>
      <c r="V1959" t="s">
        <v>55</v>
      </c>
      <c r="W1959">
        <v>3.7579780891581498</v>
      </c>
      <c r="X1959" t="s">
        <v>52</v>
      </c>
      <c r="Y1959" t="s">
        <v>60</v>
      </c>
      <c r="Z1959">
        <v>553.64565536026703</v>
      </c>
    </row>
    <row r="1960" spans="1:26" x14ac:dyDescent="0.3">
      <c r="A1960" t="s">
        <v>24</v>
      </c>
      <c r="B1960" t="s">
        <v>2016</v>
      </c>
      <c r="C1960">
        <v>30.664577314373801</v>
      </c>
      <c r="D1960">
        <v>22</v>
      </c>
      <c r="E1960">
        <v>444</v>
      </c>
      <c r="F1960">
        <v>12253.56509</v>
      </c>
      <c r="G1960" t="s">
        <v>26</v>
      </c>
      <c r="H1960">
        <v>82</v>
      </c>
      <c r="I1960">
        <v>27</v>
      </c>
      <c r="J1960">
        <v>15</v>
      </c>
      <c r="K1960">
        <v>7</v>
      </c>
      <c r="L1960" t="s">
        <v>36</v>
      </c>
      <c r="M1960">
        <v>7.54412919212088</v>
      </c>
      <c r="N1960" t="s">
        <v>57</v>
      </c>
      <c r="O1960" t="s">
        <v>29</v>
      </c>
      <c r="P1960">
        <f>VLOOKUP(O1960, Coordinates!$A$2:$C$6, 2, FALSE)</f>
        <v>29.760400000000001</v>
      </c>
      <c r="Q1960">
        <f>VLOOKUP(O1960, Coordinates!$A$2:$C$6, 3, FALSE)</f>
        <v>-95.369799999999998</v>
      </c>
      <c r="R1960">
        <v>28</v>
      </c>
      <c r="S1960">
        <v>153</v>
      </c>
      <c r="T1960">
        <v>10</v>
      </c>
      <c r="U1960">
        <v>93.627241978708298</v>
      </c>
      <c r="V1960" t="s">
        <v>55</v>
      </c>
      <c r="W1960">
        <v>2.57648347258682</v>
      </c>
      <c r="X1960" t="s">
        <v>52</v>
      </c>
      <c r="Y1960" t="s">
        <v>32</v>
      </c>
      <c r="Z1960">
        <v>509.74529873787498</v>
      </c>
    </row>
    <row r="1961" spans="1:26" x14ac:dyDescent="0.3">
      <c r="A1961" t="s">
        <v>82</v>
      </c>
      <c r="B1961" t="s">
        <v>2017</v>
      </c>
      <c r="C1961">
        <v>16.723077444531601</v>
      </c>
      <c r="D1961">
        <v>100</v>
      </c>
      <c r="E1961">
        <v>496</v>
      </c>
      <c r="F1961">
        <v>1847.89327251244</v>
      </c>
      <c r="G1961" t="s">
        <v>54</v>
      </c>
      <c r="H1961">
        <v>64</v>
      </c>
      <c r="I1961">
        <v>5</v>
      </c>
      <c r="J1961">
        <v>75</v>
      </c>
      <c r="K1961">
        <v>9</v>
      </c>
      <c r="L1961" t="s">
        <v>44</v>
      </c>
      <c r="M1961">
        <v>9.2172320200000009</v>
      </c>
      <c r="N1961" t="s">
        <v>37</v>
      </c>
      <c r="O1961" t="s">
        <v>65</v>
      </c>
      <c r="P1961">
        <f>VLOOKUP(O1961, Coordinates!$A$2:$C$6, 2, FALSE)</f>
        <v>41.878100000000003</v>
      </c>
      <c r="Q1961">
        <f>VLOOKUP(O1961, Coordinates!$A$2:$C$6, 3, FALSE)</f>
        <v>-87.629800000000003</v>
      </c>
      <c r="R1961">
        <v>10</v>
      </c>
      <c r="S1961">
        <v>437</v>
      </c>
      <c r="T1961">
        <v>12</v>
      </c>
      <c r="U1961">
        <v>70.710370379987694</v>
      </c>
      <c r="V1961" t="s">
        <v>55</v>
      </c>
      <c r="W1961">
        <v>4.2745829576347099</v>
      </c>
      <c r="X1961" t="s">
        <v>31</v>
      </c>
      <c r="Y1961" t="s">
        <v>41</v>
      </c>
      <c r="Z1961">
        <v>198.22645439999999</v>
      </c>
    </row>
    <row r="1962" spans="1:26" x14ac:dyDescent="0.3">
      <c r="A1962" t="s">
        <v>82</v>
      </c>
      <c r="B1962" t="s">
        <v>2018</v>
      </c>
      <c r="C1962">
        <v>64.500623407338495</v>
      </c>
      <c r="D1962">
        <v>11</v>
      </c>
      <c r="E1962">
        <v>397</v>
      </c>
      <c r="F1962">
        <v>7788.5409973169399</v>
      </c>
      <c r="G1962" t="s">
        <v>48</v>
      </c>
      <c r="H1962">
        <v>61</v>
      </c>
      <c r="I1962">
        <v>7</v>
      </c>
      <c r="J1962">
        <v>86</v>
      </c>
      <c r="K1962">
        <v>4</v>
      </c>
      <c r="L1962" t="s">
        <v>36</v>
      </c>
      <c r="M1962">
        <v>12.7324117730445</v>
      </c>
      <c r="N1962" t="s">
        <v>45</v>
      </c>
      <c r="O1962" t="s">
        <v>38</v>
      </c>
      <c r="P1962">
        <f>VLOOKUP(O1962, Coordinates!$A$2:$C$6, 2, FALSE)</f>
        <v>25.761700000000001</v>
      </c>
      <c r="Q1962">
        <f>VLOOKUP(O1962, Coordinates!$A$2:$C$6, 3, FALSE)</f>
        <v>-80.191800000000001</v>
      </c>
      <c r="R1962">
        <v>27</v>
      </c>
      <c r="S1962">
        <v>289</v>
      </c>
      <c r="T1962">
        <v>23</v>
      </c>
      <c r="U1962">
        <v>53.240071465016001</v>
      </c>
      <c r="V1962" t="s">
        <v>39</v>
      </c>
      <c r="W1962">
        <v>4.6220196092253101</v>
      </c>
      <c r="X1962" t="s">
        <v>52</v>
      </c>
      <c r="Y1962" t="s">
        <v>32</v>
      </c>
      <c r="Z1962">
        <v>577.99358138505602</v>
      </c>
    </row>
    <row r="1963" spans="1:26" x14ac:dyDescent="0.3">
      <c r="A1963" t="s">
        <v>33</v>
      </c>
      <c r="B1963" t="s">
        <v>2019</v>
      </c>
      <c r="C1963">
        <v>31.454719248117399</v>
      </c>
      <c r="D1963">
        <v>58</v>
      </c>
      <c r="E1963">
        <v>493</v>
      </c>
      <c r="F1963">
        <v>1184.5982738835201</v>
      </c>
      <c r="G1963" t="s">
        <v>26</v>
      </c>
      <c r="H1963">
        <v>90</v>
      </c>
      <c r="I1963">
        <v>10</v>
      </c>
      <c r="J1963">
        <v>51</v>
      </c>
      <c r="K1963">
        <v>7</v>
      </c>
      <c r="L1963" t="s">
        <v>27</v>
      </c>
      <c r="M1963">
        <v>8.6167812261058003</v>
      </c>
      <c r="N1963" t="s">
        <v>45</v>
      </c>
      <c r="O1963" t="s">
        <v>38</v>
      </c>
      <c r="P1963">
        <f>VLOOKUP(O1963, Coordinates!$A$2:$C$6, 2, FALSE)</f>
        <v>25.761700000000001</v>
      </c>
      <c r="Q1963">
        <f>VLOOKUP(O1963, Coordinates!$A$2:$C$6, 3, FALSE)</f>
        <v>-80.191800000000001</v>
      </c>
      <c r="R1963">
        <v>27</v>
      </c>
      <c r="S1963">
        <v>338</v>
      </c>
      <c r="T1963">
        <v>22</v>
      </c>
      <c r="U1963">
        <v>22.144112590282301</v>
      </c>
      <c r="V1963" t="s">
        <v>55</v>
      </c>
      <c r="W1963">
        <v>4.4521620748079602</v>
      </c>
      <c r="X1963" t="s">
        <v>40</v>
      </c>
      <c r="Y1963" t="s">
        <v>60</v>
      </c>
      <c r="Z1963">
        <v>240.48995669116701</v>
      </c>
    </row>
    <row r="1964" spans="1:26" x14ac:dyDescent="0.3">
      <c r="A1964" t="s">
        <v>72</v>
      </c>
      <c r="B1964" t="s">
        <v>2020</v>
      </c>
      <c r="C1964">
        <v>30.482304408182301</v>
      </c>
      <c r="D1964">
        <v>46</v>
      </c>
      <c r="E1964">
        <v>726</v>
      </c>
      <c r="F1964">
        <v>19917.137700306299</v>
      </c>
      <c r="G1964" t="s">
        <v>26</v>
      </c>
      <c r="H1964">
        <v>53</v>
      </c>
      <c r="I1964">
        <v>10</v>
      </c>
      <c r="J1964">
        <v>61</v>
      </c>
      <c r="K1964">
        <v>8</v>
      </c>
      <c r="L1964" t="s">
        <v>44</v>
      </c>
      <c r="M1964">
        <v>11.3346540715388</v>
      </c>
      <c r="N1964" t="s">
        <v>28</v>
      </c>
      <c r="O1964" t="s">
        <v>29</v>
      </c>
      <c r="P1964">
        <f>VLOOKUP(O1964, Coordinates!$A$2:$C$6, 2, FALSE)</f>
        <v>29.760400000000001</v>
      </c>
      <c r="Q1964">
        <f>VLOOKUP(O1964, Coordinates!$A$2:$C$6, 3, FALSE)</f>
        <v>-95.369799999999998</v>
      </c>
      <c r="R1964">
        <v>20</v>
      </c>
      <c r="S1964">
        <v>442</v>
      </c>
      <c r="T1964">
        <v>16</v>
      </c>
      <c r="U1964">
        <v>94.729548336400299</v>
      </c>
      <c r="V1964" t="s">
        <v>30</v>
      </c>
      <c r="W1964">
        <v>1.22714379509997</v>
      </c>
      <c r="X1964" t="s">
        <v>46</v>
      </c>
      <c r="Y1964" t="s">
        <v>60</v>
      </c>
      <c r="Z1964">
        <v>690.42741639387498</v>
      </c>
    </row>
    <row r="1965" spans="1:26" x14ac:dyDescent="0.3">
      <c r="A1965" t="s">
        <v>42</v>
      </c>
      <c r="B1965" t="s">
        <v>2021</v>
      </c>
      <c r="C1965">
        <v>93.196433040000002</v>
      </c>
      <c r="D1965">
        <v>29</v>
      </c>
      <c r="E1965">
        <v>950</v>
      </c>
      <c r="F1965">
        <v>9016.0000830271601</v>
      </c>
      <c r="G1965" t="s">
        <v>54</v>
      </c>
      <c r="H1965">
        <v>44</v>
      </c>
      <c r="I1965">
        <v>19</v>
      </c>
      <c r="J1965">
        <v>20</v>
      </c>
      <c r="K1965">
        <v>10</v>
      </c>
      <c r="L1965" t="s">
        <v>44</v>
      </c>
      <c r="M1965">
        <v>12.069226714094601</v>
      </c>
      <c r="N1965" t="s">
        <v>45</v>
      </c>
      <c r="O1965" t="s">
        <v>38</v>
      </c>
      <c r="P1965">
        <f>VLOOKUP(O1965, Coordinates!$A$2:$C$6, 2, FALSE)</f>
        <v>25.761700000000001</v>
      </c>
      <c r="Q1965">
        <f>VLOOKUP(O1965, Coordinates!$A$2:$C$6, 3, FALSE)</f>
        <v>-80.191800000000001</v>
      </c>
      <c r="R1965">
        <v>30</v>
      </c>
      <c r="S1965">
        <v>949</v>
      </c>
      <c r="T1965">
        <v>2</v>
      </c>
      <c r="U1965">
        <v>12.770123624891401</v>
      </c>
      <c r="V1965" t="s">
        <v>39</v>
      </c>
      <c r="W1965">
        <v>4.8081149873239797</v>
      </c>
      <c r="X1965" t="s">
        <v>31</v>
      </c>
      <c r="Y1965" t="s">
        <v>60</v>
      </c>
      <c r="Z1965">
        <v>635.24256962151799</v>
      </c>
    </row>
    <row r="1966" spans="1:26" x14ac:dyDescent="0.3">
      <c r="A1966" t="s">
        <v>61</v>
      </c>
      <c r="B1966" t="s">
        <v>2022</v>
      </c>
      <c r="C1966">
        <v>99.657837899510199</v>
      </c>
      <c r="D1966">
        <v>35</v>
      </c>
      <c r="E1966">
        <v>33</v>
      </c>
      <c r="F1966">
        <v>7466.7818631002101</v>
      </c>
      <c r="G1966" t="s">
        <v>54</v>
      </c>
      <c r="H1966">
        <v>48</v>
      </c>
      <c r="I1966">
        <v>25</v>
      </c>
      <c r="J1966">
        <v>35</v>
      </c>
      <c r="K1966">
        <v>2</v>
      </c>
      <c r="L1966" t="s">
        <v>36</v>
      </c>
      <c r="M1966">
        <v>8.1833334393615793</v>
      </c>
      <c r="N1966" t="s">
        <v>37</v>
      </c>
      <c r="O1966" t="s">
        <v>38</v>
      </c>
      <c r="P1966">
        <f>VLOOKUP(O1966, Coordinates!$A$2:$C$6, 2, FALSE)</f>
        <v>25.761700000000001</v>
      </c>
      <c r="Q1966">
        <f>VLOOKUP(O1966, Coordinates!$A$2:$C$6, 3, FALSE)</f>
        <v>-80.191800000000001</v>
      </c>
      <c r="R1966">
        <v>25</v>
      </c>
      <c r="S1966">
        <v>390</v>
      </c>
      <c r="T1966">
        <v>3</v>
      </c>
      <c r="U1966">
        <v>99.325008258520498</v>
      </c>
      <c r="V1966" t="s">
        <v>30</v>
      </c>
      <c r="W1966">
        <v>4.8739700990000001</v>
      </c>
      <c r="X1966" t="s">
        <v>40</v>
      </c>
      <c r="Y1966" t="s">
        <v>32</v>
      </c>
      <c r="Z1966">
        <v>361.47779828889998</v>
      </c>
    </row>
    <row r="1967" spans="1:26" x14ac:dyDescent="0.3">
      <c r="A1967" t="s">
        <v>49</v>
      </c>
      <c r="B1967" t="s">
        <v>2023</v>
      </c>
      <c r="C1967">
        <v>80.6207032305919</v>
      </c>
      <c r="D1967">
        <v>15</v>
      </c>
      <c r="E1967">
        <v>43</v>
      </c>
      <c r="F1967">
        <v>1656.7149963311799</v>
      </c>
      <c r="G1967" t="s">
        <v>35</v>
      </c>
      <c r="H1967">
        <v>98</v>
      </c>
      <c r="I1967">
        <v>26</v>
      </c>
      <c r="J1967">
        <v>30</v>
      </c>
      <c r="K1967">
        <v>7</v>
      </c>
      <c r="L1967" t="s">
        <v>44</v>
      </c>
      <c r="M1967">
        <v>8.5074652569513596</v>
      </c>
      <c r="N1967" t="s">
        <v>51</v>
      </c>
      <c r="O1967" t="s">
        <v>65</v>
      </c>
      <c r="P1967">
        <f>VLOOKUP(O1967, Coordinates!$A$2:$C$6, 2, FALSE)</f>
        <v>41.878100000000003</v>
      </c>
      <c r="Q1967">
        <f>VLOOKUP(O1967, Coordinates!$A$2:$C$6, 3, FALSE)</f>
        <v>-87.629800000000003</v>
      </c>
      <c r="R1967">
        <v>11</v>
      </c>
      <c r="S1967">
        <v>422</v>
      </c>
      <c r="T1967">
        <v>8</v>
      </c>
      <c r="U1967">
        <v>84.561264094571101</v>
      </c>
      <c r="V1967" t="s">
        <v>30</v>
      </c>
      <c r="W1967">
        <v>1.880648503</v>
      </c>
      <c r="X1967" t="s">
        <v>40</v>
      </c>
      <c r="Y1967" t="s">
        <v>41</v>
      </c>
      <c r="Z1967">
        <v>322.29917170481701</v>
      </c>
    </row>
    <row r="1968" spans="1:26" x14ac:dyDescent="0.3">
      <c r="A1968" t="s">
        <v>82</v>
      </c>
      <c r="B1968" t="s">
        <v>2024</v>
      </c>
      <c r="C1968">
        <v>76.604736690660403</v>
      </c>
      <c r="D1968">
        <v>60</v>
      </c>
      <c r="E1968">
        <v>863</v>
      </c>
      <c r="F1968">
        <v>8390.13494036661</v>
      </c>
      <c r="G1968" t="s">
        <v>54</v>
      </c>
      <c r="H1968">
        <v>68</v>
      </c>
      <c r="I1968">
        <v>28</v>
      </c>
      <c r="J1968">
        <v>75</v>
      </c>
      <c r="K1968">
        <v>3</v>
      </c>
      <c r="L1968" t="s">
        <v>27</v>
      </c>
      <c r="M1968">
        <v>3.76968604110635</v>
      </c>
      <c r="N1968" t="s">
        <v>37</v>
      </c>
      <c r="O1968" t="s">
        <v>58</v>
      </c>
      <c r="P1968">
        <f>VLOOKUP(O1968, Coordinates!$A$2:$C$6, 2, FALSE)</f>
        <v>34.052199999999999</v>
      </c>
      <c r="Q1968">
        <f>VLOOKUP(O1968, Coordinates!$A$2:$C$6, 3, FALSE)</f>
        <v>-118.2437</v>
      </c>
      <c r="R1968">
        <v>14</v>
      </c>
      <c r="S1968">
        <v>420</v>
      </c>
      <c r="T1968">
        <v>20</v>
      </c>
      <c r="U1968">
        <v>70.381954718317402</v>
      </c>
      <c r="V1968" t="s">
        <v>55</v>
      </c>
      <c r="W1968">
        <v>1.1490392032237</v>
      </c>
      <c r="X1968" t="s">
        <v>31</v>
      </c>
      <c r="Y1968" t="s">
        <v>41</v>
      </c>
      <c r="Z1968">
        <v>528.45624236718697</v>
      </c>
    </row>
    <row r="1969" spans="1:26" x14ac:dyDescent="0.3">
      <c r="A1969" t="s">
        <v>49</v>
      </c>
      <c r="B1969" t="s">
        <v>2025</v>
      </c>
      <c r="D1969">
        <v>95</v>
      </c>
      <c r="E1969">
        <v>616</v>
      </c>
      <c r="F1969">
        <v>5437.3160938618403</v>
      </c>
      <c r="G1969" t="s">
        <v>54</v>
      </c>
      <c r="H1969">
        <v>37</v>
      </c>
      <c r="I1969">
        <v>4</v>
      </c>
      <c r="J1969">
        <v>49</v>
      </c>
      <c r="K1969">
        <v>8</v>
      </c>
      <c r="L1969" t="s">
        <v>36</v>
      </c>
      <c r="M1969">
        <v>4.4263484878991699</v>
      </c>
      <c r="N1969" t="s">
        <v>37</v>
      </c>
      <c r="O1969" t="s">
        <v>58</v>
      </c>
      <c r="P1969">
        <f>VLOOKUP(O1969, Coordinates!$A$2:$C$6, 2, FALSE)</f>
        <v>34.052199999999999</v>
      </c>
      <c r="Q1969">
        <f>VLOOKUP(O1969, Coordinates!$A$2:$C$6, 3, FALSE)</f>
        <v>-118.2437</v>
      </c>
      <c r="R1969">
        <v>12</v>
      </c>
      <c r="S1969">
        <v>884</v>
      </c>
      <c r="T1969">
        <v>29</v>
      </c>
      <c r="U1969">
        <v>96.99460947</v>
      </c>
      <c r="V1969" t="s">
        <v>30</v>
      </c>
      <c r="W1969">
        <v>4.3456471714778901</v>
      </c>
      <c r="X1969" t="s">
        <v>31</v>
      </c>
      <c r="Y1969" t="s">
        <v>41</v>
      </c>
      <c r="Z1969">
        <v>561.23912270000005</v>
      </c>
    </row>
    <row r="1970" spans="1:26" x14ac:dyDescent="0.3">
      <c r="A1970" t="s">
        <v>49</v>
      </c>
      <c r="B1970" t="s">
        <v>2026</v>
      </c>
      <c r="C1970">
        <v>36.920670604060298</v>
      </c>
      <c r="D1970">
        <v>42</v>
      </c>
      <c r="E1970">
        <v>177</v>
      </c>
      <c r="F1970">
        <v>8621.0472445194591</v>
      </c>
      <c r="G1970" t="s">
        <v>26</v>
      </c>
      <c r="H1970">
        <v>3</v>
      </c>
      <c r="I1970">
        <v>10</v>
      </c>
      <c r="J1970">
        <v>65</v>
      </c>
      <c r="K1970">
        <v>6</v>
      </c>
      <c r="L1970" t="s">
        <v>44</v>
      </c>
      <c r="M1970">
        <v>13.6692045647189</v>
      </c>
      <c r="N1970" t="s">
        <v>28</v>
      </c>
      <c r="O1970" t="s">
        <v>29</v>
      </c>
      <c r="P1970">
        <f>VLOOKUP(O1970, Coordinates!$A$2:$C$6, 2, FALSE)</f>
        <v>29.760400000000001</v>
      </c>
      <c r="Q1970">
        <f>VLOOKUP(O1970, Coordinates!$A$2:$C$6, 3, FALSE)</f>
        <v>-95.369799999999998</v>
      </c>
      <c r="R1970">
        <v>4</v>
      </c>
      <c r="S1970">
        <v>141</v>
      </c>
      <c r="T1970">
        <v>15</v>
      </c>
      <c r="U1970">
        <v>65.122325331058803</v>
      </c>
      <c r="V1970" t="s">
        <v>30</v>
      </c>
      <c r="W1970">
        <v>0.998059797714412</v>
      </c>
      <c r="X1970" t="s">
        <v>40</v>
      </c>
      <c r="Y1970" t="s">
        <v>60</v>
      </c>
      <c r="Z1970">
        <v>818.13278456442004</v>
      </c>
    </row>
    <row r="1971" spans="1:26" x14ac:dyDescent="0.3">
      <c r="A1971" t="s">
        <v>33</v>
      </c>
      <c r="B1971" t="s">
        <v>2027</v>
      </c>
      <c r="C1971">
        <v>49.239841467416497</v>
      </c>
      <c r="D1971">
        <v>43</v>
      </c>
      <c r="E1971">
        <v>21</v>
      </c>
      <c r="F1971">
        <v>6406.6579700000002</v>
      </c>
      <c r="G1971" t="s">
        <v>26</v>
      </c>
      <c r="H1971">
        <v>16</v>
      </c>
      <c r="I1971">
        <v>18</v>
      </c>
      <c r="J1971">
        <v>60</v>
      </c>
      <c r="K1971">
        <v>3</v>
      </c>
      <c r="L1971" t="s">
        <v>27</v>
      </c>
      <c r="M1971">
        <v>12.7646145772864</v>
      </c>
      <c r="N1971" t="s">
        <v>28</v>
      </c>
      <c r="O1971" t="s">
        <v>38</v>
      </c>
      <c r="P1971">
        <f>VLOOKUP(O1971, Coordinates!$A$2:$C$6, 2, FALSE)</f>
        <v>25.761700000000001</v>
      </c>
      <c r="Q1971">
        <f>VLOOKUP(O1971, Coordinates!$A$2:$C$6, 3, FALSE)</f>
        <v>-80.191800000000001</v>
      </c>
      <c r="R1971">
        <v>13</v>
      </c>
      <c r="S1971">
        <v>297</v>
      </c>
      <c r="T1971">
        <v>24</v>
      </c>
      <c r="U1971">
        <v>15.0789592669913</v>
      </c>
      <c r="V1971" t="s">
        <v>39</v>
      </c>
      <c r="W1971">
        <v>3.4870413702493002</v>
      </c>
      <c r="X1971" t="s">
        <v>46</v>
      </c>
      <c r="Y1971" t="s">
        <v>60</v>
      </c>
      <c r="Z1971">
        <v>373.562200058065</v>
      </c>
    </row>
    <row r="1972" spans="1:26" x14ac:dyDescent="0.3">
      <c r="A1972" t="s">
        <v>42</v>
      </c>
      <c r="B1972" t="s">
        <v>2028</v>
      </c>
      <c r="C1972">
        <v>78.471199539313702</v>
      </c>
      <c r="D1972">
        <v>80</v>
      </c>
      <c r="E1972">
        <v>60</v>
      </c>
      <c r="F1972">
        <v>7136.49728829572</v>
      </c>
      <c r="G1972" t="s">
        <v>26</v>
      </c>
      <c r="H1972">
        <v>52</v>
      </c>
      <c r="I1972">
        <v>3</v>
      </c>
      <c r="J1972">
        <v>29</v>
      </c>
      <c r="K1972">
        <v>8</v>
      </c>
      <c r="L1972" t="s">
        <v>36</v>
      </c>
      <c r="M1972">
        <v>1.14171581956159</v>
      </c>
      <c r="N1972" t="s">
        <v>45</v>
      </c>
      <c r="O1972" t="s">
        <v>38</v>
      </c>
      <c r="P1972">
        <f>VLOOKUP(O1972, Coordinates!$A$2:$C$6, 2, FALSE)</f>
        <v>25.761700000000001</v>
      </c>
      <c r="Q1972">
        <f>VLOOKUP(O1972, Coordinates!$A$2:$C$6, 3, FALSE)</f>
        <v>-80.191800000000001</v>
      </c>
      <c r="R1972">
        <v>25</v>
      </c>
      <c r="S1972">
        <v>988</v>
      </c>
      <c r="T1972">
        <v>19</v>
      </c>
      <c r="U1972">
        <v>60.344395661306798</v>
      </c>
      <c r="V1972" t="s">
        <v>39</v>
      </c>
      <c r="W1972">
        <v>3.9152171280000001</v>
      </c>
      <c r="X1972" t="s">
        <v>52</v>
      </c>
      <c r="Y1972" t="s">
        <v>41</v>
      </c>
      <c r="Z1972">
        <v>463.08037176156603</v>
      </c>
    </row>
    <row r="1973" spans="1:26" x14ac:dyDescent="0.3">
      <c r="A1973" t="s">
        <v>82</v>
      </c>
      <c r="B1973" t="s">
        <v>2029</v>
      </c>
      <c r="C1973">
        <v>91.921757182407006</v>
      </c>
      <c r="D1973">
        <v>74</v>
      </c>
      <c r="E1973">
        <v>230</v>
      </c>
      <c r="F1973">
        <v>9941.5140435613703</v>
      </c>
      <c r="G1973" t="s">
        <v>48</v>
      </c>
      <c r="H1973">
        <v>84</v>
      </c>
      <c r="I1973">
        <v>21</v>
      </c>
      <c r="J1973">
        <v>90</v>
      </c>
      <c r="K1973">
        <v>3</v>
      </c>
      <c r="L1973" t="s">
        <v>27</v>
      </c>
      <c r="M1973">
        <v>13.1714262038328</v>
      </c>
      <c r="N1973" t="s">
        <v>28</v>
      </c>
      <c r="O1973" t="s">
        <v>38</v>
      </c>
      <c r="P1973">
        <f>VLOOKUP(O1973, Coordinates!$A$2:$C$6, 2, FALSE)</f>
        <v>25.761700000000001</v>
      </c>
      <c r="Q1973">
        <f>VLOOKUP(O1973, Coordinates!$A$2:$C$6, 3, FALSE)</f>
        <v>-80.191800000000001</v>
      </c>
      <c r="R1973">
        <v>22</v>
      </c>
      <c r="S1973">
        <v>732</v>
      </c>
      <c r="T1973">
        <v>18</v>
      </c>
      <c r="U1973">
        <v>34.948376709124801</v>
      </c>
      <c r="V1973" t="s">
        <v>55</v>
      </c>
      <c r="W1973">
        <v>9.4902575000000003E-2</v>
      </c>
      <c r="X1973" t="s">
        <v>46</v>
      </c>
      <c r="Y1973" t="s">
        <v>41</v>
      </c>
      <c r="Z1973">
        <v>408.96580588110203</v>
      </c>
    </row>
    <row r="1974" spans="1:26" x14ac:dyDescent="0.3">
      <c r="A1974" t="s">
        <v>49</v>
      </c>
      <c r="B1974" t="s">
        <v>2030</v>
      </c>
      <c r="C1974">
        <v>22.9682145021835</v>
      </c>
      <c r="D1974">
        <v>49</v>
      </c>
      <c r="E1974">
        <v>562</v>
      </c>
      <c r="G1974" t="s">
        <v>26</v>
      </c>
      <c r="H1974">
        <v>52</v>
      </c>
      <c r="I1974">
        <v>3</v>
      </c>
      <c r="J1974">
        <v>89</v>
      </c>
      <c r="K1974">
        <v>9</v>
      </c>
      <c r="L1974" t="s">
        <v>44</v>
      </c>
      <c r="M1974">
        <v>1.35328839821522</v>
      </c>
      <c r="N1974" t="s">
        <v>45</v>
      </c>
      <c r="O1974" t="s">
        <v>38</v>
      </c>
      <c r="P1974">
        <f>VLOOKUP(O1974, Coordinates!$A$2:$C$6, 2, FALSE)</f>
        <v>25.761700000000001</v>
      </c>
      <c r="Q1974">
        <f>VLOOKUP(O1974, Coordinates!$A$2:$C$6, 3, FALSE)</f>
        <v>-80.191800000000001</v>
      </c>
      <c r="R1974">
        <v>26</v>
      </c>
      <c r="S1974">
        <v>945</v>
      </c>
      <c r="T1974">
        <v>23</v>
      </c>
      <c r="U1974">
        <v>43.252977518599302</v>
      </c>
      <c r="V1974" t="s">
        <v>39</v>
      </c>
      <c r="W1974">
        <v>3.94303571039057</v>
      </c>
      <c r="X1974" t="s">
        <v>52</v>
      </c>
      <c r="Y1974" t="s">
        <v>32</v>
      </c>
      <c r="Z1974">
        <v>454.70512349702199</v>
      </c>
    </row>
    <row r="1975" spans="1:26" x14ac:dyDescent="0.3">
      <c r="A1975" t="s">
        <v>82</v>
      </c>
      <c r="B1975" t="s">
        <v>2031</v>
      </c>
      <c r="C1975">
        <v>92.624911043659694</v>
      </c>
      <c r="D1975">
        <v>64</v>
      </c>
      <c r="E1975">
        <v>71</v>
      </c>
      <c r="F1975">
        <v>6615.5101728524896</v>
      </c>
      <c r="G1975" t="s">
        <v>26</v>
      </c>
      <c r="H1975">
        <v>30</v>
      </c>
      <c r="I1975">
        <v>5</v>
      </c>
      <c r="J1975">
        <v>66</v>
      </c>
      <c r="K1975">
        <v>3</v>
      </c>
      <c r="L1975" t="s">
        <v>36</v>
      </c>
      <c r="M1975">
        <v>7.4159256411925902</v>
      </c>
      <c r="N1975" t="s">
        <v>51</v>
      </c>
      <c r="O1975" t="s">
        <v>38</v>
      </c>
      <c r="P1975">
        <f>VLOOKUP(O1975, Coordinates!$A$2:$C$6, 2, FALSE)</f>
        <v>25.761700000000001</v>
      </c>
      <c r="Q1975">
        <f>VLOOKUP(O1975, Coordinates!$A$2:$C$6, 3, FALSE)</f>
        <v>-80.191800000000001</v>
      </c>
      <c r="R1975">
        <v>3</v>
      </c>
      <c r="S1975">
        <v>383</v>
      </c>
      <c r="T1975">
        <v>1</v>
      </c>
      <c r="U1975">
        <v>51.362664029999998</v>
      </c>
      <c r="V1975" t="s">
        <v>55</v>
      </c>
      <c r="W1975">
        <v>3.2827006377495098</v>
      </c>
      <c r="X1975" t="s">
        <v>46</v>
      </c>
      <c r="Y1975" t="s">
        <v>32</v>
      </c>
      <c r="Z1975">
        <v>610.38715720154096</v>
      </c>
    </row>
    <row r="1976" spans="1:26" x14ac:dyDescent="0.3">
      <c r="A1976" t="s">
        <v>61</v>
      </c>
      <c r="B1976" t="s">
        <v>2032</v>
      </c>
      <c r="C1976">
        <v>71.084341973635503</v>
      </c>
      <c r="D1976">
        <v>32</v>
      </c>
      <c r="E1976">
        <v>201</v>
      </c>
      <c r="F1976">
        <v>5142.8925105165799</v>
      </c>
      <c r="G1976" t="s">
        <v>54</v>
      </c>
      <c r="H1976">
        <v>21</v>
      </c>
      <c r="I1976">
        <v>16</v>
      </c>
      <c r="J1976">
        <v>14</v>
      </c>
      <c r="K1976">
        <v>1</v>
      </c>
      <c r="L1976" t="s">
        <v>36</v>
      </c>
      <c r="M1976">
        <v>1.9440581655526299</v>
      </c>
      <c r="N1976" t="s">
        <v>57</v>
      </c>
      <c r="O1976" t="s">
        <v>67</v>
      </c>
      <c r="P1976">
        <f>VLOOKUP(O1976, Coordinates!$A$2:$C$6, 2, FALSE)</f>
        <v>40.712800000000001</v>
      </c>
      <c r="Q1976">
        <f>VLOOKUP(O1976, Coordinates!$A$2:$C$6, 3, FALSE)</f>
        <v>-74.006</v>
      </c>
      <c r="R1976">
        <v>13</v>
      </c>
      <c r="S1976">
        <v>906</v>
      </c>
      <c r="T1976">
        <v>27</v>
      </c>
      <c r="U1976">
        <v>79.714067174990504</v>
      </c>
      <c r="V1976" t="s">
        <v>30</v>
      </c>
      <c r="W1976">
        <v>0.71217226979384196</v>
      </c>
      <c r="X1976" t="s">
        <v>31</v>
      </c>
      <c r="Y1976" t="s">
        <v>32</v>
      </c>
      <c r="Z1976">
        <v>601.72401145074195</v>
      </c>
    </row>
    <row r="1977" spans="1:26" x14ac:dyDescent="0.3">
      <c r="A1977" t="s">
        <v>33</v>
      </c>
      <c r="B1977" t="s">
        <v>2033</v>
      </c>
      <c r="C1977">
        <v>63.0232194150786</v>
      </c>
      <c r="D1977">
        <v>64</v>
      </c>
      <c r="E1977">
        <v>658</v>
      </c>
      <c r="F1977">
        <v>1355.06757630422</v>
      </c>
      <c r="G1977" t="s">
        <v>35</v>
      </c>
      <c r="H1977">
        <v>10</v>
      </c>
      <c r="I1977">
        <v>20</v>
      </c>
      <c r="J1977">
        <v>23</v>
      </c>
      <c r="K1977">
        <v>2</v>
      </c>
      <c r="L1977" t="s">
        <v>44</v>
      </c>
      <c r="M1977">
        <v>14.5635239384003</v>
      </c>
      <c r="N1977" t="s">
        <v>28</v>
      </c>
      <c r="O1977" t="s">
        <v>65</v>
      </c>
      <c r="P1977">
        <f>VLOOKUP(O1977, Coordinates!$A$2:$C$6, 2, FALSE)</f>
        <v>41.878100000000003</v>
      </c>
      <c r="Q1977">
        <f>VLOOKUP(O1977, Coordinates!$A$2:$C$6, 3, FALSE)</f>
        <v>-87.629800000000003</v>
      </c>
      <c r="R1977">
        <v>20</v>
      </c>
      <c r="S1977">
        <v>281</v>
      </c>
      <c r="T1977">
        <v>19</v>
      </c>
      <c r="U1977">
        <v>55.263629293386003</v>
      </c>
      <c r="V1977" t="s">
        <v>55</v>
      </c>
      <c r="W1977">
        <v>3.8194122650076801</v>
      </c>
      <c r="X1977" t="s">
        <v>31</v>
      </c>
      <c r="Y1977" t="s">
        <v>41</v>
      </c>
      <c r="Z1977">
        <v>425.20810136460102</v>
      </c>
    </row>
    <row r="1978" spans="1:26" x14ac:dyDescent="0.3">
      <c r="A1978" t="s">
        <v>61</v>
      </c>
      <c r="B1978" t="s">
        <v>2034</v>
      </c>
      <c r="C1978">
        <v>23.9849207717842</v>
      </c>
      <c r="D1978">
        <v>2</v>
      </c>
      <c r="E1978">
        <v>839</v>
      </c>
      <c r="F1978">
        <v>1130.2357735257799</v>
      </c>
      <c r="G1978" t="s">
        <v>26</v>
      </c>
      <c r="H1978">
        <v>33</v>
      </c>
      <c r="I1978">
        <v>13</v>
      </c>
      <c r="J1978">
        <v>33</v>
      </c>
      <c r="K1978">
        <v>4</v>
      </c>
      <c r="L1978" t="s">
        <v>27</v>
      </c>
      <c r="M1978">
        <v>14.612469581259001</v>
      </c>
      <c r="N1978" t="s">
        <v>28</v>
      </c>
      <c r="O1978" t="s">
        <v>38</v>
      </c>
      <c r="P1978">
        <f>VLOOKUP(O1978, Coordinates!$A$2:$C$6, 2, FALSE)</f>
        <v>25.761700000000001</v>
      </c>
      <c r="Q1978">
        <f>VLOOKUP(O1978, Coordinates!$A$2:$C$6, 3, FALSE)</f>
        <v>-80.191800000000001</v>
      </c>
      <c r="R1978">
        <v>19</v>
      </c>
      <c r="S1978">
        <v>711</v>
      </c>
      <c r="T1978">
        <v>2</v>
      </c>
      <c r="U1978">
        <v>52.721226174256998</v>
      </c>
      <c r="V1978" t="s">
        <v>30</v>
      </c>
      <c r="W1978">
        <v>0.64368241205985699</v>
      </c>
      <c r="X1978" t="s">
        <v>31</v>
      </c>
      <c r="Y1978" t="s">
        <v>41</v>
      </c>
      <c r="Z1978">
        <v>642.19175574316296</v>
      </c>
    </row>
    <row r="1979" spans="1:26" x14ac:dyDescent="0.3">
      <c r="A1979" t="s">
        <v>82</v>
      </c>
      <c r="B1979" t="s">
        <v>2035</v>
      </c>
      <c r="C1979">
        <v>10.274878116869299</v>
      </c>
      <c r="D1979">
        <v>24</v>
      </c>
      <c r="E1979">
        <v>27</v>
      </c>
      <c r="F1979">
        <v>2073.0572003607199</v>
      </c>
      <c r="G1979" t="s">
        <v>35</v>
      </c>
      <c r="H1979">
        <v>14</v>
      </c>
      <c r="I1979">
        <v>11</v>
      </c>
      <c r="J1979">
        <v>77</v>
      </c>
      <c r="K1979">
        <v>2</v>
      </c>
      <c r="L1979" t="s">
        <v>44</v>
      </c>
      <c r="M1979">
        <v>9.5521931875326391</v>
      </c>
      <c r="N1979" t="s">
        <v>51</v>
      </c>
      <c r="O1979" t="s">
        <v>58</v>
      </c>
      <c r="P1979">
        <f>VLOOKUP(O1979, Coordinates!$A$2:$C$6, 2, FALSE)</f>
        <v>34.052199999999999</v>
      </c>
      <c r="Q1979">
        <f>VLOOKUP(O1979, Coordinates!$A$2:$C$6, 3, FALSE)</f>
        <v>-118.2437</v>
      </c>
      <c r="R1979">
        <v>15</v>
      </c>
      <c r="S1979">
        <v>110</v>
      </c>
      <c r="T1979">
        <v>5</v>
      </c>
      <c r="U1979">
        <v>37.177492396766098</v>
      </c>
      <c r="V1979" t="s">
        <v>30</v>
      </c>
      <c r="W1979">
        <v>2.6685390393583699</v>
      </c>
      <c r="X1979" t="s">
        <v>40</v>
      </c>
      <c r="Y1979" t="s">
        <v>41</v>
      </c>
      <c r="Z1979">
        <v>654.440214051373</v>
      </c>
    </row>
    <row r="1980" spans="1:26" x14ac:dyDescent="0.3">
      <c r="A1980" t="s">
        <v>24</v>
      </c>
      <c r="B1980" t="s">
        <v>2036</v>
      </c>
      <c r="C1980">
        <v>30.117139641861701</v>
      </c>
      <c r="D1980">
        <v>87</v>
      </c>
      <c r="E1980">
        <v>610</v>
      </c>
      <c r="F1980">
        <v>16534.309663381999</v>
      </c>
      <c r="G1980" t="s">
        <v>26</v>
      </c>
      <c r="H1980">
        <v>9</v>
      </c>
      <c r="I1980">
        <v>26</v>
      </c>
      <c r="J1980">
        <v>61</v>
      </c>
      <c r="K1980">
        <v>4</v>
      </c>
      <c r="L1980" t="s">
        <v>36</v>
      </c>
      <c r="M1980">
        <v>6.4908687515294696</v>
      </c>
      <c r="N1980" t="s">
        <v>28</v>
      </c>
      <c r="O1980" t="s">
        <v>65</v>
      </c>
      <c r="P1980">
        <f>VLOOKUP(O1980, Coordinates!$A$2:$C$6, 2, FALSE)</f>
        <v>41.878100000000003</v>
      </c>
      <c r="Q1980">
        <f>VLOOKUP(O1980, Coordinates!$A$2:$C$6, 3, FALSE)</f>
        <v>-87.629800000000003</v>
      </c>
      <c r="R1980">
        <v>19</v>
      </c>
      <c r="S1980">
        <v>982</v>
      </c>
      <c r="T1980">
        <v>18</v>
      </c>
      <c r="U1980">
        <v>75.328234515415303</v>
      </c>
      <c r="V1980" t="s">
        <v>30</v>
      </c>
      <c r="W1980">
        <v>1.5414959613854</v>
      </c>
      <c r="X1980" t="s">
        <v>40</v>
      </c>
      <c r="Y1980" t="s">
        <v>60</v>
      </c>
      <c r="Z1980">
        <v>574.20804857009603</v>
      </c>
    </row>
    <row r="1981" spans="1:26" x14ac:dyDescent="0.3">
      <c r="A1981" t="s">
        <v>82</v>
      </c>
      <c r="B1981" t="s">
        <v>2037</v>
      </c>
      <c r="D1981">
        <v>66</v>
      </c>
      <c r="E1981">
        <v>758</v>
      </c>
      <c r="F1981">
        <v>6104.467791</v>
      </c>
      <c r="G1981" t="s">
        <v>26</v>
      </c>
      <c r="H1981">
        <v>95</v>
      </c>
      <c r="I1981">
        <v>13</v>
      </c>
      <c r="J1981">
        <v>57</v>
      </c>
      <c r="K1981">
        <v>4</v>
      </c>
      <c r="L1981" t="s">
        <v>36</v>
      </c>
      <c r="M1981">
        <v>8.167898503</v>
      </c>
      <c r="N1981" t="s">
        <v>51</v>
      </c>
      <c r="O1981" t="s">
        <v>29</v>
      </c>
      <c r="P1981">
        <f>VLOOKUP(O1981, Coordinates!$A$2:$C$6, 2, FALSE)</f>
        <v>29.760400000000001</v>
      </c>
      <c r="Q1981">
        <f>VLOOKUP(O1981, Coordinates!$A$2:$C$6, 3, FALSE)</f>
        <v>-95.369799999999998</v>
      </c>
      <c r="R1981">
        <v>26</v>
      </c>
      <c r="S1981">
        <v>844</v>
      </c>
      <c r="T1981">
        <v>16</v>
      </c>
      <c r="U1981">
        <v>32.355176899999996</v>
      </c>
      <c r="V1981" t="s">
        <v>55</v>
      </c>
      <c r="W1981">
        <v>3.7612663839160199</v>
      </c>
      <c r="X1981" t="s">
        <v>52</v>
      </c>
      <c r="Y1981" t="s">
        <v>41</v>
      </c>
      <c r="Z1981">
        <v>507.12553656574801</v>
      </c>
    </row>
    <row r="1982" spans="1:26" x14ac:dyDescent="0.3">
      <c r="A1982" t="s">
        <v>42</v>
      </c>
      <c r="B1982" t="s">
        <v>2038</v>
      </c>
      <c r="C1982">
        <v>25.024237688695301</v>
      </c>
      <c r="D1982">
        <v>38</v>
      </c>
      <c r="E1982">
        <v>241</v>
      </c>
      <c r="F1982">
        <v>5980.8660504735399</v>
      </c>
      <c r="G1982" t="s">
        <v>35</v>
      </c>
      <c r="H1982">
        <v>52</v>
      </c>
      <c r="I1982">
        <v>19</v>
      </c>
      <c r="J1982">
        <v>97</v>
      </c>
      <c r="K1982">
        <v>4</v>
      </c>
      <c r="L1982" t="s">
        <v>44</v>
      </c>
      <c r="M1982">
        <v>11.6721904867468</v>
      </c>
      <c r="N1982" t="s">
        <v>45</v>
      </c>
      <c r="O1982" t="s">
        <v>38</v>
      </c>
      <c r="P1982">
        <f>VLOOKUP(O1982, Coordinates!$A$2:$C$6, 2, FALSE)</f>
        <v>25.761700000000001</v>
      </c>
      <c r="Q1982">
        <f>VLOOKUP(O1982, Coordinates!$A$2:$C$6, 3, FALSE)</f>
        <v>-80.191800000000001</v>
      </c>
      <c r="R1982">
        <v>30</v>
      </c>
      <c r="S1982">
        <v>541</v>
      </c>
      <c r="T1982">
        <v>10</v>
      </c>
      <c r="U1982">
        <v>33.489443386740497</v>
      </c>
      <c r="V1982" t="s">
        <v>39</v>
      </c>
      <c r="W1982">
        <v>4.5974616792653897</v>
      </c>
      <c r="X1982" t="s">
        <v>31</v>
      </c>
      <c r="Y1982" t="s">
        <v>32</v>
      </c>
      <c r="Z1982">
        <v>170.142953831738</v>
      </c>
    </row>
    <row r="1983" spans="1:26" x14ac:dyDescent="0.3">
      <c r="A1983" t="s">
        <v>49</v>
      </c>
      <c r="B1983" t="s">
        <v>2039</v>
      </c>
      <c r="C1983">
        <v>57.863339553418299</v>
      </c>
      <c r="D1983">
        <v>31</v>
      </c>
      <c r="E1983">
        <v>961</v>
      </c>
      <c r="F1983">
        <v>1286.71086275434</v>
      </c>
      <c r="G1983" t="s">
        <v>54</v>
      </c>
      <c r="H1983">
        <v>47</v>
      </c>
      <c r="I1983">
        <v>28</v>
      </c>
      <c r="J1983">
        <v>56</v>
      </c>
      <c r="K1983">
        <v>1</v>
      </c>
      <c r="L1983" t="s">
        <v>27</v>
      </c>
      <c r="M1983">
        <v>4.12470143608257</v>
      </c>
      <c r="N1983" t="s">
        <v>28</v>
      </c>
      <c r="O1983" t="s">
        <v>38</v>
      </c>
      <c r="P1983">
        <f>VLOOKUP(O1983, Coordinates!$A$2:$C$6, 2, FALSE)</f>
        <v>25.761700000000001</v>
      </c>
      <c r="Q1983">
        <f>VLOOKUP(O1983, Coordinates!$A$2:$C$6, 3, FALSE)</f>
        <v>-80.191800000000001</v>
      </c>
      <c r="R1983">
        <v>20</v>
      </c>
      <c r="S1983">
        <v>728</v>
      </c>
      <c r="T1983">
        <v>21</v>
      </c>
      <c r="U1983">
        <v>78.153289763006796</v>
      </c>
      <c r="V1983" t="s">
        <v>30</v>
      </c>
      <c r="W1983">
        <v>0.33045619781235502</v>
      </c>
      <c r="X1983" t="s">
        <v>40</v>
      </c>
      <c r="Y1983" t="s">
        <v>32</v>
      </c>
      <c r="Z1983">
        <v>587.14124277521603</v>
      </c>
    </row>
    <row r="1984" spans="1:26" x14ac:dyDescent="0.3">
      <c r="A1984" t="s">
        <v>49</v>
      </c>
      <c r="B1984" t="s">
        <v>2040</v>
      </c>
      <c r="C1984">
        <v>86.3668732624444</v>
      </c>
      <c r="D1984">
        <v>26</v>
      </c>
      <c r="E1984">
        <v>923</v>
      </c>
      <c r="F1984">
        <v>5223.7269672400598</v>
      </c>
      <c r="G1984" t="s">
        <v>26</v>
      </c>
      <c r="H1984">
        <v>30</v>
      </c>
      <c r="I1984">
        <v>6</v>
      </c>
      <c r="J1984">
        <v>69</v>
      </c>
      <c r="K1984">
        <v>9</v>
      </c>
      <c r="L1984" t="s">
        <v>44</v>
      </c>
      <c r="M1984">
        <v>7.1841148770370102</v>
      </c>
      <c r="N1984" t="s">
        <v>28</v>
      </c>
      <c r="O1984" t="s">
        <v>67</v>
      </c>
      <c r="P1984">
        <f>VLOOKUP(O1984, Coordinates!$A$2:$C$6, 2, FALSE)</f>
        <v>40.712800000000001</v>
      </c>
      <c r="Q1984">
        <f>VLOOKUP(O1984, Coordinates!$A$2:$C$6, 3, FALSE)</f>
        <v>-74.006</v>
      </c>
      <c r="R1984">
        <v>29</v>
      </c>
      <c r="S1984">
        <v>523</v>
      </c>
      <c r="T1984">
        <v>29</v>
      </c>
      <c r="U1984">
        <v>40.829253809999997</v>
      </c>
      <c r="V1984" t="s">
        <v>30</v>
      </c>
      <c r="W1984">
        <v>0.96302284653732395</v>
      </c>
      <c r="X1984" t="s">
        <v>40</v>
      </c>
      <c r="Y1984" t="s">
        <v>60</v>
      </c>
      <c r="Z1984">
        <v>741.42999143819804</v>
      </c>
    </row>
    <row r="1985" spans="1:26" x14ac:dyDescent="0.3">
      <c r="A1985" t="s">
        <v>61</v>
      </c>
      <c r="B1985" t="s">
        <v>2041</v>
      </c>
      <c r="C1985">
        <v>84.331264820000001</v>
      </c>
      <c r="D1985">
        <v>29</v>
      </c>
      <c r="E1985">
        <v>927</v>
      </c>
      <c r="F1985">
        <v>9321.6053605827492</v>
      </c>
      <c r="G1985" t="s">
        <v>35</v>
      </c>
      <c r="H1985">
        <v>36</v>
      </c>
      <c r="I1985">
        <v>24</v>
      </c>
      <c r="J1985">
        <v>82</v>
      </c>
      <c r="K1985">
        <v>10</v>
      </c>
      <c r="L1985" t="s">
        <v>27</v>
      </c>
      <c r="M1985">
        <v>11.3217616635431</v>
      </c>
      <c r="N1985" t="s">
        <v>45</v>
      </c>
      <c r="O1985" t="s">
        <v>38</v>
      </c>
      <c r="P1985">
        <f>VLOOKUP(O1985, Coordinates!$A$2:$C$6, 2, FALSE)</f>
        <v>25.761700000000001</v>
      </c>
      <c r="Q1985">
        <f>VLOOKUP(O1985, Coordinates!$A$2:$C$6, 3, FALSE)</f>
        <v>-80.191800000000001</v>
      </c>
      <c r="R1985">
        <v>28</v>
      </c>
      <c r="S1985">
        <v>599</v>
      </c>
      <c r="T1985">
        <v>3</v>
      </c>
      <c r="U1985">
        <v>14.625970564519999</v>
      </c>
      <c r="V1985" t="s">
        <v>39</v>
      </c>
      <c r="W1985">
        <v>3.90180291167627</v>
      </c>
      <c r="X1985" t="s">
        <v>31</v>
      </c>
      <c r="Y1985" t="s">
        <v>32</v>
      </c>
      <c r="Z1985">
        <v>293.79443025360501</v>
      </c>
    </row>
    <row r="1986" spans="1:26" x14ac:dyDescent="0.3">
      <c r="A1986" t="s">
        <v>33</v>
      </c>
      <c r="B1986" t="s">
        <v>2042</v>
      </c>
      <c r="C1986">
        <v>93.098742155698204</v>
      </c>
      <c r="D1986">
        <v>67</v>
      </c>
      <c r="E1986">
        <v>570</v>
      </c>
      <c r="F1986">
        <v>4578.3268239999998</v>
      </c>
      <c r="G1986" t="s">
        <v>26</v>
      </c>
      <c r="H1986">
        <v>27</v>
      </c>
      <c r="I1986">
        <v>13</v>
      </c>
      <c r="J1986">
        <v>12</v>
      </c>
      <c r="K1986">
        <v>7</v>
      </c>
      <c r="L1986" t="s">
        <v>27</v>
      </c>
      <c r="M1986">
        <v>6.5354946897197799</v>
      </c>
      <c r="N1986" t="s">
        <v>28</v>
      </c>
      <c r="O1986" t="s">
        <v>65</v>
      </c>
      <c r="P1986">
        <f>VLOOKUP(O1986, Coordinates!$A$2:$C$6, 2, FALSE)</f>
        <v>41.878100000000003</v>
      </c>
      <c r="Q1986">
        <f>VLOOKUP(O1986, Coordinates!$A$2:$C$6, 3, FALSE)</f>
        <v>-87.629800000000003</v>
      </c>
      <c r="R1986">
        <v>6</v>
      </c>
      <c r="S1986">
        <v>487</v>
      </c>
      <c r="T1986">
        <v>25</v>
      </c>
      <c r="U1986">
        <v>40.930955730548199</v>
      </c>
      <c r="V1986" t="s">
        <v>30</v>
      </c>
      <c r="W1986">
        <v>2.0780641830043298</v>
      </c>
      <c r="X1986" t="s">
        <v>46</v>
      </c>
      <c r="Y1986" t="s">
        <v>32</v>
      </c>
      <c r="Z1986">
        <v>800.05164941449402</v>
      </c>
    </row>
    <row r="1987" spans="1:26" x14ac:dyDescent="0.3">
      <c r="A1987" t="s">
        <v>24</v>
      </c>
      <c r="B1987" t="s">
        <v>2043</v>
      </c>
      <c r="C1987">
        <v>30.092726474505501</v>
      </c>
      <c r="D1987">
        <v>78</v>
      </c>
      <c r="E1987">
        <v>142</v>
      </c>
      <c r="F1987">
        <v>3845.8504434418101</v>
      </c>
      <c r="G1987" t="s">
        <v>48</v>
      </c>
      <c r="H1987">
        <v>30</v>
      </c>
      <c r="I1987">
        <v>28</v>
      </c>
      <c r="J1987">
        <v>18</v>
      </c>
      <c r="K1987">
        <v>2</v>
      </c>
      <c r="L1987" t="s">
        <v>36</v>
      </c>
      <c r="M1987">
        <v>1.447951309</v>
      </c>
      <c r="N1987" t="s">
        <v>37</v>
      </c>
      <c r="O1987" t="s">
        <v>67</v>
      </c>
      <c r="P1987">
        <f>VLOOKUP(O1987, Coordinates!$A$2:$C$6, 2, FALSE)</f>
        <v>40.712800000000001</v>
      </c>
      <c r="Q1987">
        <f>VLOOKUP(O1987, Coordinates!$A$2:$C$6, 3, FALSE)</f>
        <v>-74.006</v>
      </c>
      <c r="R1987">
        <v>29</v>
      </c>
      <c r="S1987">
        <v>675</v>
      </c>
      <c r="T1987">
        <v>10</v>
      </c>
      <c r="U1987">
        <v>89.343596690181499</v>
      </c>
      <c r="V1987" t="s">
        <v>55</v>
      </c>
      <c r="W1987">
        <v>2.3836793268652201</v>
      </c>
      <c r="X1987" t="s">
        <v>31</v>
      </c>
      <c r="Y1987" t="s">
        <v>60</v>
      </c>
      <c r="Z1987">
        <v>627.78725683491098</v>
      </c>
    </row>
    <row r="1988" spans="1:26" x14ac:dyDescent="0.3">
      <c r="A1988" t="s">
        <v>72</v>
      </c>
      <c r="B1988" t="s">
        <v>2044</v>
      </c>
      <c r="C1988">
        <v>35.490683402269902</v>
      </c>
      <c r="D1988">
        <v>25</v>
      </c>
      <c r="E1988">
        <v>477</v>
      </c>
      <c r="F1988">
        <v>15236.150384594401</v>
      </c>
      <c r="G1988" t="s">
        <v>48</v>
      </c>
      <c r="H1988">
        <v>69</v>
      </c>
      <c r="I1988">
        <v>4</v>
      </c>
      <c r="J1988">
        <v>91</v>
      </c>
      <c r="K1988">
        <v>3</v>
      </c>
      <c r="L1988" t="s">
        <v>27</v>
      </c>
      <c r="M1988">
        <v>8.1035218667716702</v>
      </c>
      <c r="N1988" t="s">
        <v>51</v>
      </c>
      <c r="O1988" t="s">
        <v>29</v>
      </c>
      <c r="P1988">
        <f>VLOOKUP(O1988, Coordinates!$A$2:$C$6, 2, FALSE)</f>
        <v>29.760400000000001</v>
      </c>
      <c r="Q1988">
        <f>VLOOKUP(O1988, Coordinates!$A$2:$C$6, 3, FALSE)</f>
        <v>-95.369799999999998</v>
      </c>
      <c r="R1988">
        <v>15</v>
      </c>
      <c r="S1988">
        <v>787</v>
      </c>
      <c r="T1988">
        <v>25</v>
      </c>
      <c r="U1988">
        <v>92.893109026036797</v>
      </c>
      <c r="V1988" t="s">
        <v>30</v>
      </c>
      <c r="W1988">
        <v>0.84011920831283204</v>
      </c>
      <c r="X1988" t="s">
        <v>52</v>
      </c>
      <c r="Y1988" t="s">
        <v>32</v>
      </c>
      <c r="Z1988">
        <v>313.76886263035601</v>
      </c>
    </row>
    <row r="1989" spans="1:26" x14ac:dyDescent="0.3">
      <c r="A1989" t="s">
        <v>49</v>
      </c>
      <c r="B1989" t="s">
        <v>2045</v>
      </c>
      <c r="C1989">
        <v>76.195470568176802</v>
      </c>
      <c r="D1989">
        <v>48</v>
      </c>
      <c r="E1989">
        <v>849</v>
      </c>
      <c r="F1989">
        <v>8055.3275122769801</v>
      </c>
      <c r="G1989" t="s">
        <v>48</v>
      </c>
      <c r="H1989">
        <v>13</v>
      </c>
      <c r="I1989">
        <v>25</v>
      </c>
      <c r="J1989">
        <v>92</v>
      </c>
      <c r="K1989">
        <v>8</v>
      </c>
      <c r="L1989" t="s">
        <v>36</v>
      </c>
      <c r="M1989">
        <v>11.323756275553601</v>
      </c>
      <c r="N1989" t="s">
        <v>57</v>
      </c>
      <c r="O1989" t="s">
        <v>38</v>
      </c>
      <c r="P1989">
        <f>VLOOKUP(O1989, Coordinates!$A$2:$C$6, 2, FALSE)</f>
        <v>25.761700000000001</v>
      </c>
      <c r="Q1989">
        <f>VLOOKUP(O1989, Coordinates!$A$2:$C$6, 3, FALSE)</f>
        <v>-80.191800000000001</v>
      </c>
      <c r="R1989">
        <v>4</v>
      </c>
      <c r="S1989">
        <v>553</v>
      </c>
      <c r="T1989">
        <v>24</v>
      </c>
      <c r="U1989">
        <v>96.574301325312504</v>
      </c>
      <c r="V1989" t="s">
        <v>30</v>
      </c>
      <c r="W1989">
        <v>4.9744739825049598</v>
      </c>
      <c r="X1989" t="s">
        <v>31</v>
      </c>
      <c r="Y1989" t="s">
        <v>60</v>
      </c>
      <c r="Z1989">
        <v>246.65614518280799</v>
      </c>
    </row>
    <row r="1990" spans="1:26" x14ac:dyDescent="0.3">
      <c r="A1990" t="s">
        <v>42</v>
      </c>
      <c r="B1990" t="s">
        <v>2046</v>
      </c>
      <c r="C1990">
        <v>45.955678484215397</v>
      </c>
      <c r="D1990">
        <v>65</v>
      </c>
      <c r="E1990">
        <v>788</v>
      </c>
      <c r="F1990">
        <v>5673.5207415574396</v>
      </c>
      <c r="G1990" t="s">
        <v>48</v>
      </c>
      <c r="H1990">
        <v>86</v>
      </c>
      <c r="I1990">
        <v>22</v>
      </c>
      <c r="J1990">
        <v>33</v>
      </c>
      <c r="K1990">
        <v>7</v>
      </c>
      <c r="L1990" t="s">
        <v>27</v>
      </c>
      <c r="M1990">
        <v>14.675429728583801</v>
      </c>
      <c r="N1990" t="s">
        <v>37</v>
      </c>
      <c r="O1990" t="s">
        <v>58</v>
      </c>
      <c r="P1990">
        <f>VLOOKUP(O1990, Coordinates!$A$2:$C$6, 2, FALSE)</f>
        <v>34.052199999999999</v>
      </c>
      <c r="Q1990">
        <f>VLOOKUP(O1990, Coordinates!$A$2:$C$6, 3, FALSE)</f>
        <v>-118.2437</v>
      </c>
      <c r="R1990">
        <v>6</v>
      </c>
      <c r="S1990">
        <v>694</v>
      </c>
      <c r="T1990">
        <v>13</v>
      </c>
      <c r="U1990">
        <v>77.159837932747806</v>
      </c>
      <c r="V1990" t="s">
        <v>30</v>
      </c>
      <c r="W1990">
        <v>4.6152384140000002</v>
      </c>
      <c r="X1990" t="s">
        <v>46</v>
      </c>
      <c r="Y1990" t="s">
        <v>32</v>
      </c>
      <c r="Z1990">
        <v>320.86130616891501</v>
      </c>
    </row>
    <row r="1991" spans="1:26" x14ac:dyDescent="0.3">
      <c r="A1991" t="s">
        <v>61</v>
      </c>
      <c r="B1991" t="s">
        <v>2047</v>
      </c>
      <c r="C1991">
        <v>13.3171230826391</v>
      </c>
      <c r="D1991">
        <v>53</v>
      </c>
      <c r="E1991">
        <v>557</v>
      </c>
      <c r="F1991">
        <v>8721.5675086210194</v>
      </c>
      <c r="G1991" t="s">
        <v>54</v>
      </c>
      <c r="H1991">
        <v>15</v>
      </c>
      <c r="I1991">
        <v>5</v>
      </c>
      <c r="J1991">
        <v>13</v>
      </c>
      <c r="K1991">
        <v>4</v>
      </c>
      <c r="L1991" t="s">
        <v>27</v>
      </c>
      <c r="M1991">
        <v>1.5186461449999999</v>
      </c>
      <c r="N1991" t="s">
        <v>57</v>
      </c>
      <c r="O1991" t="s">
        <v>29</v>
      </c>
      <c r="P1991">
        <f>VLOOKUP(O1991, Coordinates!$A$2:$C$6, 2, FALSE)</f>
        <v>29.760400000000001</v>
      </c>
      <c r="Q1991">
        <f>VLOOKUP(O1991, Coordinates!$A$2:$C$6, 3, FALSE)</f>
        <v>-95.369799999999998</v>
      </c>
      <c r="R1991">
        <v>2</v>
      </c>
      <c r="S1991">
        <v>101</v>
      </c>
      <c r="T1991">
        <v>21</v>
      </c>
      <c r="U1991">
        <v>48.5966448475153</v>
      </c>
      <c r="V1991" t="s">
        <v>30</v>
      </c>
      <c r="W1991">
        <v>1.01233549112184E-2</v>
      </c>
      <c r="X1991" t="s">
        <v>46</v>
      </c>
      <c r="Y1991" t="s">
        <v>60</v>
      </c>
      <c r="Z1991">
        <v>783.17748818667098</v>
      </c>
    </row>
    <row r="1992" spans="1:26" x14ac:dyDescent="0.3">
      <c r="A1992" t="s">
        <v>61</v>
      </c>
      <c r="B1992" t="s">
        <v>2048</v>
      </c>
      <c r="C1992">
        <v>31.866107413697399</v>
      </c>
      <c r="D1992">
        <v>67</v>
      </c>
      <c r="E1992">
        <v>614</v>
      </c>
      <c r="F1992">
        <v>4522.4028402737204</v>
      </c>
      <c r="G1992" t="s">
        <v>48</v>
      </c>
      <c r="H1992">
        <v>24</v>
      </c>
      <c r="I1992">
        <v>19</v>
      </c>
      <c r="J1992">
        <v>18</v>
      </c>
      <c r="K1992">
        <v>4</v>
      </c>
      <c r="L1992" t="s">
        <v>36</v>
      </c>
      <c r="M1992">
        <v>8.5588884299999997</v>
      </c>
      <c r="N1992" t="s">
        <v>37</v>
      </c>
      <c r="O1992" t="s">
        <v>29</v>
      </c>
      <c r="P1992">
        <f>VLOOKUP(O1992, Coordinates!$A$2:$C$6, 2, FALSE)</f>
        <v>29.760400000000001</v>
      </c>
      <c r="Q1992">
        <f>VLOOKUP(O1992, Coordinates!$A$2:$C$6, 3, FALSE)</f>
        <v>-95.369799999999998</v>
      </c>
      <c r="R1992">
        <v>4</v>
      </c>
      <c r="S1992">
        <v>910</v>
      </c>
      <c r="T1992">
        <v>10</v>
      </c>
      <c r="U1992">
        <v>36.920735128446097</v>
      </c>
      <c r="V1992" t="s">
        <v>55</v>
      </c>
      <c r="W1992">
        <v>2.7536734132894201</v>
      </c>
      <c r="X1992" t="s">
        <v>31</v>
      </c>
      <c r="Y1992" t="s">
        <v>60</v>
      </c>
      <c r="Z1992">
        <v>325.46068698317299</v>
      </c>
    </row>
    <row r="1993" spans="1:26" x14ac:dyDescent="0.3">
      <c r="A1993" t="s">
        <v>72</v>
      </c>
      <c r="B1993" t="s">
        <v>2049</v>
      </c>
      <c r="C1993">
        <v>21.346598510366</v>
      </c>
      <c r="D1993">
        <v>90</v>
      </c>
      <c r="E1993">
        <v>699</v>
      </c>
      <c r="F1993">
        <v>13429.145122871299</v>
      </c>
      <c r="G1993" t="s">
        <v>35</v>
      </c>
      <c r="H1993">
        <v>38</v>
      </c>
      <c r="I1993">
        <v>5</v>
      </c>
      <c r="J1993">
        <v>10</v>
      </c>
      <c r="K1993">
        <v>9</v>
      </c>
      <c r="L1993" t="s">
        <v>27</v>
      </c>
      <c r="M1993">
        <v>7.2991412699453999</v>
      </c>
      <c r="N1993" t="s">
        <v>37</v>
      </c>
      <c r="O1993" t="s">
        <v>65</v>
      </c>
      <c r="P1993">
        <f>VLOOKUP(O1993, Coordinates!$A$2:$C$6, 2, FALSE)</f>
        <v>41.878100000000003</v>
      </c>
      <c r="Q1993">
        <f>VLOOKUP(O1993, Coordinates!$A$2:$C$6, 3, FALSE)</f>
        <v>-87.629800000000003</v>
      </c>
      <c r="R1993">
        <v>18</v>
      </c>
      <c r="S1993">
        <v>828</v>
      </c>
      <c r="T1993">
        <v>11</v>
      </c>
      <c r="U1993">
        <v>89.785712512142396</v>
      </c>
      <c r="V1993" t="s">
        <v>55</v>
      </c>
      <c r="W1993">
        <v>4.3613369180157697</v>
      </c>
      <c r="X1993" t="s">
        <v>40</v>
      </c>
      <c r="Y1993" t="s">
        <v>41</v>
      </c>
      <c r="Z1993">
        <v>714.90134673993396</v>
      </c>
    </row>
    <row r="1994" spans="1:26" x14ac:dyDescent="0.3">
      <c r="A1994" t="s">
        <v>42</v>
      </c>
      <c r="B1994" t="s">
        <v>2050</v>
      </c>
      <c r="C1994">
        <v>32.789060420243899</v>
      </c>
      <c r="D1994">
        <v>18</v>
      </c>
      <c r="E1994">
        <v>972</v>
      </c>
      <c r="F1994">
        <v>3162.0444975598998</v>
      </c>
      <c r="G1994" t="s">
        <v>26</v>
      </c>
      <c r="H1994">
        <v>1</v>
      </c>
      <c r="I1994">
        <v>26</v>
      </c>
      <c r="J1994">
        <v>44</v>
      </c>
      <c r="K1994">
        <v>5</v>
      </c>
      <c r="L1994" t="s">
        <v>44</v>
      </c>
      <c r="M1994">
        <v>4.3942830500000003</v>
      </c>
      <c r="N1994" t="s">
        <v>37</v>
      </c>
      <c r="O1994" t="s">
        <v>67</v>
      </c>
      <c r="P1994">
        <f>VLOOKUP(O1994, Coordinates!$A$2:$C$6, 2, FALSE)</f>
        <v>40.712800000000001</v>
      </c>
      <c r="Q1994">
        <f>VLOOKUP(O1994, Coordinates!$A$2:$C$6, 3, FALSE)</f>
        <v>-74.006</v>
      </c>
      <c r="R1994">
        <v>15</v>
      </c>
      <c r="S1994">
        <v>341</v>
      </c>
      <c r="T1994">
        <v>7</v>
      </c>
      <c r="U1994">
        <v>66.491779100000002</v>
      </c>
      <c r="V1994" t="s">
        <v>30</v>
      </c>
      <c r="W1994">
        <v>2.1526680311697999</v>
      </c>
      <c r="X1994" t="s">
        <v>46</v>
      </c>
      <c r="Y1994" t="s">
        <v>60</v>
      </c>
      <c r="Z1994">
        <v>591.23487155210603</v>
      </c>
    </row>
    <row r="1995" spans="1:26" x14ac:dyDescent="0.3">
      <c r="A1995" t="s">
        <v>33</v>
      </c>
      <c r="B1995" t="s">
        <v>2051</v>
      </c>
      <c r="C1995">
        <v>36.559529239995499</v>
      </c>
      <c r="D1995">
        <v>9</v>
      </c>
      <c r="E1995">
        <v>233</v>
      </c>
      <c r="F1995">
        <v>3521.94766291513</v>
      </c>
      <c r="G1995" t="s">
        <v>35</v>
      </c>
      <c r="H1995">
        <v>37</v>
      </c>
      <c r="I1995">
        <v>14</v>
      </c>
      <c r="J1995">
        <v>83</v>
      </c>
      <c r="K1995">
        <v>5</v>
      </c>
      <c r="L1995" t="s">
        <v>27</v>
      </c>
      <c r="M1995">
        <v>9.9286780806613208</v>
      </c>
      <c r="N1995" t="s">
        <v>51</v>
      </c>
      <c r="O1995" t="s">
        <v>58</v>
      </c>
      <c r="P1995">
        <f>VLOOKUP(O1995, Coordinates!$A$2:$C$6, 2, FALSE)</f>
        <v>34.052199999999999</v>
      </c>
      <c r="Q1995">
        <f>VLOOKUP(O1995, Coordinates!$A$2:$C$6, 3, FALSE)</f>
        <v>-118.2437</v>
      </c>
      <c r="R1995">
        <v>12</v>
      </c>
      <c r="S1995">
        <v>908</v>
      </c>
      <c r="T1995">
        <v>2</v>
      </c>
      <c r="U1995">
        <v>55.889498269810503</v>
      </c>
      <c r="V1995" t="s">
        <v>55</v>
      </c>
      <c r="W1995">
        <v>2.1840712928834201</v>
      </c>
      <c r="X1995" t="s">
        <v>52</v>
      </c>
      <c r="Y1995" t="s">
        <v>32</v>
      </c>
      <c r="Z1995">
        <v>592.16100326858304</v>
      </c>
    </row>
    <row r="1996" spans="1:26" x14ac:dyDescent="0.3">
      <c r="A1996" t="s">
        <v>42</v>
      </c>
      <c r="B1996" t="s">
        <v>2052</v>
      </c>
      <c r="C1996">
        <v>32.908711086567102</v>
      </c>
      <c r="D1996">
        <v>38</v>
      </c>
      <c r="E1996">
        <v>321</v>
      </c>
      <c r="F1996">
        <v>1478.0856180000001</v>
      </c>
      <c r="G1996" t="s">
        <v>48</v>
      </c>
      <c r="H1996">
        <v>40</v>
      </c>
      <c r="I1996">
        <v>28</v>
      </c>
      <c r="J1996">
        <v>21</v>
      </c>
      <c r="K1996">
        <v>7</v>
      </c>
      <c r="L1996" t="s">
        <v>36</v>
      </c>
      <c r="M1996">
        <v>3.2907148999809399</v>
      </c>
      <c r="N1996" t="s">
        <v>57</v>
      </c>
      <c r="O1996" t="s">
        <v>58</v>
      </c>
      <c r="P1996">
        <f>VLOOKUP(O1996, Coordinates!$A$2:$C$6, 2, FALSE)</f>
        <v>34.052199999999999</v>
      </c>
      <c r="Q1996">
        <f>VLOOKUP(O1996, Coordinates!$A$2:$C$6, 3, FALSE)</f>
        <v>-118.2437</v>
      </c>
      <c r="R1996">
        <v>8</v>
      </c>
      <c r="S1996">
        <v>159</v>
      </c>
      <c r="T1996">
        <v>19</v>
      </c>
      <c r="U1996">
        <v>70.993136479972705</v>
      </c>
      <c r="V1996" t="s">
        <v>55</v>
      </c>
      <c r="W1996">
        <v>1.89673578363144</v>
      </c>
      <c r="X1996" t="s">
        <v>40</v>
      </c>
      <c r="Y1996" t="s">
        <v>41</v>
      </c>
      <c r="Z1996">
        <v>867.33938958895203</v>
      </c>
    </row>
    <row r="1997" spans="1:26" x14ac:dyDescent="0.3">
      <c r="A1997" t="s">
        <v>33</v>
      </c>
      <c r="B1997" t="s">
        <v>2053</v>
      </c>
      <c r="D1997">
        <v>87</v>
      </c>
      <c r="E1997">
        <v>602</v>
      </c>
      <c r="F1997">
        <v>8160.2365288805404</v>
      </c>
      <c r="G1997" t="s">
        <v>54</v>
      </c>
      <c r="H1997">
        <v>97</v>
      </c>
      <c r="I1997">
        <v>28</v>
      </c>
      <c r="J1997">
        <v>27</v>
      </c>
      <c r="K1997">
        <v>1</v>
      </c>
      <c r="L1997" t="s">
        <v>36</v>
      </c>
      <c r="M1997">
        <v>4.9741067424079297</v>
      </c>
      <c r="N1997" t="s">
        <v>45</v>
      </c>
      <c r="O1997" t="s">
        <v>38</v>
      </c>
      <c r="P1997">
        <f>VLOOKUP(O1997, Coordinates!$A$2:$C$6, 2, FALSE)</f>
        <v>25.761700000000001</v>
      </c>
      <c r="Q1997">
        <f>VLOOKUP(O1997, Coordinates!$A$2:$C$6, 3, FALSE)</f>
        <v>-80.191800000000001</v>
      </c>
      <c r="R1997">
        <v>30</v>
      </c>
      <c r="S1997">
        <v>467</v>
      </c>
      <c r="T1997">
        <v>28</v>
      </c>
      <c r="U1997">
        <v>31.341984080956198</v>
      </c>
      <c r="V1997" t="s">
        <v>39</v>
      </c>
      <c r="W1997">
        <v>4.1935658478579603</v>
      </c>
      <c r="X1997" t="s">
        <v>52</v>
      </c>
      <c r="Y1997" t="s">
        <v>41</v>
      </c>
      <c r="Z1997">
        <v>887.25440921271502</v>
      </c>
    </row>
    <row r="1998" spans="1:26" x14ac:dyDescent="0.3">
      <c r="A1998" t="s">
        <v>42</v>
      </c>
      <c r="B1998" t="s">
        <v>2054</v>
      </c>
      <c r="D1998">
        <v>21</v>
      </c>
      <c r="E1998">
        <v>772</v>
      </c>
      <c r="F1998">
        <v>4753.4971260000002</v>
      </c>
      <c r="G1998" t="s">
        <v>48</v>
      </c>
      <c r="H1998">
        <v>39</v>
      </c>
      <c r="I1998">
        <v>4</v>
      </c>
      <c r="J1998">
        <v>87</v>
      </c>
      <c r="K1998">
        <v>3</v>
      </c>
      <c r="L1998" t="s">
        <v>44</v>
      </c>
      <c r="M1998">
        <v>11.944603462451701</v>
      </c>
      <c r="N1998" t="s">
        <v>45</v>
      </c>
      <c r="O1998" t="s">
        <v>38</v>
      </c>
      <c r="P1998">
        <f>VLOOKUP(O1998, Coordinates!$A$2:$C$6, 2, FALSE)</f>
        <v>25.761700000000001</v>
      </c>
      <c r="Q1998">
        <f>VLOOKUP(O1998, Coordinates!$A$2:$C$6, 3, FALSE)</f>
        <v>-80.191800000000001</v>
      </c>
      <c r="R1998">
        <v>28</v>
      </c>
      <c r="S1998">
        <v>814</v>
      </c>
      <c r="T1998">
        <v>27</v>
      </c>
      <c r="U1998">
        <v>39.127975129895098</v>
      </c>
      <c r="V1998" t="s">
        <v>39</v>
      </c>
      <c r="W1998">
        <v>4.2802132145801899</v>
      </c>
      <c r="X1998" t="s">
        <v>52</v>
      </c>
      <c r="Y1998" t="s">
        <v>41</v>
      </c>
      <c r="Z1998">
        <v>583.218055554221</v>
      </c>
    </row>
    <row r="1999" spans="1:26" x14ac:dyDescent="0.3">
      <c r="A1999" t="s">
        <v>42</v>
      </c>
      <c r="B1999" t="s">
        <v>2055</v>
      </c>
      <c r="C1999">
        <v>61.742779933579499</v>
      </c>
      <c r="D1999">
        <v>65</v>
      </c>
      <c r="E1999">
        <v>832</v>
      </c>
      <c r="F1999">
        <v>3062.0495252025898</v>
      </c>
      <c r="G1999" t="s">
        <v>48</v>
      </c>
      <c r="H1999">
        <v>5</v>
      </c>
      <c r="I1999">
        <v>29</v>
      </c>
      <c r="J1999">
        <v>19</v>
      </c>
      <c r="K1999">
        <v>2</v>
      </c>
      <c r="L1999" t="s">
        <v>27</v>
      </c>
      <c r="M1999">
        <v>7.4457643603577601</v>
      </c>
      <c r="N1999" t="s">
        <v>28</v>
      </c>
      <c r="O1999" t="s">
        <v>67</v>
      </c>
      <c r="P1999">
        <f>VLOOKUP(O1999, Coordinates!$A$2:$C$6, 2, FALSE)</f>
        <v>40.712800000000001</v>
      </c>
      <c r="Q1999">
        <f>VLOOKUP(O1999, Coordinates!$A$2:$C$6, 3, FALSE)</f>
        <v>-74.006</v>
      </c>
      <c r="R1999">
        <v>7</v>
      </c>
      <c r="S1999">
        <v>139</v>
      </c>
      <c r="T1999">
        <v>18</v>
      </c>
      <c r="U1999">
        <v>36.288581454877502</v>
      </c>
      <c r="V1999" t="s">
        <v>39</v>
      </c>
      <c r="W1999">
        <v>2.28392601695547</v>
      </c>
      <c r="X1999" t="s">
        <v>52</v>
      </c>
      <c r="Y1999" t="s">
        <v>60</v>
      </c>
      <c r="Z1999">
        <v>158.76151454388301</v>
      </c>
    </row>
    <row r="2000" spans="1:26" x14ac:dyDescent="0.3">
      <c r="A2000" t="s">
        <v>82</v>
      </c>
      <c r="B2000" t="s">
        <v>2056</v>
      </c>
      <c r="C2000">
        <v>67.071432355474599</v>
      </c>
      <c r="D2000">
        <v>21</v>
      </c>
      <c r="E2000">
        <v>731</v>
      </c>
      <c r="F2000">
        <v>3086.1124985492102</v>
      </c>
      <c r="G2000" t="s">
        <v>54</v>
      </c>
      <c r="H2000">
        <v>88</v>
      </c>
      <c r="I2000">
        <v>6</v>
      </c>
      <c r="J2000">
        <v>83</v>
      </c>
      <c r="K2000">
        <v>10</v>
      </c>
      <c r="L2000" t="s">
        <v>44</v>
      </c>
      <c r="M2000">
        <v>14.911389056878299</v>
      </c>
      <c r="N2000" t="s">
        <v>51</v>
      </c>
      <c r="O2000" t="s">
        <v>38</v>
      </c>
      <c r="P2000">
        <f>VLOOKUP(O2000, Coordinates!$A$2:$C$6, 2, FALSE)</f>
        <v>25.761700000000001</v>
      </c>
      <c r="Q2000">
        <f>VLOOKUP(O2000, Coordinates!$A$2:$C$6, 3, FALSE)</f>
        <v>-80.191800000000001</v>
      </c>
      <c r="R2000">
        <v>22</v>
      </c>
      <c r="S2000">
        <v>414</v>
      </c>
      <c r="T2000">
        <v>26</v>
      </c>
      <c r="U2000">
        <v>81.7886657956969</v>
      </c>
      <c r="V2000" t="s">
        <v>30</v>
      </c>
      <c r="W2000">
        <v>2.65532819201862</v>
      </c>
      <c r="X2000" t="s">
        <v>52</v>
      </c>
      <c r="Y2000" t="s">
        <v>60</v>
      </c>
      <c r="Z2000">
        <v>245.06617309881401</v>
      </c>
    </row>
    <row r="2001" spans="1:26" x14ac:dyDescent="0.3">
      <c r="A2001" t="s">
        <v>61</v>
      </c>
      <c r="B2001" t="s">
        <v>2057</v>
      </c>
      <c r="C2001">
        <v>23.269440123194599</v>
      </c>
      <c r="D2001">
        <v>27</v>
      </c>
      <c r="E2001">
        <v>890</v>
      </c>
      <c r="F2001">
        <v>9112.5994710630894</v>
      </c>
      <c r="G2001" t="s">
        <v>54</v>
      </c>
      <c r="H2001">
        <v>99</v>
      </c>
      <c r="I2001">
        <v>19</v>
      </c>
      <c r="J2001">
        <v>27</v>
      </c>
      <c r="K2001">
        <v>6</v>
      </c>
      <c r="L2001" t="s">
        <v>27</v>
      </c>
      <c r="M2001">
        <v>6.4104504180831103</v>
      </c>
      <c r="N2001" t="s">
        <v>51</v>
      </c>
      <c r="O2001" t="s">
        <v>58</v>
      </c>
      <c r="P2001">
        <f>VLOOKUP(O2001, Coordinates!$A$2:$C$6, 2, FALSE)</f>
        <v>34.052199999999999</v>
      </c>
      <c r="Q2001">
        <f>VLOOKUP(O2001, Coordinates!$A$2:$C$6, 3, FALSE)</f>
        <v>-118.2437</v>
      </c>
      <c r="R2001">
        <v>8</v>
      </c>
      <c r="S2001">
        <v>656</v>
      </c>
      <c r="T2001">
        <v>11</v>
      </c>
      <c r="U2001">
        <v>25.410683337701201</v>
      </c>
      <c r="V2001" t="s">
        <v>30</v>
      </c>
      <c r="W2001">
        <v>1.27842558403319</v>
      </c>
      <c r="X2001" t="s">
        <v>46</v>
      </c>
      <c r="Y2001" t="s">
        <v>41</v>
      </c>
      <c r="Z2001">
        <v>953.80070937283494</v>
      </c>
    </row>
    <row r="2002" spans="1:26" x14ac:dyDescent="0.3">
      <c r="A2002" t="s">
        <v>42</v>
      </c>
      <c r="B2002" t="s">
        <v>2058</v>
      </c>
      <c r="C2002">
        <v>33.087181453186098</v>
      </c>
      <c r="D2002">
        <v>70</v>
      </c>
      <c r="E2002">
        <v>616</v>
      </c>
      <c r="F2002">
        <v>8505.2494041493301</v>
      </c>
      <c r="G2002" t="s">
        <v>54</v>
      </c>
      <c r="H2002">
        <v>15</v>
      </c>
      <c r="I2002">
        <v>10</v>
      </c>
      <c r="J2002">
        <v>33</v>
      </c>
      <c r="K2002">
        <v>6</v>
      </c>
      <c r="L2002" t="s">
        <v>44</v>
      </c>
      <c r="M2002">
        <v>7.4856549254030202</v>
      </c>
      <c r="N2002" t="s">
        <v>51</v>
      </c>
      <c r="O2002" t="s">
        <v>65</v>
      </c>
      <c r="P2002">
        <f>VLOOKUP(O2002, Coordinates!$A$2:$C$6, 2, FALSE)</f>
        <v>41.878100000000003</v>
      </c>
      <c r="Q2002">
        <f>VLOOKUP(O2002, Coordinates!$A$2:$C$6, 3, FALSE)</f>
        <v>-87.629800000000003</v>
      </c>
      <c r="R2002">
        <v>20</v>
      </c>
      <c r="S2002">
        <v>397</v>
      </c>
      <c r="T2002">
        <v>17</v>
      </c>
      <c r="U2002">
        <v>64.762490529999994</v>
      </c>
      <c r="V2002" t="s">
        <v>55</v>
      </c>
      <c r="W2002">
        <v>3.92059246033409</v>
      </c>
      <c r="X2002" t="s">
        <v>40</v>
      </c>
      <c r="Y2002" t="s">
        <v>60</v>
      </c>
      <c r="Z2002">
        <v>221.21892001602501</v>
      </c>
    </row>
    <row r="2003" spans="1:26" x14ac:dyDescent="0.3">
      <c r="A2003" t="s">
        <v>72</v>
      </c>
      <c r="B2003" t="s">
        <v>2059</v>
      </c>
      <c r="C2003">
        <v>29.0498121616269</v>
      </c>
      <c r="D2003">
        <v>44</v>
      </c>
      <c r="E2003">
        <v>565</v>
      </c>
      <c r="F2003">
        <v>14771.829484187299</v>
      </c>
      <c r="G2003" t="s">
        <v>54</v>
      </c>
      <c r="H2003">
        <v>81</v>
      </c>
      <c r="I2003">
        <v>1</v>
      </c>
      <c r="J2003">
        <v>10</v>
      </c>
      <c r="K2003">
        <v>10</v>
      </c>
      <c r="L2003" t="s">
        <v>36</v>
      </c>
      <c r="M2003">
        <v>5.2036086692394701</v>
      </c>
      <c r="N2003" t="s">
        <v>37</v>
      </c>
      <c r="O2003" t="s">
        <v>29</v>
      </c>
      <c r="P2003">
        <f>VLOOKUP(O2003, Coordinates!$A$2:$C$6, 2, FALSE)</f>
        <v>29.760400000000001</v>
      </c>
      <c r="Q2003">
        <f>VLOOKUP(O2003, Coordinates!$A$2:$C$6, 3, FALSE)</f>
        <v>-95.369799999999998</v>
      </c>
      <c r="R2003">
        <v>10</v>
      </c>
      <c r="S2003">
        <v>730</v>
      </c>
      <c r="T2003">
        <v>3</v>
      </c>
      <c r="U2003">
        <v>83.328016235354596</v>
      </c>
      <c r="V2003" t="s">
        <v>39</v>
      </c>
      <c r="W2003">
        <v>3.9687427340000001</v>
      </c>
      <c r="X2003" t="s">
        <v>31</v>
      </c>
      <c r="Y2003" t="s">
        <v>32</v>
      </c>
      <c r="Z2003">
        <v>851.816596065005</v>
      </c>
    </row>
    <row r="2004" spans="1:26" x14ac:dyDescent="0.3">
      <c r="A2004" t="s">
        <v>42</v>
      </c>
      <c r="B2004" t="s">
        <v>2060</v>
      </c>
      <c r="C2004">
        <v>61.964619003692498</v>
      </c>
      <c r="D2004">
        <v>100</v>
      </c>
      <c r="E2004">
        <v>205</v>
      </c>
      <c r="F2004">
        <v>6544.9972040000002</v>
      </c>
      <c r="G2004" t="s">
        <v>54</v>
      </c>
      <c r="H2004">
        <v>76</v>
      </c>
      <c r="I2004">
        <v>23</v>
      </c>
      <c r="J2004">
        <v>88</v>
      </c>
      <c r="K2004">
        <v>1</v>
      </c>
      <c r="L2004" t="s">
        <v>36</v>
      </c>
      <c r="M2004">
        <v>4.3081104866746296</v>
      </c>
      <c r="N2004" t="s">
        <v>51</v>
      </c>
      <c r="O2004" t="s">
        <v>58</v>
      </c>
      <c r="P2004">
        <f>VLOOKUP(O2004, Coordinates!$A$2:$C$6, 2, FALSE)</f>
        <v>34.052199999999999</v>
      </c>
      <c r="Q2004">
        <f>VLOOKUP(O2004, Coordinates!$A$2:$C$6, 3, FALSE)</f>
        <v>-118.2437</v>
      </c>
      <c r="R2004">
        <v>11</v>
      </c>
      <c r="S2004">
        <v>742</v>
      </c>
      <c r="T2004">
        <v>20</v>
      </c>
      <c r="U2004">
        <v>59.457481831154702</v>
      </c>
      <c r="V2004" t="s">
        <v>30</v>
      </c>
      <c r="W2004">
        <v>2.76460408425879</v>
      </c>
      <c r="X2004" t="s">
        <v>46</v>
      </c>
      <c r="Y2004" t="s">
        <v>32</v>
      </c>
      <c r="Z2004">
        <v>586.36612496096996</v>
      </c>
    </row>
    <row r="2005" spans="1:26" x14ac:dyDescent="0.3">
      <c r="A2005" t="s">
        <v>49</v>
      </c>
      <c r="B2005" t="s">
        <v>2061</v>
      </c>
      <c r="C2005">
        <v>53.101379388655403</v>
      </c>
      <c r="D2005">
        <v>28</v>
      </c>
      <c r="E2005">
        <v>952</v>
      </c>
      <c r="F2005">
        <v>5268.9301349526104</v>
      </c>
      <c r="G2005" t="s">
        <v>54</v>
      </c>
      <c r="H2005">
        <v>58</v>
      </c>
      <c r="I2005">
        <v>23</v>
      </c>
      <c r="J2005">
        <v>81</v>
      </c>
      <c r="K2005">
        <v>6</v>
      </c>
      <c r="L2005" t="s">
        <v>44</v>
      </c>
      <c r="M2005">
        <v>13.911939756727399</v>
      </c>
      <c r="N2005" t="s">
        <v>45</v>
      </c>
      <c r="O2005" t="s">
        <v>38</v>
      </c>
      <c r="P2005">
        <f>VLOOKUP(O2005, Coordinates!$A$2:$C$6, 2, FALSE)</f>
        <v>25.761700000000001</v>
      </c>
      <c r="Q2005">
        <f>VLOOKUP(O2005, Coordinates!$A$2:$C$6, 3, FALSE)</f>
        <v>-80.191800000000001</v>
      </c>
      <c r="R2005">
        <v>28</v>
      </c>
      <c r="S2005">
        <v>549</v>
      </c>
      <c r="T2005">
        <v>12</v>
      </c>
      <c r="U2005">
        <v>15.752257817775</v>
      </c>
      <c r="V2005" t="s">
        <v>55</v>
      </c>
      <c r="W2005">
        <v>4.5037767840000003</v>
      </c>
      <c r="X2005" t="s">
        <v>40</v>
      </c>
      <c r="Y2005" t="s">
        <v>32</v>
      </c>
      <c r="Z2005">
        <v>202.61108008172599</v>
      </c>
    </row>
    <row r="2006" spans="1:26" x14ac:dyDescent="0.3">
      <c r="A2006" t="s">
        <v>61</v>
      </c>
      <c r="B2006" t="s">
        <v>2062</v>
      </c>
      <c r="C2006">
        <v>38.289258750968699</v>
      </c>
      <c r="D2006">
        <v>45</v>
      </c>
      <c r="E2006">
        <v>262</v>
      </c>
      <c r="F2006">
        <v>4524.99888590927</v>
      </c>
      <c r="G2006" t="s">
        <v>26</v>
      </c>
      <c r="H2006">
        <v>100</v>
      </c>
      <c r="I2006">
        <v>28</v>
      </c>
      <c r="J2006">
        <v>91</v>
      </c>
      <c r="K2006">
        <v>10</v>
      </c>
      <c r="L2006" t="s">
        <v>27</v>
      </c>
      <c r="M2006">
        <v>11.483572961802199</v>
      </c>
      <c r="N2006" t="s">
        <v>51</v>
      </c>
      <c r="O2006" t="s">
        <v>58</v>
      </c>
      <c r="P2006">
        <f>VLOOKUP(O2006, Coordinates!$A$2:$C$6, 2, FALSE)</f>
        <v>34.052199999999999</v>
      </c>
      <c r="Q2006">
        <f>VLOOKUP(O2006, Coordinates!$A$2:$C$6, 3, FALSE)</f>
        <v>-118.2437</v>
      </c>
      <c r="R2006">
        <v>30</v>
      </c>
      <c r="S2006">
        <v>494</v>
      </c>
      <c r="T2006">
        <v>25</v>
      </c>
      <c r="U2006">
        <v>25.8288931709188</v>
      </c>
      <c r="V2006" t="s">
        <v>30</v>
      </c>
      <c r="W2006">
        <v>0.57942115363320901</v>
      </c>
      <c r="X2006" t="s">
        <v>31</v>
      </c>
      <c r="Y2006" t="s">
        <v>60</v>
      </c>
      <c r="Z2006">
        <v>927.55333558299196</v>
      </c>
    </row>
    <row r="2007" spans="1:26" x14ac:dyDescent="0.3">
      <c r="A2007" t="s">
        <v>49</v>
      </c>
      <c r="B2007" t="s">
        <v>2063</v>
      </c>
      <c r="C2007">
        <v>91.728445453595498</v>
      </c>
      <c r="D2007">
        <v>17</v>
      </c>
      <c r="E2007">
        <v>484</v>
      </c>
      <c r="F2007">
        <v>9239.2919309649806</v>
      </c>
      <c r="G2007" t="s">
        <v>48</v>
      </c>
      <c r="H2007">
        <v>90</v>
      </c>
      <c r="I2007">
        <v>16</v>
      </c>
      <c r="J2007">
        <v>25</v>
      </c>
      <c r="K2007">
        <v>2</v>
      </c>
      <c r="L2007" t="s">
        <v>27</v>
      </c>
      <c r="M2007">
        <v>5.6676354508197804</v>
      </c>
      <c r="N2007" t="s">
        <v>37</v>
      </c>
      <c r="O2007" t="s">
        <v>29</v>
      </c>
      <c r="P2007">
        <f>VLOOKUP(O2007, Coordinates!$A$2:$C$6, 2, FALSE)</f>
        <v>29.760400000000001</v>
      </c>
      <c r="Q2007">
        <f>VLOOKUP(O2007, Coordinates!$A$2:$C$6, 3, FALSE)</f>
        <v>-95.369799999999998</v>
      </c>
      <c r="R2007">
        <v>4</v>
      </c>
      <c r="S2007">
        <v>891</v>
      </c>
      <c r="T2007">
        <v>28</v>
      </c>
      <c r="U2007">
        <v>20.172277179999998</v>
      </c>
      <c r="V2007" t="s">
        <v>30</v>
      </c>
      <c r="W2007">
        <v>3.9331333232179899</v>
      </c>
      <c r="X2007" t="s">
        <v>31</v>
      </c>
      <c r="Y2007" t="s">
        <v>32</v>
      </c>
      <c r="Z2007">
        <v>935.29448346737001</v>
      </c>
    </row>
    <row r="2008" spans="1:26" x14ac:dyDescent="0.3">
      <c r="A2008" t="s">
        <v>61</v>
      </c>
      <c r="B2008" t="s">
        <v>2064</v>
      </c>
      <c r="C2008">
        <v>37.278173018390099</v>
      </c>
      <c r="D2008">
        <v>40</v>
      </c>
      <c r="E2008">
        <v>892</v>
      </c>
      <c r="F2008">
        <v>2130.5143316827098</v>
      </c>
      <c r="G2008" t="s">
        <v>48</v>
      </c>
      <c r="H2008">
        <v>97</v>
      </c>
      <c r="I2008">
        <v>4</v>
      </c>
      <c r="J2008">
        <v>94</v>
      </c>
      <c r="K2008">
        <v>4</v>
      </c>
      <c r="L2008" t="s">
        <v>36</v>
      </c>
      <c r="M2008">
        <v>10.8021838550401</v>
      </c>
      <c r="N2008" t="s">
        <v>57</v>
      </c>
      <c r="O2008" t="s">
        <v>38</v>
      </c>
      <c r="P2008">
        <f>VLOOKUP(O2008, Coordinates!$A$2:$C$6, 2, FALSE)</f>
        <v>25.761700000000001</v>
      </c>
      <c r="Q2008">
        <f>VLOOKUP(O2008, Coordinates!$A$2:$C$6, 3, FALSE)</f>
        <v>-80.191800000000001</v>
      </c>
      <c r="R2008">
        <v>21</v>
      </c>
      <c r="S2008">
        <v>661</v>
      </c>
      <c r="T2008">
        <v>2</v>
      </c>
      <c r="U2008">
        <v>41.205281849508303</v>
      </c>
      <c r="V2008" t="s">
        <v>30</v>
      </c>
      <c r="W2008">
        <v>2.7929207116033199</v>
      </c>
      <c r="X2008" t="s">
        <v>46</v>
      </c>
      <c r="Y2008" t="s">
        <v>32</v>
      </c>
      <c r="Z2008">
        <v>653.82535673072596</v>
      </c>
    </row>
    <row r="2009" spans="1:26" x14ac:dyDescent="0.3">
      <c r="A2009" t="s">
        <v>49</v>
      </c>
      <c r="B2009" t="s">
        <v>2065</v>
      </c>
      <c r="C2009">
        <v>48.283819860000001</v>
      </c>
      <c r="D2009">
        <v>3</v>
      </c>
      <c r="E2009">
        <v>182</v>
      </c>
      <c r="F2009">
        <v>4766.0211074460503</v>
      </c>
      <c r="G2009" t="s">
        <v>54</v>
      </c>
      <c r="H2009">
        <v>10</v>
      </c>
      <c r="I2009">
        <v>9</v>
      </c>
      <c r="J2009">
        <v>24</v>
      </c>
      <c r="K2009">
        <v>6</v>
      </c>
      <c r="L2009" t="s">
        <v>27</v>
      </c>
      <c r="M2009">
        <v>14.5209725061118</v>
      </c>
      <c r="N2009" t="s">
        <v>51</v>
      </c>
      <c r="O2009" t="s">
        <v>65</v>
      </c>
      <c r="P2009">
        <f>VLOOKUP(O2009, Coordinates!$A$2:$C$6, 2, FALSE)</f>
        <v>41.878100000000003</v>
      </c>
      <c r="Q2009">
        <f>VLOOKUP(O2009, Coordinates!$A$2:$C$6, 3, FALSE)</f>
        <v>-87.629800000000003</v>
      </c>
      <c r="R2009">
        <v>25</v>
      </c>
      <c r="S2009">
        <v>187</v>
      </c>
      <c r="T2009">
        <v>25</v>
      </c>
      <c r="U2009">
        <v>40.935827593695599</v>
      </c>
      <c r="V2009" t="s">
        <v>30</v>
      </c>
      <c r="W2009">
        <v>1.15506583518224</v>
      </c>
      <c r="X2009" t="s">
        <v>40</v>
      </c>
      <c r="Y2009" t="s">
        <v>60</v>
      </c>
      <c r="Z2009">
        <v>449.97404001827903</v>
      </c>
    </row>
    <row r="2010" spans="1:26" x14ac:dyDescent="0.3">
      <c r="A2010" t="s">
        <v>42</v>
      </c>
      <c r="B2010" t="s">
        <v>2066</v>
      </c>
      <c r="C2010">
        <v>69.420813940649793</v>
      </c>
      <c r="D2010">
        <v>76</v>
      </c>
      <c r="E2010">
        <v>761</v>
      </c>
      <c r="F2010">
        <v>4101.0571718908704</v>
      </c>
      <c r="G2010" t="s">
        <v>35</v>
      </c>
      <c r="H2010">
        <v>0</v>
      </c>
      <c r="I2010">
        <v>28</v>
      </c>
      <c r="J2010">
        <v>71</v>
      </c>
      <c r="K2010">
        <v>3</v>
      </c>
      <c r="L2010" t="s">
        <v>44</v>
      </c>
      <c r="M2010">
        <v>2.0366715185947899</v>
      </c>
      <c r="N2010" t="s">
        <v>57</v>
      </c>
      <c r="O2010" t="s">
        <v>65</v>
      </c>
      <c r="P2010">
        <f>VLOOKUP(O2010, Coordinates!$A$2:$C$6, 2, FALSE)</f>
        <v>41.878100000000003</v>
      </c>
      <c r="Q2010">
        <f>VLOOKUP(O2010, Coordinates!$A$2:$C$6, 3, FALSE)</f>
        <v>-87.629800000000003</v>
      </c>
      <c r="R2010">
        <v>21</v>
      </c>
      <c r="S2010">
        <v>632</v>
      </c>
      <c r="T2010">
        <v>1</v>
      </c>
      <c r="U2010">
        <v>84.377735265542995</v>
      </c>
      <c r="V2010" t="s">
        <v>30</v>
      </c>
      <c r="W2010">
        <v>0.66151891325947398</v>
      </c>
      <c r="X2010" t="s">
        <v>52</v>
      </c>
      <c r="Y2010" t="s">
        <v>60</v>
      </c>
      <c r="Z2010">
        <v>646.74889940734704</v>
      </c>
    </row>
    <row r="2011" spans="1:26" x14ac:dyDescent="0.3">
      <c r="A2011" t="s">
        <v>42</v>
      </c>
      <c r="B2011" t="s">
        <v>2067</v>
      </c>
      <c r="C2011">
        <v>56.587035932342502</v>
      </c>
      <c r="D2011">
        <v>76</v>
      </c>
      <c r="E2011">
        <v>127</v>
      </c>
      <c r="F2011">
        <v>5483.3564822603303</v>
      </c>
      <c r="G2011" t="s">
        <v>54</v>
      </c>
      <c r="H2011">
        <v>12</v>
      </c>
      <c r="I2011">
        <v>18</v>
      </c>
      <c r="J2011">
        <v>14</v>
      </c>
      <c r="K2011">
        <v>3</v>
      </c>
      <c r="L2011" t="s">
        <v>44</v>
      </c>
      <c r="M2011">
        <v>4.70306166119203</v>
      </c>
      <c r="N2011" t="s">
        <v>28</v>
      </c>
      <c r="O2011" t="s">
        <v>65</v>
      </c>
      <c r="P2011">
        <f>VLOOKUP(O2011, Coordinates!$A$2:$C$6, 2, FALSE)</f>
        <v>41.878100000000003</v>
      </c>
      <c r="Q2011">
        <f>VLOOKUP(O2011, Coordinates!$A$2:$C$6, 3, FALSE)</f>
        <v>-87.629800000000003</v>
      </c>
      <c r="R2011">
        <v>25</v>
      </c>
      <c r="S2011">
        <v>487</v>
      </c>
      <c r="T2011">
        <v>9</v>
      </c>
      <c r="U2011">
        <v>30.311870624247501</v>
      </c>
      <c r="V2011" t="s">
        <v>39</v>
      </c>
      <c r="W2011">
        <v>1.5050352016141899</v>
      </c>
      <c r="X2011" t="s">
        <v>52</v>
      </c>
      <c r="Y2011" t="s">
        <v>32</v>
      </c>
      <c r="Z2011">
        <v>664.98412189999999</v>
      </c>
    </row>
    <row r="2012" spans="1:26" x14ac:dyDescent="0.3">
      <c r="A2012" t="s">
        <v>82</v>
      </c>
      <c r="B2012" t="s">
        <v>2068</v>
      </c>
      <c r="C2012">
        <v>37.954167754616599</v>
      </c>
      <c r="D2012">
        <v>66</v>
      </c>
      <c r="E2012">
        <v>346</v>
      </c>
      <c r="F2012">
        <v>5118.6868709065702</v>
      </c>
      <c r="G2012" t="s">
        <v>26</v>
      </c>
      <c r="H2012">
        <v>29</v>
      </c>
      <c r="I2012">
        <v>29</v>
      </c>
      <c r="J2012">
        <v>54</v>
      </c>
      <c r="K2012">
        <v>3</v>
      </c>
      <c r="L2012" t="s">
        <v>27</v>
      </c>
      <c r="M2012">
        <v>3.8080996887300098</v>
      </c>
      <c r="N2012" t="s">
        <v>37</v>
      </c>
      <c r="O2012" t="s">
        <v>38</v>
      </c>
      <c r="P2012">
        <f>VLOOKUP(O2012, Coordinates!$A$2:$C$6, 2, FALSE)</f>
        <v>25.761700000000001</v>
      </c>
      <c r="Q2012">
        <f>VLOOKUP(O2012, Coordinates!$A$2:$C$6, 3, FALSE)</f>
        <v>-80.191800000000001</v>
      </c>
      <c r="R2012">
        <v>9</v>
      </c>
      <c r="S2012">
        <v>843</v>
      </c>
      <c r="T2012">
        <v>22</v>
      </c>
      <c r="U2012">
        <v>17.774806759657899</v>
      </c>
      <c r="V2012" t="s">
        <v>30</v>
      </c>
      <c r="W2012">
        <v>4.2815795909999999</v>
      </c>
      <c r="X2012" t="s">
        <v>31</v>
      </c>
      <c r="Y2012" t="s">
        <v>41</v>
      </c>
      <c r="Z2012">
        <v>659.92443390000005</v>
      </c>
    </row>
    <row r="2013" spans="1:26" x14ac:dyDescent="0.3">
      <c r="A2013" t="s">
        <v>72</v>
      </c>
      <c r="B2013" t="s">
        <v>2069</v>
      </c>
      <c r="C2013">
        <v>30.479732579228902</v>
      </c>
      <c r="D2013">
        <v>46</v>
      </c>
      <c r="E2013">
        <v>175</v>
      </c>
      <c r="F2013">
        <v>4800.5578812285503</v>
      </c>
      <c r="G2013" t="s">
        <v>35</v>
      </c>
      <c r="H2013">
        <v>68</v>
      </c>
      <c r="I2013">
        <v>17</v>
      </c>
      <c r="J2013">
        <v>61</v>
      </c>
      <c r="K2013">
        <v>4</v>
      </c>
      <c r="L2013" t="s">
        <v>36</v>
      </c>
      <c r="M2013">
        <v>13.176964291021701</v>
      </c>
      <c r="N2013" t="s">
        <v>51</v>
      </c>
      <c r="O2013" t="s">
        <v>67</v>
      </c>
      <c r="P2013">
        <f>VLOOKUP(O2013, Coordinates!$A$2:$C$6, 2, FALSE)</f>
        <v>40.712800000000001</v>
      </c>
      <c r="Q2013">
        <f>VLOOKUP(O2013, Coordinates!$A$2:$C$6, 3, FALSE)</f>
        <v>-74.006</v>
      </c>
      <c r="R2013">
        <v>8</v>
      </c>
      <c r="S2013">
        <v>480</v>
      </c>
      <c r="T2013">
        <v>24</v>
      </c>
      <c r="U2013">
        <v>89.495834709999997</v>
      </c>
      <c r="V2013" t="s">
        <v>30</v>
      </c>
      <c r="W2013">
        <v>3.938096748</v>
      </c>
      <c r="X2013" t="s">
        <v>46</v>
      </c>
      <c r="Y2013" t="s">
        <v>41</v>
      </c>
      <c r="Z2013">
        <v>760.06747402879</v>
      </c>
    </row>
    <row r="2014" spans="1:26" x14ac:dyDescent="0.3">
      <c r="A2014" t="s">
        <v>49</v>
      </c>
      <c r="B2014" t="s">
        <v>2070</v>
      </c>
      <c r="C2014">
        <v>80.475677696082997</v>
      </c>
      <c r="D2014">
        <v>86</v>
      </c>
      <c r="E2014">
        <v>849</v>
      </c>
      <c r="F2014">
        <v>2259.2707950429399</v>
      </c>
      <c r="G2014" t="s">
        <v>26</v>
      </c>
      <c r="H2014">
        <v>17</v>
      </c>
      <c r="I2014">
        <v>15</v>
      </c>
      <c r="J2014">
        <v>80</v>
      </c>
      <c r="K2014">
        <v>9</v>
      </c>
      <c r="L2014" t="s">
        <v>36</v>
      </c>
      <c r="M2014">
        <v>3.5086646137212201</v>
      </c>
      <c r="N2014" t="s">
        <v>28</v>
      </c>
      <c r="O2014" t="s">
        <v>67</v>
      </c>
      <c r="P2014">
        <f>VLOOKUP(O2014, Coordinates!$A$2:$C$6, 2, FALSE)</f>
        <v>40.712800000000001</v>
      </c>
      <c r="Q2014">
        <f>VLOOKUP(O2014, Coordinates!$A$2:$C$6, 3, FALSE)</f>
        <v>-74.006</v>
      </c>
      <c r="R2014">
        <v>5</v>
      </c>
      <c r="S2014">
        <v>654</v>
      </c>
      <c r="T2014">
        <v>19</v>
      </c>
      <c r="U2014">
        <v>71.870562964000598</v>
      </c>
      <c r="V2014" t="s">
        <v>30</v>
      </c>
      <c r="W2014">
        <v>3.2256621290902001</v>
      </c>
      <c r="X2014" t="s">
        <v>46</v>
      </c>
      <c r="Y2014" t="s">
        <v>60</v>
      </c>
      <c r="Z2014">
        <v>160.43000682477299</v>
      </c>
    </row>
    <row r="2015" spans="1:26" x14ac:dyDescent="0.3">
      <c r="A2015" t="s">
        <v>33</v>
      </c>
      <c r="B2015" t="s">
        <v>2071</v>
      </c>
      <c r="C2015">
        <v>31.422269771228098</v>
      </c>
      <c r="D2015">
        <v>87</v>
      </c>
      <c r="E2015">
        <v>652</v>
      </c>
      <c r="F2015">
        <v>5618.2735136194897</v>
      </c>
      <c r="G2015" t="s">
        <v>35</v>
      </c>
      <c r="H2015">
        <v>77</v>
      </c>
      <c r="I2015">
        <v>19</v>
      </c>
      <c r="J2015">
        <v>16</v>
      </c>
      <c r="K2015">
        <v>4</v>
      </c>
      <c r="L2015" t="s">
        <v>36</v>
      </c>
      <c r="M2015">
        <v>5.3130639438552896</v>
      </c>
      <c r="N2015" t="s">
        <v>28</v>
      </c>
      <c r="O2015" t="s">
        <v>65</v>
      </c>
      <c r="P2015">
        <f>VLOOKUP(O2015, Coordinates!$A$2:$C$6, 2, FALSE)</f>
        <v>41.878100000000003</v>
      </c>
      <c r="Q2015">
        <f>VLOOKUP(O2015, Coordinates!$A$2:$C$6, 3, FALSE)</f>
        <v>-87.629800000000003</v>
      </c>
      <c r="R2015">
        <v>14</v>
      </c>
      <c r="S2015">
        <v>530</v>
      </c>
      <c r="T2015">
        <v>8</v>
      </c>
      <c r="U2015">
        <v>36.534125441930797</v>
      </c>
      <c r="V2015" t="s">
        <v>30</v>
      </c>
      <c r="W2015">
        <v>0.45163503891838702</v>
      </c>
      <c r="X2015" t="s">
        <v>52</v>
      </c>
      <c r="Y2015" t="s">
        <v>60</v>
      </c>
      <c r="Z2015">
        <v>192.277013114666</v>
      </c>
    </row>
    <row r="2016" spans="1:26" x14ac:dyDescent="0.3">
      <c r="A2016" t="s">
        <v>82</v>
      </c>
      <c r="B2016" t="s">
        <v>2072</v>
      </c>
      <c r="C2016">
        <v>18.514247778797401</v>
      </c>
      <c r="D2016">
        <v>30</v>
      </c>
      <c r="E2016">
        <v>63</v>
      </c>
      <c r="F2016">
        <v>3181.7693249848899</v>
      </c>
      <c r="G2016" t="s">
        <v>35</v>
      </c>
      <c r="H2016">
        <v>12</v>
      </c>
      <c r="I2016">
        <v>7</v>
      </c>
      <c r="J2016">
        <v>36</v>
      </c>
      <c r="K2016">
        <v>4</v>
      </c>
      <c r="L2016" t="s">
        <v>36</v>
      </c>
      <c r="M2016">
        <v>8.6140508265665794</v>
      </c>
      <c r="N2016" t="s">
        <v>57</v>
      </c>
      <c r="O2016" t="s">
        <v>58</v>
      </c>
      <c r="P2016">
        <f>VLOOKUP(O2016, Coordinates!$A$2:$C$6, 2, FALSE)</f>
        <v>34.052199999999999</v>
      </c>
      <c r="Q2016">
        <f>VLOOKUP(O2016, Coordinates!$A$2:$C$6, 3, FALSE)</f>
        <v>-118.2437</v>
      </c>
      <c r="R2016">
        <v>28</v>
      </c>
      <c r="S2016">
        <v>634</v>
      </c>
      <c r="T2016">
        <v>27</v>
      </c>
      <c r="U2016">
        <v>64.253270472523894</v>
      </c>
      <c r="V2016" t="s">
        <v>30</v>
      </c>
      <c r="W2016">
        <v>4.77415319871651</v>
      </c>
      <c r="X2016" t="s">
        <v>46</v>
      </c>
      <c r="Y2016" t="s">
        <v>60</v>
      </c>
      <c r="Z2016">
        <v>354.500687013434</v>
      </c>
    </row>
    <row r="2017" spans="1:26" x14ac:dyDescent="0.3">
      <c r="A2017" t="s">
        <v>49</v>
      </c>
      <c r="B2017" t="s">
        <v>2073</v>
      </c>
      <c r="C2017">
        <v>34.750504173828801</v>
      </c>
      <c r="D2017">
        <v>69</v>
      </c>
      <c r="E2017">
        <v>709</v>
      </c>
      <c r="F2017">
        <v>2658.98214089372</v>
      </c>
      <c r="G2017" t="s">
        <v>54</v>
      </c>
      <c r="H2017">
        <v>31</v>
      </c>
      <c r="I2017">
        <v>25</v>
      </c>
      <c r="J2017">
        <v>98</v>
      </c>
      <c r="K2017">
        <v>4</v>
      </c>
      <c r="L2017" t="s">
        <v>36</v>
      </c>
      <c r="M2017">
        <v>9.6953209782172909</v>
      </c>
      <c r="N2017" t="s">
        <v>45</v>
      </c>
      <c r="O2017" t="s">
        <v>38</v>
      </c>
      <c r="P2017">
        <f>VLOOKUP(O2017, Coordinates!$A$2:$C$6, 2, FALSE)</f>
        <v>25.761700000000001</v>
      </c>
      <c r="Q2017">
        <f>VLOOKUP(O2017, Coordinates!$A$2:$C$6, 3, FALSE)</f>
        <v>-80.191800000000001</v>
      </c>
      <c r="R2017">
        <v>30</v>
      </c>
      <c r="S2017">
        <v>315</v>
      </c>
      <c r="T2017">
        <v>9</v>
      </c>
      <c r="U2017">
        <v>79.8450911205979</v>
      </c>
      <c r="V2017" t="s">
        <v>39</v>
      </c>
      <c r="W2017">
        <v>4.0165752616242303</v>
      </c>
      <c r="X2017" t="s">
        <v>46</v>
      </c>
      <c r="Y2017" t="s">
        <v>41</v>
      </c>
      <c r="Z2017">
        <v>414.72297847765401</v>
      </c>
    </row>
    <row r="2018" spans="1:26" x14ac:dyDescent="0.3">
      <c r="A2018" t="s">
        <v>49</v>
      </c>
      <c r="B2018" t="s">
        <v>2074</v>
      </c>
      <c r="C2018">
        <v>85.705750471350598</v>
      </c>
      <c r="D2018">
        <v>9</v>
      </c>
      <c r="E2018">
        <v>469</v>
      </c>
      <c r="F2018">
        <v>1583.50796907572</v>
      </c>
      <c r="G2018" t="s">
        <v>26</v>
      </c>
      <c r="H2018">
        <v>70</v>
      </c>
      <c r="I2018">
        <v>18</v>
      </c>
      <c r="J2018">
        <v>95</v>
      </c>
      <c r="K2018">
        <v>7</v>
      </c>
      <c r="L2018" t="s">
        <v>44</v>
      </c>
      <c r="M2018">
        <v>12.3145726754571</v>
      </c>
      <c r="N2018" t="s">
        <v>45</v>
      </c>
      <c r="O2018" t="s">
        <v>38</v>
      </c>
      <c r="P2018">
        <f>VLOOKUP(O2018, Coordinates!$A$2:$C$6, 2, FALSE)</f>
        <v>25.761700000000001</v>
      </c>
      <c r="Q2018">
        <f>VLOOKUP(O2018, Coordinates!$A$2:$C$6, 3, FALSE)</f>
        <v>-80.191800000000001</v>
      </c>
      <c r="R2018">
        <v>26</v>
      </c>
      <c r="S2018">
        <v>376</v>
      </c>
      <c r="T2018">
        <v>7</v>
      </c>
      <c r="U2018">
        <v>41.279764516850101</v>
      </c>
      <c r="V2018" t="s">
        <v>39</v>
      </c>
      <c r="W2018">
        <v>4.7875054695498704</v>
      </c>
      <c r="X2018" t="s">
        <v>40</v>
      </c>
      <c r="Y2018" t="s">
        <v>32</v>
      </c>
      <c r="Z2018">
        <v>674.22742738095303</v>
      </c>
    </row>
    <row r="2019" spans="1:26" x14ac:dyDescent="0.3">
      <c r="A2019" t="s">
        <v>82</v>
      </c>
      <c r="B2019" t="s">
        <v>2075</v>
      </c>
      <c r="C2019">
        <v>13.454022911352901</v>
      </c>
      <c r="D2019">
        <v>85</v>
      </c>
      <c r="E2019">
        <v>784</v>
      </c>
      <c r="F2019">
        <v>7863.8730288052602</v>
      </c>
      <c r="G2019" t="s">
        <v>35</v>
      </c>
      <c r="H2019">
        <v>71</v>
      </c>
      <c r="I2019">
        <v>6</v>
      </c>
      <c r="J2019">
        <v>22</v>
      </c>
      <c r="K2019">
        <v>5</v>
      </c>
      <c r="L2019" t="s">
        <v>27</v>
      </c>
      <c r="M2019">
        <v>6.7025254517546502</v>
      </c>
      <c r="N2019" t="s">
        <v>45</v>
      </c>
      <c r="O2019" t="s">
        <v>38</v>
      </c>
      <c r="P2019">
        <f>VLOOKUP(O2019, Coordinates!$A$2:$C$6, 2, FALSE)</f>
        <v>25.761700000000001</v>
      </c>
      <c r="Q2019">
        <f>VLOOKUP(O2019, Coordinates!$A$2:$C$6, 3, FALSE)</f>
        <v>-80.191800000000001</v>
      </c>
      <c r="R2019">
        <v>29</v>
      </c>
      <c r="S2019">
        <v>293</v>
      </c>
      <c r="T2019">
        <v>4</v>
      </c>
      <c r="U2019">
        <v>57.281845593980002</v>
      </c>
      <c r="V2019" t="s">
        <v>55</v>
      </c>
      <c r="W2019">
        <v>4.1034935402207999</v>
      </c>
      <c r="X2019" t="s">
        <v>40</v>
      </c>
      <c r="Y2019" t="s">
        <v>41</v>
      </c>
      <c r="Z2019">
        <v>254.68755062709201</v>
      </c>
    </row>
    <row r="2020" spans="1:26" x14ac:dyDescent="0.3">
      <c r="A2020" t="s">
        <v>42</v>
      </c>
      <c r="B2020" t="s">
        <v>2076</v>
      </c>
      <c r="C2020">
        <v>99.211126970382907</v>
      </c>
      <c r="D2020">
        <v>11</v>
      </c>
      <c r="E2020">
        <v>264</v>
      </c>
      <c r="F2020">
        <v>4846.977288</v>
      </c>
      <c r="G2020" t="s">
        <v>26</v>
      </c>
      <c r="H2020">
        <v>49</v>
      </c>
      <c r="I2020">
        <v>19</v>
      </c>
      <c r="J2020">
        <v>26</v>
      </c>
      <c r="K2020">
        <v>2</v>
      </c>
      <c r="L2020" t="s">
        <v>44</v>
      </c>
      <c r="M2020">
        <v>8.4794261169999992</v>
      </c>
      <c r="N2020" t="s">
        <v>45</v>
      </c>
      <c r="O2020" t="s">
        <v>38</v>
      </c>
      <c r="P2020">
        <f>VLOOKUP(O2020, Coordinates!$A$2:$C$6, 2, FALSE)</f>
        <v>25.761700000000001</v>
      </c>
      <c r="Q2020">
        <f>VLOOKUP(O2020, Coordinates!$A$2:$C$6, 3, FALSE)</f>
        <v>-80.191800000000001</v>
      </c>
      <c r="R2020">
        <v>28</v>
      </c>
      <c r="S2020">
        <v>826</v>
      </c>
      <c r="T2020">
        <v>22</v>
      </c>
      <c r="U2020">
        <v>23.196994630508801</v>
      </c>
      <c r="V2020" t="s">
        <v>39</v>
      </c>
      <c r="W2020">
        <v>3.5620599455520701</v>
      </c>
      <c r="X2020" t="s">
        <v>31</v>
      </c>
      <c r="Y2020" t="s">
        <v>60</v>
      </c>
      <c r="Z2020">
        <v>586.92633138236295</v>
      </c>
    </row>
    <row r="2021" spans="1:26" x14ac:dyDescent="0.3">
      <c r="A2021" t="s">
        <v>49</v>
      </c>
      <c r="B2021" t="s">
        <v>2077</v>
      </c>
      <c r="C2021">
        <v>56.3952753981279</v>
      </c>
      <c r="D2021">
        <v>69</v>
      </c>
      <c r="E2021">
        <v>377</v>
      </c>
      <c r="F2021">
        <v>6639.7931498058197</v>
      </c>
      <c r="G2021" t="s">
        <v>54</v>
      </c>
      <c r="H2021">
        <v>70</v>
      </c>
      <c r="I2021">
        <v>21</v>
      </c>
      <c r="J2021">
        <v>53</v>
      </c>
      <c r="K2021">
        <v>7</v>
      </c>
      <c r="L2021" t="s">
        <v>36</v>
      </c>
      <c r="M2021">
        <v>14.516469050618801</v>
      </c>
      <c r="N2021" t="s">
        <v>37</v>
      </c>
      <c r="O2021" t="s">
        <v>65</v>
      </c>
      <c r="P2021">
        <f>VLOOKUP(O2021, Coordinates!$A$2:$C$6, 2, FALSE)</f>
        <v>41.878100000000003</v>
      </c>
      <c r="Q2021">
        <f>VLOOKUP(O2021, Coordinates!$A$2:$C$6, 3, FALSE)</f>
        <v>-87.629800000000003</v>
      </c>
      <c r="R2021">
        <v>8</v>
      </c>
      <c r="S2021">
        <v>278</v>
      </c>
      <c r="T2021">
        <v>16</v>
      </c>
      <c r="U2021">
        <v>12.128212096316201</v>
      </c>
      <c r="V2021" t="s">
        <v>39</v>
      </c>
      <c r="W2021">
        <v>3.2609837112793598</v>
      </c>
      <c r="X2021" t="s">
        <v>40</v>
      </c>
      <c r="Y2021" t="s">
        <v>41</v>
      </c>
      <c r="Z2021">
        <v>266.805573869395</v>
      </c>
    </row>
    <row r="2022" spans="1:26" x14ac:dyDescent="0.3">
      <c r="A2022" t="s">
        <v>42</v>
      </c>
      <c r="B2022" t="s">
        <v>2078</v>
      </c>
      <c r="C2022">
        <v>98.560345676873894</v>
      </c>
      <c r="D2022">
        <v>99</v>
      </c>
      <c r="E2022">
        <v>977</v>
      </c>
      <c r="F2022">
        <v>7548.3400899999997</v>
      </c>
      <c r="G2022" t="s">
        <v>54</v>
      </c>
      <c r="H2022">
        <v>79</v>
      </c>
      <c r="I2022">
        <v>12</v>
      </c>
      <c r="J2022">
        <v>22</v>
      </c>
      <c r="K2022">
        <v>3</v>
      </c>
      <c r="L2022" t="s">
        <v>36</v>
      </c>
      <c r="M2022">
        <v>5.1630643130076797</v>
      </c>
      <c r="N2022" t="s">
        <v>51</v>
      </c>
      <c r="O2022" t="s">
        <v>29</v>
      </c>
      <c r="P2022">
        <f>VLOOKUP(O2022, Coordinates!$A$2:$C$6, 2, FALSE)</f>
        <v>29.760400000000001</v>
      </c>
      <c r="Q2022">
        <f>VLOOKUP(O2022, Coordinates!$A$2:$C$6, 3, FALSE)</f>
        <v>-95.369799999999998</v>
      </c>
      <c r="R2022">
        <v>2</v>
      </c>
      <c r="S2022">
        <v>242</v>
      </c>
      <c r="T2022">
        <v>6</v>
      </c>
      <c r="U2022">
        <v>98.323117732974595</v>
      </c>
      <c r="V2022" t="s">
        <v>30</v>
      </c>
      <c r="W2022">
        <v>0.16147998352106199</v>
      </c>
      <c r="X2022" t="s">
        <v>46</v>
      </c>
      <c r="Y2022" t="s">
        <v>60</v>
      </c>
      <c r="Z2022">
        <v>419.93767178266398</v>
      </c>
    </row>
    <row r="2023" spans="1:26" x14ac:dyDescent="0.3">
      <c r="A2023" t="s">
        <v>82</v>
      </c>
      <c r="B2023" t="s">
        <v>2079</v>
      </c>
      <c r="C2023">
        <v>94.204660098167807</v>
      </c>
      <c r="D2023">
        <v>91</v>
      </c>
      <c r="E2023">
        <v>99</v>
      </c>
      <c r="F2023">
        <v>7113.84998782198</v>
      </c>
      <c r="G2023" t="s">
        <v>54</v>
      </c>
      <c r="H2023">
        <v>30</v>
      </c>
      <c r="I2023">
        <v>25</v>
      </c>
      <c r="J2023">
        <v>99</v>
      </c>
      <c r="K2023">
        <v>1</v>
      </c>
      <c r="L2023" t="s">
        <v>27</v>
      </c>
      <c r="M2023">
        <v>4.4733189563145404</v>
      </c>
      <c r="N2023" t="s">
        <v>51</v>
      </c>
      <c r="O2023" t="s">
        <v>67</v>
      </c>
      <c r="P2023">
        <f>VLOOKUP(O2023, Coordinates!$A$2:$C$6, 2, FALSE)</f>
        <v>40.712800000000001</v>
      </c>
      <c r="Q2023">
        <f>VLOOKUP(O2023, Coordinates!$A$2:$C$6, 3, FALSE)</f>
        <v>-74.006</v>
      </c>
      <c r="R2023">
        <v>23</v>
      </c>
      <c r="S2023">
        <v>925</v>
      </c>
      <c r="T2023">
        <v>18</v>
      </c>
      <c r="U2023">
        <v>36.975776548273203</v>
      </c>
      <c r="V2023" t="s">
        <v>30</v>
      </c>
      <c r="W2023">
        <v>0.50894655752170503</v>
      </c>
      <c r="X2023" t="s">
        <v>52</v>
      </c>
      <c r="Y2023" t="s">
        <v>32</v>
      </c>
      <c r="Z2023">
        <v>941.94914019370196</v>
      </c>
    </row>
    <row r="2024" spans="1:26" x14ac:dyDescent="0.3">
      <c r="A2024" t="s">
        <v>42</v>
      </c>
      <c r="B2024" t="s">
        <v>2080</v>
      </c>
      <c r="C2024">
        <v>48.017302850036998</v>
      </c>
      <c r="D2024">
        <v>66</v>
      </c>
      <c r="E2024">
        <v>129</v>
      </c>
      <c r="F2024">
        <v>5234.5064718071399</v>
      </c>
      <c r="G2024" t="s">
        <v>54</v>
      </c>
      <c r="H2024">
        <v>50</v>
      </c>
      <c r="I2024">
        <v>3</v>
      </c>
      <c r="J2024">
        <v>82</v>
      </c>
      <c r="K2024">
        <v>9</v>
      </c>
      <c r="L2024" t="s">
        <v>27</v>
      </c>
      <c r="M2024">
        <v>10.9483886787845</v>
      </c>
      <c r="N2024" t="s">
        <v>37</v>
      </c>
      <c r="O2024" t="s">
        <v>29</v>
      </c>
      <c r="P2024">
        <f>VLOOKUP(O2024, Coordinates!$A$2:$C$6, 2, FALSE)</f>
        <v>29.760400000000001</v>
      </c>
      <c r="Q2024">
        <f>VLOOKUP(O2024, Coordinates!$A$2:$C$6, 3, FALSE)</f>
        <v>-95.369799999999998</v>
      </c>
      <c r="R2024">
        <v>15</v>
      </c>
      <c r="S2024">
        <v>637</v>
      </c>
      <c r="T2024">
        <v>2</v>
      </c>
      <c r="U2024">
        <v>35.101184564963901</v>
      </c>
      <c r="V2024" t="s">
        <v>55</v>
      </c>
      <c r="W2024">
        <v>3.6157181721357001</v>
      </c>
      <c r="X2024" t="s">
        <v>52</v>
      </c>
      <c r="Y2024" t="s">
        <v>60</v>
      </c>
      <c r="Z2024">
        <v>906.12944779999998</v>
      </c>
    </row>
    <row r="2025" spans="1:26" x14ac:dyDescent="0.3">
      <c r="A2025" t="s">
        <v>61</v>
      </c>
      <c r="B2025" t="s">
        <v>2081</v>
      </c>
      <c r="C2025">
        <v>23.856652087508099</v>
      </c>
      <c r="D2025">
        <v>88</v>
      </c>
      <c r="E2025">
        <v>45</v>
      </c>
      <c r="F2025">
        <v>4491.0867605655603</v>
      </c>
      <c r="G2025" t="s">
        <v>48</v>
      </c>
      <c r="H2025">
        <v>26</v>
      </c>
      <c r="I2025">
        <v>1</v>
      </c>
      <c r="J2025">
        <v>14</v>
      </c>
      <c r="K2025">
        <v>5</v>
      </c>
      <c r="L2025" t="s">
        <v>27</v>
      </c>
      <c r="M2025">
        <v>11.795907796806601</v>
      </c>
      <c r="N2025" t="s">
        <v>57</v>
      </c>
      <c r="O2025" t="s">
        <v>58</v>
      </c>
      <c r="P2025">
        <f>VLOOKUP(O2025, Coordinates!$A$2:$C$6, 2, FALSE)</f>
        <v>34.052199999999999</v>
      </c>
      <c r="Q2025">
        <f>VLOOKUP(O2025, Coordinates!$A$2:$C$6, 3, FALSE)</f>
        <v>-118.2437</v>
      </c>
      <c r="R2025">
        <v>27</v>
      </c>
      <c r="S2025">
        <v>317</v>
      </c>
      <c r="T2025">
        <v>11</v>
      </c>
      <c r="U2025">
        <v>97.592061990000005</v>
      </c>
      <c r="V2025" t="s">
        <v>55</v>
      </c>
      <c r="W2025">
        <v>0.77541077786396995</v>
      </c>
      <c r="X2025" t="s">
        <v>52</v>
      </c>
      <c r="Y2025" t="s">
        <v>32</v>
      </c>
      <c r="Z2025">
        <v>957.79353755125203</v>
      </c>
    </row>
    <row r="2026" spans="1:26" x14ac:dyDescent="0.3">
      <c r="A2026" t="s">
        <v>33</v>
      </c>
      <c r="B2026" t="s">
        <v>2082</v>
      </c>
      <c r="C2026">
        <v>20.664053773688099</v>
      </c>
      <c r="D2026">
        <v>31</v>
      </c>
      <c r="E2026">
        <v>895</v>
      </c>
      <c r="F2026">
        <v>4383.6391867659704</v>
      </c>
      <c r="G2026" t="s">
        <v>35</v>
      </c>
      <c r="H2026">
        <v>59</v>
      </c>
      <c r="I2026">
        <v>5</v>
      </c>
      <c r="J2026">
        <v>42</v>
      </c>
      <c r="K2026">
        <v>10</v>
      </c>
      <c r="L2026" t="s">
        <v>44</v>
      </c>
      <c r="M2026">
        <v>6.8069046445243098</v>
      </c>
      <c r="N2026" t="s">
        <v>51</v>
      </c>
      <c r="O2026" t="s">
        <v>65</v>
      </c>
      <c r="P2026">
        <f>VLOOKUP(O2026, Coordinates!$A$2:$C$6, 2, FALSE)</f>
        <v>41.878100000000003</v>
      </c>
      <c r="Q2026">
        <f>VLOOKUP(O2026, Coordinates!$A$2:$C$6, 3, FALSE)</f>
        <v>-87.629800000000003</v>
      </c>
      <c r="R2026">
        <v>2</v>
      </c>
      <c r="S2026">
        <v>610</v>
      </c>
      <c r="T2026">
        <v>5</v>
      </c>
      <c r="U2026">
        <v>75.541017139999994</v>
      </c>
      <c r="V2026" t="s">
        <v>30</v>
      </c>
      <c r="W2026">
        <v>2.21753361652689</v>
      </c>
      <c r="X2026" t="s">
        <v>31</v>
      </c>
      <c r="Y2026" t="s">
        <v>32</v>
      </c>
      <c r="Z2026">
        <v>632.27751470564397</v>
      </c>
    </row>
    <row r="2027" spans="1:26" x14ac:dyDescent="0.3">
      <c r="A2027" t="s">
        <v>24</v>
      </c>
      <c r="B2027" t="s">
        <v>2083</v>
      </c>
      <c r="C2027">
        <v>24.2891148125683</v>
      </c>
      <c r="D2027">
        <v>33</v>
      </c>
      <c r="E2027">
        <v>258</v>
      </c>
      <c r="F2027">
        <v>5639.9324594783702</v>
      </c>
      <c r="G2027" t="s">
        <v>48</v>
      </c>
      <c r="H2027">
        <v>32</v>
      </c>
      <c r="I2027">
        <v>1</v>
      </c>
      <c r="J2027">
        <v>13</v>
      </c>
      <c r="K2027">
        <v>1</v>
      </c>
      <c r="L2027" t="s">
        <v>27</v>
      </c>
      <c r="M2027">
        <v>3.98170485510646</v>
      </c>
      <c r="N2027" t="s">
        <v>28</v>
      </c>
      <c r="O2027" t="s">
        <v>65</v>
      </c>
      <c r="P2027">
        <f>VLOOKUP(O2027, Coordinates!$A$2:$C$6, 2, FALSE)</f>
        <v>41.878100000000003</v>
      </c>
      <c r="Q2027">
        <f>VLOOKUP(O2027, Coordinates!$A$2:$C$6, 3, FALSE)</f>
        <v>-87.629800000000003</v>
      </c>
      <c r="R2027">
        <v>28</v>
      </c>
      <c r="S2027">
        <v>158</v>
      </c>
      <c r="T2027">
        <v>17</v>
      </c>
      <c r="U2027">
        <v>83.882665683708098</v>
      </c>
      <c r="V2027" t="s">
        <v>30</v>
      </c>
      <c r="W2027">
        <v>1.2416627538868401</v>
      </c>
      <c r="X2027" t="s">
        <v>52</v>
      </c>
      <c r="Y2027" t="s">
        <v>41</v>
      </c>
      <c r="Z2027">
        <v>551.1701918</v>
      </c>
    </row>
    <row r="2028" spans="1:26" x14ac:dyDescent="0.3">
      <c r="A2028" t="s">
        <v>49</v>
      </c>
      <c r="B2028" t="s">
        <v>2084</v>
      </c>
      <c r="C2028">
        <v>72.462600853631002</v>
      </c>
      <c r="D2028">
        <v>39</v>
      </c>
      <c r="E2028">
        <v>11</v>
      </c>
      <c r="F2028">
        <v>5453.1491939999996</v>
      </c>
      <c r="G2028" t="s">
        <v>54</v>
      </c>
      <c r="H2028">
        <v>52</v>
      </c>
      <c r="I2028">
        <v>8</v>
      </c>
      <c r="J2028">
        <v>35</v>
      </c>
      <c r="K2028">
        <v>1</v>
      </c>
      <c r="L2028" t="s">
        <v>44</v>
      </c>
      <c r="M2028">
        <v>11.9049171813594</v>
      </c>
      <c r="N2028" t="s">
        <v>51</v>
      </c>
      <c r="O2028" t="s">
        <v>65</v>
      </c>
      <c r="P2028">
        <f>VLOOKUP(O2028, Coordinates!$A$2:$C$6, 2, FALSE)</f>
        <v>41.878100000000003</v>
      </c>
      <c r="Q2028">
        <f>VLOOKUP(O2028, Coordinates!$A$2:$C$6, 3, FALSE)</f>
        <v>-87.629800000000003</v>
      </c>
      <c r="R2028">
        <v>11</v>
      </c>
      <c r="S2028">
        <v>445</v>
      </c>
      <c r="T2028">
        <v>5</v>
      </c>
      <c r="U2028">
        <v>72.939105558402105</v>
      </c>
      <c r="V2028" t="s">
        <v>30</v>
      </c>
      <c r="W2028">
        <v>2.1061475433497101</v>
      </c>
      <c r="X2028" t="s">
        <v>40</v>
      </c>
      <c r="Y2028" t="s">
        <v>60</v>
      </c>
      <c r="Z2028">
        <v>864.02334382225195</v>
      </c>
    </row>
    <row r="2029" spans="1:26" x14ac:dyDescent="0.3">
      <c r="A2029" t="s">
        <v>72</v>
      </c>
      <c r="B2029" t="s">
        <v>2085</v>
      </c>
      <c r="C2029">
        <v>30.825520837273601</v>
      </c>
      <c r="D2029">
        <v>94</v>
      </c>
      <c r="E2029">
        <v>475</v>
      </c>
      <c r="F2029">
        <v>13177.910157934401</v>
      </c>
      <c r="G2029" t="s">
        <v>35</v>
      </c>
      <c r="H2029">
        <v>92</v>
      </c>
      <c r="I2029">
        <v>7</v>
      </c>
      <c r="J2029">
        <v>77</v>
      </c>
      <c r="K2029">
        <v>1</v>
      </c>
      <c r="L2029" t="s">
        <v>36</v>
      </c>
      <c r="M2029">
        <v>10.3869005339065</v>
      </c>
      <c r="N2029" t="s">
        <v>37</v>
      </c>
      <c r="O2029" t="s">
        <v>58</v>
      </c>
      <c r="P2029">
        <f>VLOOKUP(O2029, Coordinates!$A$2:$C$6, 2, FALSE)</f>
        <v>34.052199999999999</v>
      </c>
      <c r="Q2029">
        <f>VLOOKUP(O2029, Coordinates!$A$2:$C$6, 3, FALSE)</f>
        <v>-118.2437</v>
      </c>
      <c r="R2029">
        <v>14</v>
      </c>
      <c r="S2029">
        <v>656</v>
      </c>
      <c r="T2029">
        <v>26</v>
      </c>
      <c r="U2029">
        <v>89.283912770000001</v>
      </c>
      <c r="V2029" t="s">
        <v>30</v>
      </c>
      <c r="W2029">
        <v>0.38610120145735399</v>
      </c>
      <c r="X2029" t="s">
        <v>40</v>
      </c>
      <c r="Y2029" t="s">
        <v>41</v>
      </c>
      <c r="Z2029">
        <v>171.69838988990301</v>
      </c>
    </row>
    <row r="2030" spans="1:26" x14ac:dyDescent="0.3">
      <c r="A2030" t="s">
        <v>33</v>
      </c>
      <c r="B2030" t="s">
        <v>2086</v>
      </c>
      <c r="C2030">
        <v>37.435400612408301</v>
      </c>
      <c r="D2030">
        <v>46</v>
      </c>
      <c r="E2030">
        <v>732</v>
      </c>
      <c r="F2030">
        <v>8872.3178589403997</v>
      </c>
      <c r="G2030" t="s">
        <v>35</v>
      </c>
      <c r="H2030">
        <v>71</v>
      </c>
      <c r="I2030">
        <v>15</v>
      </c>
      <c r="J2030">
        <v>25</v>
      </c>
      <c r="K2030">
        <v>9</v>
      </c>
      <c r="L2030" t="s">
        <v>44</v>
      </c>
      <c r="M2030">
        <v>13.267189217923301</v>
      </c>
      <c r="N2030" t="s">
        <v>57</v>
      </c>
      <c r="O2030" t="s">
        <v>38</v>
      </c>
      <c r="P2030">
        <f>VLOOKUP(O2030, Coordinates!$A$2:$C$6, 2, FALSE)</f>
        <v>25.761700000000001</v>
      </c>
      <c r="Q2030">
        <f>VLOOKUP(O2030, Coordinates!$A$2:$C$6, 3, FALSE)</f>
        <v>-80.191800000000001</v>
      </c>
      <c r="R2030">
        <v>30</v>
      </c>
      <c r="S2030">
        <v>518</v>
      </c>
      <c r="T2030">
        <v>3</v>
      </c>
      <c r="U2030">
        <v>78.700229226368407</v>
      </c>
      <c r="V2030" t="s">
        <v>30</v>
      </c>
      <c r="W2030">
        <v>3.7745027202049402</v>
      </c>
      <c r="X2030" t="s">
        <v>46</v>
      </c>
      <c r="Y2030" t="s">
        <v>60</v>
      </c>
      <c r="Z2030">
        <v>980.60450177718303</v>
      </c>
    </row>
    <row r="2031" spans="1:26" x14ac:dyDescent="0.3">
      <c r="A2031" t="s">
        <v>24</v>
      </c>
      <c r="B2031" t="s">
        <v>2087</v>
      </c>
      <c r="C2031">
        <v>29.113197475939199</v>
      </c>
      <c r="D2031">
        <v>37</v>
      </c>
      <c r="E2031">
        <v>515</v>
      </c>
      <c r="F2031">
        <v>13493.9670300978</v>
      </c>
      <c r="G2031" t="s">
        <v>26</v>
      </c>
      <c r="H2031">
        <v>32</v>
      </c>
      <c r="I2031">
        <v>11</v>
      </c>
      <c r="J2031">
        <v>31</v>
      </c>
      <c r="K2031">
        <v>8</v>
      </c>
      <c r="L2031" t="s">
        <v>27</v>
      </c>
      <c r="M2031">
        <v>12.820570500579599</v>
      </c>
      <c r="N2031" t="s">
        <v>51</v>
      </c>
      <c r="O2031" t="s">
        <v>65</v>
      </c>
      <c r="P2031">
        <f>VLOOKUP(O2031, Coordinates!$A$2:$C$6, 2, FALSE)</f>
        <v>41.878100000000003</v>
      </c>
      <c r="Q2031">
        <f>VLOOKUP(O2031, Coordinates!$A$2:$C$6, 3, FALSE)</f>
        <v>-87.629800000000003</v>
      </c>
      <c r="R2031">
        <v>21</v>
      </c>
      <c r="S2031">
        <v>323</v>
      </c>
      <c r="T2031">
        <v>19</v>
      </c>
      <c r="U2031">
        <v>90.607016487591295</v>
      </c>
      <c r="V2031" t="s">
        <v>39</v>
      </c>
      <c r="W2031">
        <v>0.39520588697057202</v>
      </c>
      <c r="X2031" t="s">
        <v>31</v>
      </c>
      <c r="Y2031" t="s">
        <v>60</v>
      </c>
      <c r="Z2031">
        <v>516.135118776936</v>
      </c>
    </row>
    <row r="2032" spans="1:26" x14ac:dyDescent="0.3">
      <c r="A2032" t="s">
        <v>42</v>
      </c>
      <c r="B2032" t="s">
        <v>2088</v>
      </c>
      <c r="C2032">
        <v>91.757104640038307</v>
      </c>
      <c r="D2032">
        <v>92</v>
      </c>
      <c r="E2032">
        <v>585</v>
      </c>
      <c r="F2032">
        <v>2226.1028639115302</v>
      </c>
      <c r="G2032" t="s">
        <v>54</v>
      </c>
      <c r="H2032">
        <v>40</v>
      </c>
      <c r="I2032">
        <v>18</v>
      </c>
      <c r="J2032">
        <v>45</v>
      </c>
      <c r="K2032">
        <v>6</v>
      </c>
      <c r="L2032" t="s">
        <v>44</v>
      </c>
      <c r="M2032">
        <v>3.87273258305926</v>
      </c>
      <c r="N2032" t="s">
        <v>37</v>
      </c>
      <c r="O2032" t="s">
        <v>38</v>
      </c>
      <c r="P2032">
        <f>VLOOKUP(O2032, Coordinates!$A$2:$C$6, 2, FALSE)</f>
        <v>25.761700000000001</v>
      </c>
      <c r="Q2032">
        <f>VLOOKUP(O2032, Coordinates!$A$2:$C$6, 3, FALSE)</f>
        <v>-80.191800000000001</v>
      </c>
      <c r="R2032">
        <v>10</v>
      </c>
      <c r="S2032">
        <v>449</v>
      </c>
      <c r="T2032">
        <v>8</v>
      </c>
      <c r="U2032">
        <v>47.154827780459897</v>
      </c>
      <c r="V2032" t="s">
        <v>30</v>
      </c>
      <c r="W2032">
        <v>4.1895724870000004</v>
      </c>
      <c r="X2032" t="s">
        <v>52</v>
      </c>
      <c r="Y2032" t="s">
        <v>60</v>
      </c>
      <c r="Z2032">
        <v>708.20771422871599</v>
      </c>
    </row>
    <row r="2033" spans="1:26" x14ac:dyDescent="0.3">
      <c r="A2033" t="s">
        <v>49</v>
      </c>
      <c r="B2033" t="s">
        <v>2089</v>
      </c>
      <c r="C2033">
        <v>22.992374699060299</v>
      </c>
      <c r="D2033">
        <v>60</v>
      </c>
      <c r="E2033">
        <v>73</v>
      </c>
      <c r="F2033">
        <v>6673.6083343239898</v>
      </c>
      <c r="G2033" t="s">
        <v>48</v>
      </c>
      <c r="H2033">
        <v>18</v>
      </c>
      <c r="I2033">
        <v>14</v>
      </c>
      <c r="J2033">
        <v>67</v>
      </c>
      <c r="K2033">
        <v>10</v>
      </c>
      <c r="L2033" t="s">
        <v>44</v>
      </c>
      <c r="M2033">
        <v>12.652748521241501</v>
      </c>
      <c r="N2033" t="s">
        <v>28</v>
      </c>
      <c r="O2033" t="s">
        <v>65</v>
      </c>
      <c r="P2033">
        <f>VLOOKUP(O2033, Coordinates!$A$2:$C$6, 2, FALSE)</f>
        <v>41.878100000000003</v>
      </c>
      <c r="Q2033">
        <f>VLOOKUP(O2033, Coordinates!$A$2:$C$6, 3, FALSE)</f>
        <v>-87.629800000000003</v>
      </c>
      <c r="R2033">
        <v>7</v>
      </c>
      <c r="S2033">
        <v>867</v>
      </c>
      <c r="T2033">
        <v>11</v>
      </c>
      <c r="U2033">
        <v>36.5617286049714</v>
      </c>
      <c r="V2033" t="s">
        <v>30</v>
      </c>
      <c r="W2033">
        <v>3.3130443208478</v>
      </c>
      <c r="X2033" t="s">
        <v>46</v>
      </c>
      <c r="Y2033" t="s">
        <v>41</v>
      </c>
      <c r="Z2033">
        <v>886.46807886383795</v>
      </c>
    </row>
    <row r="2034" spans="1:26" x14ac:dyDescent="0.3">
      <c r="A2034" t="s">
        <v>42</v>
      </c>
      <c r="B2034" t="s">
        <v>2090</v>
      </c>
      <c r="C2034">
        <v>5.4775224979312904</v>
      </c>
      <c r="D2034">
        <v>31</v>
      </c>
      <c r="E2034">
        <v>85</v>
      </c>
      <c r="F2034">
        <v>3711.0317325605101</v>
      </c>
      <c r="G2034" t="s">
        <v>26</v>
      </c>
      <c r="H2034">
        <v>84</v>
      </c>
      <c r="I2034">
        <v>27</v>
      </c>
      <c r="J2034">
        <v>64</v>
      </c>
      <c r="K2034">
        <v>6</v>
      </c>
      <c r="L2034" t="s">
        <v>44</v>
      </c>
      <c r="M2034">
        <v>3.45243237566465</v>
      </c>
      <c r="N2034" t="s">
        <v>45</v>
      </c>
      <c r="O2034" t="s">
        <v>38</v>
      </c>
      <c r="P2034">
        <f>VLOOKUP(O2034, Coordinates!$A$2:$C$6, 2, FALSE)</f>
        <v>25.761700000000001</v>
      </c>
      <c r="Q2034">
        <f>VLOOKUP(O2034, Coordinates!$A$2:$C$6, 3, FALSE)</f>
        <v>-80.191800000000001</v>
      </c>
      <c r="R2034">
        <v>25</v>
      </c>
      <c r="S2034">
        <v>721</v>
      </c>
      <c r="T2034">
        <v>3</v>
      </c>
      <c r="U2034">
        <v>16.351267466530398</v>
      </c>
      <c r="V2034" t="s">
        <v>39</v>
      </c>
      <c r="W2034">
        <v>3.60050313978972</v>
      </c>
      <c r="X2034" t="s">
        <v>52</v>
      </c>
      <c r="Y2034" t="s">
        <v>41</v>
      </c>
      <c r="Z2034">
        <v>665.95586254094496</v>
      </c>
    </row>
    <row r="2035" spans="1:26" x14ac:dyDescent="0.3">
      <c r="A2035" t="s">
        <v>61</v>
      </c>
      <c r="B2035" t="s">
        <v>2091</v>
      </c>
      <c r="C2035">
        <v>10.7091589859261</v>
      </c>
      <c r="D2035">
        <v>11</v>
      </c>
      <c r="E2035">
        <v>546</v>
      </c>
      <c r="F2035">
        <v>1167.13646888588</v>
      </c>
      <c r="G2035" t="s">
        <v>35</v>
      </c>
      <c r="H2035">
        <v>40</v>
      </c>
      <c r="I2035">
        <v>9</v>
      </c>
      <c r="J2035">
        <v>44</v>
      </c>
      <c r="K2035">
        <v>6</v>
      </c>
      <c r="L2035" t="s">
        <v>27</v>
      </c>
      <c r="M2035">
        <v>13.0918546528906</v>
      </c>
      <c r="N2035" t="s">
        <v>28</v>
      </c>
      <c r="O2035" t="s">
        <v>67</v>
      </c>
      <c r="P2035">
        <f>VLOOKUP(O2035, Coordinates!$A$2:$C$6, 2, FALSE)</f>
        <v>40.712800000000001</v>
      </c>
      <c r="Q2035">
        <f>VLOOKUP(O2035, Coordinates!$A$2:$C$6, 3, FALSE)</f>
        <v>-74.006</v>
      </c>
      <c r="R2035">
        <v>14</v>
      </c>
      <c r="S2035">
        <v>931</v>
      </c>
      <c r="T2035">
        <v>3</v>
      </c>
      <c r="U2035">
        <v>47.133909716178501</v>
      </c>
      <c r="V2035" t="s">
        <v>55</v>
      </c>
      <c r="W2035">
        <v>4.3324327173524502</v>
      </c>
      <c r="X2035" t="s">
        <v>52</v>
      </c>
      <c r="Y2035" t="s">
        <v>60</v>
      </c>
      <c r="Z2035">
        <v>902.37264339085004</v>
      </c>
    </row>
    <row r="2036" spans="1:26" x14ac:dyDescent="0.3">
      <c r="A2036" t="s">
        <v>82</v>
      </c>
      <c r="B2036" t="s">
        <v>2092</v>
      </c>
      <c r="C2036">
        <v>90.952802460000001</v>
      </c>
      <c r="D2036">
        <v>87</v>
      </c>
      <c r="E2036">
        <v>589</v>
      </c>
      <c r="F2036">
        <v>8997.7840242665898</v>
      </c>
      <c r="G2036" t="s">
        <v>48</v>
      </c>
      <c r="H2036">
        <v>84</v>
      </c>
      <c r="I2036">
        <v>5</v>
      </c>
      <c r="J2036">
        <v>34</v>
      </c>
      <c r="K2036">
        <v>10</v>
      </c>
      <c r="L2036" t="s">
        <v>44</v>
      </c>
      <c r="M2036">
        <v>11.7844930764574</v>
      </c>
      <c r="N2036" t="s">
        <v>28</v>
      </c>
      <c r="O2036" t="s">
        <v>67</v>
      </c>
      <c r="P2036">
        <f>VLOOKUP(O2036, Coordinates!$A$2:$C$6, 2, FALSE)</f>
        <v>40.712800000000001</v>
      </c>
      <c r="Q2036">
        <f>VLOOKUP(O2036, Coordinates!$A$2:$C$6, 3, FALSE)</f>
        <v>-74.006</v>
      </c>
      <c r="R2036">
        <v>13</v>
      </c>
      <c r="S2036">
        <v>951</v>
      </c>
      <c r="T2036">
        <v>1</v>
      </c>
      <c r="U2036">
        <v>65.455613687183202</v>
      </c>
      <c r="V2036" t="s">
        <v>30</v>
      </c>
      <c r="W2036">
        <v>0.93065639338164197</v>
      </c>
      <c r="X2036" t="s">
        <v>46</v>
      </c>
      <c r="Y2036" t="s">
        <v>41</v>
      </c>
      <c r="Z2036">
        <v>894.88256139623695</v>
      </c>
    </row>
    <row r="2037" spans="1:26" x14ac:dyDescent="0.3">
      <c r="A2037" t="s">
        <v>49</v>
      </c>
      <c r="B2037" t="s">
        <v>2093</v>
      </c>
      <c r="C2037">
        <v>66.514064160119403</v>
      </c>
      <c r="D2037">
        <v>2</v>
      </c>
      <c r="E2037">
        <v>266</v>
      </c>
      <c r="F2037">
        <v>3042.10690519427</v>
      </c>
      <c r="G2037" t="s">
        <v>54</v>
      </c>
      <c r="H2037">
        <v>88</v>
      </c>
      <c r="I2037">
        <v>23</v>
      </c>
      <c r="J2037">
        <v>81</v>
      </c>
      <c r="K2037">
        <v>5</v>
      </c>
      <c r="L2037" t="s">
        <v>27</v>
      </c>
      <c r="M2037">
        <v>8.9780550399999992</v>
      </c>
      <c r="N2037" t="s">
        <v>57</v>
      </c>
      <c r="O2037" t="s">
        <v>65</v>
      </c>
      <c r="P2037">
        <f>VLOOKUP(O2037, Coordinates!$A$2:$C$6, 2, FALSE)</f>
        <v>41.878100000000003</v>
      </c>
      <c r="Q2037">
        <f>VLOOKUP(O2037, Coordinates!$A$2:$C$6, 3, FALSE)</f>
        <v>-87.629800000000003</v>
      </c>
      <c r="R2037">
        <v>21</v>
      </c>
      <c r="S2037">
        <v>861</v>
      </c>
      <c r="T2037">
        <v>30</v>
      </c>
      <c r="U2037">
        <v>26.064791197697598</v>
      </c>
      <c r="V2037" t="s">
        <v>55</v>
      </c>
      <c r="W2037">
        <v>1.3228211370741201</v>
      </c>
      <c r="X2037" t="s">
        <v>40</v>
      </c>
      <c r="Y2037" t="s">
        <v>60</v>
      </c>
      <c r="Z2037">
        <v>579.07735640554995</v>
      </c>
    </row>
    <row r="2038" spans="1:26" x14ac:dyDescent="0.3">
      <c r="A2038" t="s">
        <v>24</v>
      </c>
      <c r="B2038" t="s">
        <v>2094</v>
      </c>
      <c r="C2038">
        <v>34.751649340963802</v>
      </c>
      <c r="D2038">
        <v>27</v>
      </c>
      <c r="E2038">
        <v>93</v>
      </c>
      <c r="F2038">
        <v>2908.71304983867</v>
      </c>
      <c r="G2038" t="s">
        <v>48</v>
      </c>
      <c r="H2038">
        <v>41</v>
      </c>
      <c r="I2038">
        <v>4</v>
      </c>
      <c r="J2038">
        <v>90</v>
      </c>
      <c r="K2038">
        <v>8</v>
      </c>
      <c r="L2038" t="s">
        <v>44</v>
      </c>
      <c r="M2038">
        <v>9.9911034613462402</v>
      </c>
      <c r="N2038" t="s">
        <v>51</v>
      </c>
      <c r="O2038" t="s">
        <v>29</v>
      </c>
      <c r="P2038">
        <f>VLOOKUP(O2038, Coordinates!$A$2:$C$6, 2, FALSE)</f>
        <v>29.760400000000001</v>
      </c>
      <c r="Q2038">
        <f>VLOOKUP(O2038, Coordinates!$A$2:$C$6, 3, FALSE)</f>
        <v>-95.369799999999998</v>
      </c>
      <c r="R2038">
        <v>22</v>
      </c>
      <c r="S2038">
        <v>176</v>
      </c>
      <c r="T2038">
        <v>24</v>
      </c>
      <c r="U2038">
        <v>91.863846130394705</v>
      </c>
      <c r="V2038" t="s">
        <v>30</v>
      </c>
      <c r="W2038">
        <v>0.68561830829603299</v>
      </c>
      <c r="X2038" t="s">
        <v>46</v>
      </c>
      <c r="Y2038" t="s">
        <v>41</v>
      </c>
      <c r="Z2038">
        <v>901.59684809999999</v>
      </c>
    </row>
    <row r="2039" spans="1:26" x14ac:dyDescent="0.3">
      <c r="A2039" t="s">
        <v>24</v>
      </c>
      <c r="B2039" t="s">
        <v>2095</v>
      </c>
      <c r="C2039">
        <v>27.065886996432599</v>
      </c>
      <c r="D2039">
        <v>99</v>
      </c>
      <c r="E2039">
        <v>919</v>
      </c>
      <c r="F2039">
        <v>22386.1951347494</v>
      </c>
      <c r="G2039" t="s">
        <v>48</v>
      </c>
      <c r="H2039">
        <v>22</v>
      </c>
      <c r="I2039">
        <v>12</v>
      </c>
      <c r="J2039">
        <v>70</v>
      </c>
      <c r="K2039">
        <v>3</v>
      </c>
      <c r="L2039" t="s">
        <v>44</v>
      </c>
      <c r="M2039">
        <v>-10</v>
      </c>
      <c r="N2039" t="s">
        <v>45</v>
      </c>
      <c r="O2039" t="s">
        <v>38</v>
      </c>
      <c r="P2039">
        <f>VLOOKUP(O2039, Coordinates!$A$2:$C$6, 2, FALSE)</f>
        <v>25.761700000000001</v>
      </c>
      <c r="Q2039">
        <f>VLOOKUP(O2039, Coordinates!$A$2:$C$6, 3, FALSE)</f>
        <v>-80.191800000000001</v>
      </c>
      <c r="R2039">
        <v>28</v>
      </c>
      <c r="S2039">
        <v>894</v>
      </c>
      <c r="T2039">
        <v>13</v>
      </c>
      <c r="U2039">
        <v>89.560488113313596</v>
      </c>
      <c r="V2039" t="s">
        <v>39</v>
      </c>
      <c r="W2039">
        <v>4.9573600494666401</v>
      </c>
      <c r="X2039" t="s">
        <v>31</v>
      </c>
      <c r="Y2039" t="s">
        <v>41</v>
      </c>
      <c r="Z2039">
        <v>733.71594194174304</v>
      </c>
    </row>
    <row r="2040" spans="1:26" x14ac:dyDescent="0.3">
      <c r="A2040" t="s">
        <v>61</v>
      </c>
      <c r="B2040" t="s">
        <v>2096</v>
      </c>
      <c r="C2040">
        <v>32.9553399805258</v>
      </c>
      <c r="D2040">
        <v>2</v>
      </c>
      <c r="E2040">
        <v>212</v>
      </c>
      <c r="F2040">
        <v>7863.8814092033499</v>
      </c>
      <c r="G2040" t="s">
        <v>48</v>
      </c>
      <c r="H2040">
        <v>74</v>
      </c>
      <c r="I2040">
        <v>29</v>
      </c>
      <c r="J2040">
        <v>27</v>
      </c>
      <c r="K2040">
        <v>3</v>
      </c>
      <c r="L2040" t="s">
        <v>44</v>
      </c>
      <c r="M2040">
        <v>1.5583925408086401</v>
      </c>
      <c r="N2040" t="s">
        <v>37</v>
      </c>
      <c r="O2040" t="s">
        <v>58</v>
      </c>
      <c r="P2040">
        <f>VLOOKUP(O2040, Coordinates!$A$2:$C$6, 2, FALSE)</f>
        <v>34.052199999999999</v>
      </c>
      <c r="Q2040">
        <f>VLOOKUP(O2040, Coordinates!$A$2:$C$6, 3, FALSE)</f>
        <v>-118.2437</v>
      </c>
      <c r="R2040">
        <v>10</v>
      </c>
      <c r="S2040">
        <v>698</v>
      </c>
      <c r="T2040">
        <v>30</v>
      </c>
      <c r="U2040">
        <v>62.139219180149198</v>
      </c>
      <c r="V2040" t="s">
        <v>55</v>
      </c>
      <c r="W2040">
        <v>4.9336659236704303</v>
      </c>
      <c r="X2040" t="s">
        <v>46</v>
      </c>
      <c r="Y2040" t="s">
        <v>32</v>
      </c>
      <c r="Z2040">
        <v>455.60365537086398</v>
      </c>
    </row>
    <row r="2041" spans="1:26" x14ac:dyDescent="0.3">
      <c r="A2041" t="s">
        <v>61</v>
      </c>
      <c r="B2041" t="s">
        <v>2097</v>
      </c>
      <c r="C2041">
        <v>15.9057080888716</v>
      </c>
      <c r="D2041">
        <v>21</v>
      </c>
      <c r="E2041">
        <v>217</v>
      </c>
      <c r="F2041">
        <v>2813.1534621384399</v>
      </c>
      <c r="G2041" t="s">
        <v>26</v>
      </c>
      <c r="H2041">
        <v>32</v>
      </c>
      <c r="I2041">
        <v>1</v>
      </c>
      <c r="J2041">
        <v>67</v>
      </c>
      <c r="K2041">
        <v>10</v>
      </c>
      <c r="L2041" t="s">
        <v>27</v>
      </c>
      <c r="M2041">
        <v>5.6290543842747196</v>
      </c>
      <c r="N2041" t="s">
        <v>45</v>
      </c>
      <c r="O2041" t="s">
        <v>38</v>
      </c>
      <c r="P2041">
        <f>VLOOKUP(O2041, Coordinates!$A$2:$C$6, 2, FALSE)</f>
        <v>25.761700000000001</v>
      </c>
      <c r="Q2041">
        <f>VLOOKUP(O2041, Coordinates!$A$2:$C$6, 3, FALSE)</f>
        <v>-80.191800000000001</v>
      </c>
      <c r="R2041">
        <v>28</v>
      </c>
      <c r="S2041">
        <v>861</v>
      </c>
      <c r="T2041">
        <v>10</v>
      </c>
      <c r="U2041">
        <v>88.190691685590096</v>
      </c>
      <c r="V2041" t="s">
        <v>39</v>
      </c>
      <c r="W2041">
        <v>4.4330641901998602</v>
      </c>
      <c r="X2041" t="s">
        <v>52</v>
      </c>
      <c r="Y2041" t="s">
        <v>41</v>
      </c>
      <c r="Z2041">
        <v>903.57421371465102</v>
      </c>
    </row>
    <row r="2042" spans="1:26" x14ac:dyDescent="0.3">
      <c r="A2042" t="s">
        <v>49</v>
      </c>
      <c r="B2042" t="s">
        <v>2098</v>
      </c>
      <c r="C2042">
        <v>94.445626480000001</v>
      </c>
      <c r="D2042">
        <v>58</v>
      </c>
      <c r="E2042">
        <v>838</v>
      </c>
      <c r="F2042">
        <v>3107.74983055131</v>
      </c>
      <c r="G2042" t="s">
        <v>35</v>
      </c>
      <c r="H2042">
        <v>19</v>
      </c>
      <c r="I2042">
        <v>30</v>
      </c>
      <c r="J2042">
        <v>85</v>
      </c>
      <c r="K2042">
        <v>7</v>
      </c>
      <c r="L2042" t="s">
        <v>27</v>
      </c>
      <c r="M2042">
        <v>12.499681359840601</v>
      </c>
      <c r="N2042" t="s">
        <v>51</v>
      </c>
      <c r="O2042" t="s">
        <v>67</v>
      </c>
      <c r="P2042">
        <f>VLOOKUP(O2042, Coordinates!$A$2:$C$6, 2, FALSE)</f>
        <v>40.712800000000001</v>
      </c>
      <c r="Q2042">
        <f>VLOOKUP(O2042, Coordinates!$A$2:$C$6, 3, FALSE)</f>
        <v>-74.006</v>
      </c>
      <c r="R2042">
        <v>1</v>
      </c>
      <c r="S2042">
        <v>307</v>
      </c>
      <c r="T2042">
        <v>26</v>
      </c>
      <c r="U2042">
        <v>81.210787269999997</v>
      </c>
      <c r="V2042" t="s">
        <v>39</v>
      </c>
      <c r="W2042">
        <v>4.1548824293289899</v>
      </c>
      <c r="X2042" t="s">
        <v>40</v>
      </c>
      <c r="Y2042" t="s">
        <v>60</v>
      </c>
      <c r="Z2042">
        <v>541.38712213209897</v>
      </c>
    </row>
    <row r="2043" spans="1:26" x14ac:dyDescent="0.3">
      <c r="A2043" t="s">
        <v>42</v>
      </c>
      <c r="B2043" t="s">
        <v>2099</v>
      </c>
      <c r="C2043">
        <v>79.499586564700294</v>
      </c>
      <c r="D2043">
        <v>5</v>
      </c>
      <c r="E2043">
        <v>270</v>
      </c>
      <c r="F2043">
        <v>5691.4097844165899</v>
      </c>
      <c r="G2043" t="s">
        <v>48</v>
      </c>
      <c r="H2043">
        <v>24</v>
      </c>
      <c r="I2043">
        <v>24</v>
      </c>
      <c r="J2043">
        <v>66</v>
      </c>
      <c r="K2043">
        <v>5</v>
      </c>
      <c r="L2043" t="s">
        <v>27</v>
      </c>
      <c r="M2043">
        <v>7.52099802451961</v>
      </c>
      <c r="N2043" t="s">
        <v>57</v>
      </c>
      <c r="O2043" t="s">
        <v>29</v>
      </c>
      <c r="P2043">
        <f>VLOOKUP(O2043, Coordinates!$A$2:$C$6, 2, FALSE)</f>
        <v>29.760400000000001</v>
      </c>
      <c r="Q2043">
        <f>VLOOKUP(O2043, Coordinates!$A$2:$C$6, 3, FALSE)</f>
        <v>-95.369799999999998</v>
      </c>
      <c r="R2043">
        <v>24</v>
      </c>
      <c r="S2043">
        <v>258</v>
      </c>
      <c r="T2043">
        <v>6</v>
      </c>
      <c r="U2043">
        <v>96.904994705742595</v>
      </c>
      <c r="V2043" t="s">
        <v>30</v>
      </c>
      <c r="W2043">
        <v>3.2594003583653599</v>
      </c>
      <c r="X2043" t="s">
        <v>46</v>
      </c>
      <c r="Y2043" t="s">
        <v>41</v>
      </c>
      <c r="Z2043">
        <v>582.40729621197795</v>
      </c>
    </row>
    <row r="2044" spans="1:26" x14ac:dyDescent="0.3">
      <c r="A2044" t="s">
        <v>72</v>
      </c>
      <c r="B2044" t="s">
        <v>2100</v>
      </c>
      <c r="C2044">
        <v>38.995463059904601</v>
      </c>
      <c r="D2044">
        <v>52</v>
      </c>
      <c r="E2044">
        <v>916</v>
      </c>
      <c r="F2044">
        <v>32147.8597465854</v>
      </c>
      <c r="G2044" t="s">
        <v>35</v>
      </c>
      <c r="H2044">
        <v>89</v>
      </c>
      <c r="I2044">
        <v>13</v>
      </c>
      <c r="J2044">
        <v>96</v>
      </c>
      <c r="K2044">
        <v>8</v>
      </c>
      <c r="L2044" t="s">
        <v>36</v>
      </c>
      <c r="M2044">
        <v>4.1275164207448896</v>
      </c>
      <c r="N2044" t="s">
        <v>51</v>
      </c>
      <c r="O2044" t="s">
        <v>65</v>
      </c>
      <c r="P2044">
        <f>VLOOKUP(O2044, Coordinates!$A$2:$C$6, 2, FALSE)</f>
        <v>41.878100000000003</v>
      </c>
      <c r="Q2044">
        <f>VLOOKUP(O2044, Coordinates!$A$2:$C$6, 3, FALSE)</f>
        <v>-87.629800000000003</v>
      </c>
      <c r="R2044">
        <v>3</v>
      </c>
      <c r="S2044">
        <v>623</v>
      </c>
      <c r="T2044">
        <v>11</v>
      </c>
      <c r="U2044">
        <v>78.200376826173496</v>
      </c>
      <c r="V2044" t="s">
        <v>30</v>
      </c>
      <c r="W2044">
        <v>7.9070653000000005E-2</v>
      </c>
      <c r="X2044" t="s">
        <v>40</v>
      </c>
      <c r="Y2044" t="s">
        <v>41</v>
      </c>
      <c r="Z2044">
        <v>544.05394106172298</v>
      </c>
    </row>
    <row r="2045" spans="1:26" x14ac:dyDescent="0.3">
      <c r="A2045" t="s">
        <v>24</v>
      </c>
      <c r="B2045" t="s">
        <v>2101</v>
      </c>
      <c r="C2045">
        <v>28.274606976395798</v>
      </c>
      <c r="D2045">
        <v>45</v>
      </c>
      <c r="E2045">
        <v>297</v>
      </c>
      <c r="F2045">
        <v>7557.8024447906</v>
      </c>
      <c r="G2045" t="s">
        <v>26</v>
      </c>
      <c r="H2045">
        <v>51</v>
      </c>
      <c r="I2045">
        <v>1</v>
      </c>
      <c r="J2045">
        <v>72</v>
      </c>
      <c r="K2045">
        <v>5</v>
      </c>
      <c r="L2045" t="s">
        <v>27</v>
      </c>
      <c r="M2045">
        <v>12.6836845988074</v>
      </c>
      <c r="N2045" t="s">
        <v>37</v>
      </c>
      <c r="O2045" t="s">
        <v>58</v>
      </c>
      <c r="P2045">
        <f>VLOOKUP(O2045, Coordinates!$A$2:$C$6, 2, FALSE)</f>
        <v>34.052199999999999</v>
      </c>
      <c r="Q2045">
        <f>VLOOKUP(O2045, Coordinates!$A$2:$C$6, 3, FALSE)</f>
        <v>-118.2437</v>
      </c>
      <c r="R2045">
        <v>11</v>
      </c>
      <c r="S2045">
        <v>324</v>
      </c>
      <c r="T2045">
        <v>8</v>
      </c>
      <c r="U2045">
        <v>93.725556810279699</v>
      </c>
      <c r="V2045" t="s">
        <v>39</v>
      </c>
      <c r="W2045">
        <v>4.7244509646884998</v>
      </c>
      <c r="X2045" t="s">
        <v>40</v>
      </c>
      <c r="Y2045" t="s">
        <v>60</v>
      </c>
      <c r="Z2045">
        <v>660.37257715566102</v>
      </c>
    </row>
    <row r="2046" spans="1:26" x14ac:dyDescent="0.3">
      <c r="A2046" t="s">
        <v>24</v>
      </c>
      <c r="B2046" t="s">
        <v>2102</v>
      </c>
      <c r="C2046">
        <v>32.6178485421256</v>
      </c>
      <c r="D2046">
        <v>85</v>
      </c>
      <c r="E2046">
        <v>211</v>
      </c>
      <c r="F2046">
        <v>6194.12943814966</v>
      </c>
      <c r="G2046" t="s">
        <v>54</v>
      </c>
      <c r="H2046">
        <v>11</v>
      </c>
      <c r="I2046">
        <v>3</v>
      </c>
      <c r="J2046">
        <v>21</v>
      </c>
      <c r="K2046">
        <v>4</v>
      </c>
      <c r="L2046" t="s">
        <v>44</v>
      </c>
      <c r="M2046">
        <v>4.2007816210856204</v>
      </c>
      <c r="N2046" t="s">
        <v>45</v>
      </c>
      <c r="O2046" t="s">
        <v>38</v>
      </c>
      <c r="P2046">
        <f>VLOOKUP(O2046, Coordinates!$A$2:$C$6, 2, FALSE)</f>
        <v>25.761700000000001</v>
      </c>
      <c r="Q2046">
        <f>VLOOKUP(O2046, Coordinates!$A$2:$C$6, 3, FALSE)</f>
        <v>-80.191800000000001</v>
      </c>
      <c r="R2046">
        <v>29</v>
      </c>
      <c r="S2046">
        <v>457</v>
      </c>
      <c r="T2046">
        <v>19</v>
      </c>
      <c r="U2046">
        <v>79.267797414954401</v>
      </c>
      <c r="V2046" t="s">
        <v>39</v>
      </c>
      <c r="W2046">
        <v>4.2363920575329601</v>
      </c>
      <c r="X2046" t="s">
        <v>40</v>
      </c>
      <c r="Y2046" t="s">
        <v>41</v>
      </c>
      <c r="Z2046">
        <v>559.36136390000001</v>
      </c>
    </row>
    <row r="2047" spans="1:26" x14ac:dyDescent="0.3">
      <c r="A2047" t="s">
        <v>61</v>
      </c>
      <c r="B2047" t="s">
        <v>2103</v>
      </c>
      <c r="C2047">
        <v>73.126454004858303</v>
      </c>
      <c r="D2047">
        <v>93</v>
      </c>
      <c r="E2047">
        <v>337</v>
      </c>
      <c r="F2047">
        <v>2436.6693992748701</v>
      </c>
      <c r="G2047" t="s">
        <v>54</v>
      </c>
      <c r="H2047">
        <v>31</v>
      </c>
      <c r="I2047">
        <v>22</v>
      </c>
      <c r="J2047">
        <v>20</v>
      </c>
      <c r="K2047">
        <v>3</v>
      </c>
      <c r="L2047" t="s">
        <v>36</v>
      </c>
      <c r="M2047">
        <v>12.4169121253731</v>
      </c>
      <c r="N2047" t="s">
        <v>28</v>
      </c>
      <c r="O2047" t="s">
        <v>58</v>
      </c>
      <c r="P2047">
        <f>VLOOKUP(O2047, Coordinates!$A$2:$C$6, 2, FALSE)</f>
        <v>34.052199999999999</v>
      </c>
      <c r="Q2047">
        <f>VLOOKUP(O2047, Coordinates!$A$2:$C$6, 3, FALSE)</f>
        <v>-118.2437</v>
      </c>
      <c r="R2047">
        <v>9</v>
      </c>
      <c r="S2047">
        <v>912</v>
      </c>
      <c r="T2047">
        <v>30</v>
      </c>
      <c r="U2047">
        <v>85.599320034274101</v>
      </c>
      <c r="V2047" t="s">
        <v>30</v>
      </c>
      <c r="W2047">
        <v>4.6245035093077096</v>
      </c>
      <c r="X2047" t="s">
        <v>40</v>
      </c>
      <c r="Y2047" t="s">
        <v>32</v>
      </c>
      <c r="Z2047">
        <v>943.67628878649703</v>
      </c>
    </row>
    <row r="2048" spans="1:26" x14ac:dyDescent="0.3">
      <c r="A2048" t="s">
        <v>33</v>
      </c>
      <c r="B2048" t="s">
        <v>2104</v>
      </c>
      <c r="C2048">
        <v>86.332587406305606</v>
      </c>
      <c r="D2048">
        <v>20</v>
      </c>
      <c r="E2048">
        <v>947</v>
      </c>
      <c r="F2048">
        <v>2846.6455005564399</v>
      </c>
      <c r="G2048" t="s">
        <v>48</v>
      </c>
      <c r="H2048">
        <v>6</v>
      </c>
      <c r="I2048">
        <v>28</v>
      </c>
      <c r="J2048">
        <v>22</v>
      </c>
      <c r="K2048">
        <v>2</v>
      </c>
      <c r="L2048" t="s">
        <v>27</v>
      </c>
      <c r="M2048">
        <v>7.3417134328540703</v>
      </c>
      <c r="N2048" t="s">
        <v>51</v>
      </c>
      <c r="O2048" t="s">
        <v>67</v>
      </c>
      <c r="P2048">
        <f>VLOOKUP(O2048, Coordinates!$A$2:$C$6, 2, FALSE)</f>
        <v>40.712800000000001</v>
      </c>
      <c r="Q2048">
        <f>VLOOKUP(O2048, Coordinates!$A$2:$C$6, 3, FALSE)</f>
        <v>-74.006</v>
      </c>
      <c r="R2048">
        <v>13</v>
      </c>
      <c r="S2048">
        <v>483</v>
      </c>
      <c r="T2048">
        <v>11</v>
      </c>
      <c r="U2048">
        <v>74.684947782360993</v>
      </c>
      <c r="V2048" t="s">
        <v>39</v>
      </c>
      <c r="W2048">
        <v>2.5086982885351601</v>
      </c>
      <c r="X2048" t="s">
        <v>52</v>
      </c>
      <c r="Y2048" t="s">
        <v>32</v>
      </c>
      <c r="Z2048">
        <v>218.01016719643599</v>
      </c>
    </row>
    <row r="2049" spans="1:26" x14ac:dyDescent="0.3">
      <c r="A2049" t="s">
        <v>61</v>
      </c>
      <c r="B2049" t="s">
        <v>2105</v>
      </c>
      <c r="C2049">
        <v>38.893027600000003</v>
      </c>
      <c r="D2049">
        <v>61</v>
      </c>
      <c r="E2049">
        <v>292</v>
      </c>
      <c r="F2049">
        <v>8096.9665780742998</v>
      </c>
      <c r="G2049" t="s">
        <v>26</v>
      </c>
      <c r="H2049">
        <v>73</v>
      </c>
      <c r="I2049">
        <v>24</v>
      </c>
      <c r="J2049">
        <v>44</v>
      </c>
      <c r="K2049">
        <v>3</v>
      </c>
      <c r="L2049" t="s">
        <v>27</v>
      </c>
      <c r="M2049">
        <v>7.4889284217419396</v>
      </c>
      <c r="N2049" t="s">
        <v>57</v>
      </c>
      <c r="O2049" t="s">
        <v>38</v>
      </c>
      <c r="P2049">
        <f>VLOOKUP(O2049, Coordinates!$A$2:$C$6, 2, FALSE)</f>
        <v>25.761700000000001</v>
      </c>
      <c r="Q2049">
        <f>VLOOKUP(O2049, Coordinates!$A$2:$C$6, 3, FALSE)</f>
        <v>-80.191800000000001</v>
      </c>
      <c r="R2049">
        <v>22</v>
      </c>
      <c r="S2049">
        <v>643</v>
      </c>
      <c r="T2049">
        <v>6</v>
      </c>
      <c r="U2049">
        <v>55.023058843657701</v>
      </c>
      <c r="V2049" t="s">
        <v>30</v>
      </c>
      <c r="W2049">
        <v>1.10187591237939</v>
      </c>
      <c r="X2049" t="s">
        <v>52</v>
      </c>
      <c r="Y2049" t="s">
        <v>32</v>
      </c>
      <c r="Z2049">
        <v>112.08461398064399</v>
      </c>
    </row>
    <row r="2050" spans="1:26" x14ac:dyDescent="0.3">
      <c r="A2050" t="s">
        <v>72</v>
      </c>
      <c r="B2050" t="s">
        <v>2106</v>
      </c>
      <c r="C2050">
        <v>24.433592035243301</v>
      </c>
      <c r="D2050">
        <v>38</v>
      </c>
      <c r="E2050">
        <v>51</v>
      </c>
      <c r="F2050">
        <v>1121.50187441766</v>
      </c>
      <c r="G2050" t="s">
        <v>54</v>
      </c>
      <c r="H2050">
        <v>67</v>
      </c>
      <c r="I2050">
        <v>18</v>
      </c>
      <c r="J2050">
        <v>36</v>
      </c>
      <c r="K2050">
        <v>7</v>
      </c>
      <c r="L2050" t="s">
        <v>36</v>
      </c>
      <c r="M2050">
        <v>4.8180745380153898</v>
      </c>
      <c r="N2050" t="s">
        <v>57</v>
      </c>
      <c r="O2050" t="s">
        <v>38</v>
      </c>
      <c r="P2050">
        <f>VLOOKUP(O2050, Coordinates!$A$2:$C$6, 2, FALSE)</f>
        <v>25.761700000000001</v>
      </c>
      <c r="Q2050">
        <f>VLOOKUP(O2050, Coordinates!$A$2:$C$6, 3, FALSE)</f>
        <v>-80.191800000000001</v>
      </c>
      <c r="R2050">
        <v>4</v>
      </c>
      <c r="S2050">
        <v>665</v>
      </c>
      <c r="T2050">
        <v>12</v>
      </c>
      <c r="U2050">
        <v>82.151373819368303</v>
      </c>
      <c r="V2050" t="s">
        <v>30</v>
      </c>
      <c r="W2050">
        <v>1.9563233873524</v>
      </c>
      <c r="X2050" t="s">
        <v>52</v>
      </c>
      <c r="Y2050" t="s">
        <v>32</v>
      </c>
      <c r="Z2050">
        <v>569.60769779999998</v>
      </c>
    </row>
    <row r="2051" spans="1:26" x14ac:dyDescent="0.3">
      <c r="A2051" t="s">
        <v>42</v>
      </c>
      <c r="B2051" t="s">
        <v>2107</v>
      </c>
      <c r="C2051">
        <v>33.031873180109301</v>
      </c>
      <c r="D2051">
        <v>20</v>
      </c>
      <c r="E2051">
        <v>626</v>
      </c>
      <c r="F2051">
        <v>1256.1165265953</v>
      </c>
      <c r="G2051" t="s">
        <v>26</v>
      </c>
      <c r="H2051">
        <v>14</v>
      </c>
      <c r="I2051">
        <v>25</v>
      </c>
      <c r="J2051">
        <v>98</v>
      </c>
      <c r="K2051">
        <v>8</v>
      </c>
      <c r="L2051" t="s">
        <v>36</v>
      </c>
      <c r="M2051">
        <v>13.6024362925909</v>
      </c>
      <c r="N2051" t="s">
        <v>45</v>
      </c>
      <c r="O2051" t="s">
        <v>38</v>
      </c>
      <c r="P2051">
        <f>VLOOKUP(O2051, Coordinates!$A$2:$C$6, 2, FALSE)</f>
        <v>25.761700000000001</v>
      </c>
      <c r="Q2051">
        <f>VLOOKUP(O2051, Coordinates!$A$2:$C$6, 3, FALSE)</f>
        <v>-80.191800000000001</v>
      </c>
      <c r="R2051">
        <v>30</v>
      </c>
      <c r="S2051">
        <v>603</v>
      </c>
      <c r="T2051">
        <v>18</v>
      </c>
      <c r="U2051">
        <v>88.949417854186507</v>
      </c>
      <c r="V2051" t="s">
        <v>55</v>
      </c>
      <c r="W2051">
        <v>4.8045209393945996</v>
      </c>
      <c r="X2051" t="s">
        <v>52</v>
      </c>
      <c r="Y2051" t="s">
        <v>60</v>
      </c>
      <c r="Z2051">
        <v>788.16773260000002</v>
      </c>
    </row>
    <row r="2052" spans="1:26" x14ac:dyDescent="0.3">
      <c r="A2052" t="s">
        <v>42</v>
      </c>
      <c r="B2052" t="s">
        <v>2108</v>
      </c>
      <c r="C2052">
        <v>33.391427849607901</v>
      </c>
      <c r="D2052">
        <v>25</v>
      </c>
      <c r="E2052">
        <v>204</v>
      </c>
      <c r="F2052">
        <v>6664.1944836604398</v>
      </c>
      <c r="H2052">
        <v>50</v>
      </c>
      <c r="I2052">
        <v>16</v>
      </c>
      <c r="J2052">
        <v>76</v>
      </c>
      <c r="K2052">
        <v>5</v>
      </c>
      <c r="L2052" t="s">
        <v>27</v>
      </c>
      <c r="M2052">
        <v>2.24299385971787</v>
      </c>
      <c r="N2052" t="s">
        <v>28</v>
      </c>
      <c r="O2052" t="s">
        <v>29</v>
      </c>
      <c r="P2052">
        <f>VLOOKUP(O2052, Coordinates!$A$2:$C$6, 2, FALSE)</f>
        <v>29.760400000000001</v>
      </c>
      <c r="Q2052">
        <f>VLOOKUP(O2052, Coordinates!$A$2:$C$6, 3, FALSE)</f>
        <v>-95.369799999999998</v>
      </c>
      <c r="R2052">
        <v>23</v>
      </c>
      <c r="S2052">
        <v>549</v>
      </c>
      <c r="T2052">
        <v>3</v>
      </c>
      <c r="U2052">
        <v>79.898989801357402</v>
      </c>
      <c r="V2052" t="s">
        <v>30</v>
      </c>
      <c r="W2052">
        <v>1.8941819045872399</v>
      </c>
      <c r="X2052" t="s">
        <v>52</v>
      </c>
      <c r="Y2052" t="s">
        <v>60</v>
      </c>
      <c r="Z2052">
        <v>683.37620122483202</v>
      </c>
    </row>
    <row r="2053" spans="1:26" x14ac:dyDescent="0.3">
      <c r="A2053" t="s">
        <v>33</v>
      </c>
      <c r="B2053" t="s">
        <v>2109</v>
      </c>
      <c r="C2053">
        <v>15.1704319626476</v>
      </c>
      <c r="D2053">
        <v>2</v>
      </c>
      <c r="E2053">
        <v>431</v>
      </c>
      <c r="F2053">
        <v>9783.8480749999999</v>
      </c>
      <c r="G2053" t="s">
        <v>48</v>
      </c>
      <c r="H2053">
        <v>5</v>
      </c>
      <c r="I2053">
        <v>20</v>
      </c>
      <c r="J2053">
        <v>98</v>
      </c>
      <c r="K2053">
        <v>1</v>
      </c>
      <c r="L2053" t="s">
        <v>36</v>
      </c>
      <c r="M2053">
        <v>3.0216882182493401</v>
      </c>
      <c r="N2053" t="s">
        <v>37</v>
      </c>
      <c r="O2053" t="s">
        <v>29</v>
      </c>
      <c r="P2053">
        <f>VLOOKUP(O2053, Coordinates!$A$2:$C$6, 2, FALSE)</f>
        <v>29.760400000000001</v>
      </c>
      <c r="Q2053">
        <f>VLOOKUP(O2053, Coordinates!$A$2:$C$6, 3, FALSE)</f>
        <v>-95.369799999999998</v>
      </c>
      <c r="R2053">
        <v>6</v>
      </c>
      <c r="S2053">
        <v>341</v>
      </c>
      <c r="T2053">
        <v>13</v>
      </c>
      <c r="U2053">
        <v>85.4116256762631</v>
      </c>
      <c r="V2053" t="s">
        <v>39</v>
      </c>
      <c r="W2053">
        <v>3.54085825434841</v>
      </c>
      <c r="X2053" t="s">
        <v>31</v>
      </c>
      <c r="Y2053" t="s">
        <v>32</v>
      </c>
      <c r="Z2053">
        <v>966.46073631524496</v>
      </c>
    </row>
    <row r="2054" spans="1:26" x14ac:dyDescent="0.3">
      <c r="A2054" t="s">
        <v>24</v>
      </c>
      <c r="B2054" t="s">
        <v>2110</v>
      </c>
      <c r="C2054">
        <v>33.773140429170397</v>
      </c>
      <c r="D2054">
        <v>32</v>
      </c>
      <c r="E2054">
        <v>214</v>
      </c>
      <c r="F2054">
        <v>6504.7068466582296</v>
      </c>
      <c r="G2054" t="s">
        <v>48</v>
      </c>
      <c r="H2054">
        <v>90</v>
      </c>
      <c r="I2054">
        <v>20</v>
      </c>
      <c r="J2054">
        <v>54</v>
      </c>
      <c r="K2054">
        <v>3</v>
      </c>
      <c r="L2054" t="s">
        <v>44</v>
      </c>
      <c r="M2054">
        <v>9.9023867554468996</v>
      </c>
      <c r="N2054" t="s">
        <v>28</v>
      </c>
      <c r="O2054" t="s">
        <v>67</v>
      </c>
      <c r="P2054">
        <f>VLOOKUP(O2054, Coordinates!$A$2:$C$6, 2, FALSE)</f>
        <v>40.712800000000001</v>
      </c>
      <c r="Q2054">
        <f>VLOOKUP(O2054, Coordinates!$A$2:$C$6, 3, FALSE)</f>
        <v>-74.006</v>
      </c>
      <c r="R2054">
        <v>2</v>
      </c>
      <c r="S2054">
        <v>468</v>
      </c>
      <c r="T2054">
        <v>4</v>
      </c>
      <c r="U2054">
        <v>83.582165657783094</v>
      </c>
      <c r="V2054" t="s">
        <v>55</v>
      </c>
      <c r="W2054">
        <v>3.9778777388825901</v>
      </c>
      <c r="X2054" t="s">
        <v>31</v>
      </c>
      <c r="Y2054" t="s">
        <v>60</v>
      </c>
      <c r="Z2054">
        <v>264.04930953829199</v>
      </c>
    </row>
    <row r="2055" spans="1:26" x14ac:dyDescent="0.3">
      <c r="A2055" t="s">
        <v>61</v>
      </c>
      <c r="B2055" t="s">
        <v>2111</v>
      </c>
      <c r="C2055">
        <v>74.322631117255099</v>
      </c>
      <c r="D2055">
        <v>26</v>
      </c>
      <c r="E2055">
        <v>892</v>
      </c>
      <c r="F2055">
        <v>2067.9013287662701</v>
      </c>
      <c r="G2055" t="s">
        <v>26</v>
      </c>
      <c r="H2055">
        <v>68</v>
      </c>
      <c r="I2055">
        <v>30</v>
      </c>
      <c r="J2055">
        <v>83</v>
      </c>
      <c r="K2055">
        <v>10</v>
      </c>
      <c r="L2055" t="s">
        <v>44</v>
      </c>
      <c r="M2055">
        <v>12.9016137205888</v>
      </c>
      <c r="N2055" t="s">
        <v>45</v>
      </c>
      <c r="O2055" t="s">
        <v>38</v>
      </c>
      <c r="P2055">
        <f>VLOOKUP(O2055, Coordinates!$A$2:$C$6, 2, FALSE)</f>
        <v>25.761700000000001</v>
      </c>
      <c r="Q2055">
        <f>VLOOKUP(O2055, Coordinates!$A$2:$C$6, 3, FALSE)</f>
        <v>-80.191800000000001</v>
      </c>
      <c r="R2055">
        <v>25</v>
      </c>
      <c r="S2055">
        <v>726</v>
      </c>
      <c r="T2055">
        <v>9</v>
      </c>
      <c r="U2055">
        <v>38.333159037034697</v>
      </c>
      <c r="V2055" t="s">
        <v>39</v>
      </c>
      <c r="W2055">
        <v>4.57532703496602</v>
      </c>
      <c r="X2055" t="s">
        <v>46</v>
      </c>
      <c r="Y2055" t="s">
        <v>41</v>
      </c>
      <c r="Z2055">
        <v>964.53294129999995</v>
      </c>
    </row>
    <row r="2056" spans="1:26" x14ac:dyDescent="0.3">
      <c r="A2056" t="s">
        <v>42</v>
      </c>
      <c r="B2056" t="s">
        <v>2112</v>
      </c>
      <c r="C2056">
        <v>94.320976529272002</v>
      </c>
      <c r="D2056">
        <v>70</v>
      </c>
      <c r="E2056">
        <v>424</v>
      </c>
      <c r="F2056">
        <v>6133.4859283077703</v>
      </c>
      <c r="G2056" t="s">
        <v>26</v>
      </c>
      <c r="H2056">
        <v>68</v>
      </c>
      <c r="I2056">
        <v>16</v>
      </c>
      <c r="J2056">
        <v>90</v>
      </c>
      <c r="K2056">
        <v>10</v>
      </c>
      <c r="L2056" t="s">
        <v>44</v>
      </c>
      <c r="M2056">
        <v>2.3363175025931802</v>
      </c>
      <c r="N2056" t="s">
        <v>28</v>
      </c>
      <c r="O2056" t="s">
        <v>38</v>
      </c>
      <c r="P2056">
        <f>VLOOKUP(O2056, Coordinates!$A$2:$C$6, 2, FALSE)</f>
        <v>25.761700000000001</v>
      </c>
      <c r="Q2056">
        <f>VLOOKUP(O2056, Coordinates!$A$2:$C$6, 3, FALSE)</f>
        <v>-80.191800000000001</v>
      </c>
      <c r="R2056">
        <v>18</v>
      </c>
      <c r="S2056">
        <v>570</v>
      </c>
      <c r="T2056">
        <v>16</v>
      </c>
      <c r="U2056">
        <v>48.239653410000003</v>
      </c>
      <c r="V2056" t="s">
        <v>30</v>
      </c>
      <c r="W2056">
        <v>2.0247095414139999</v>
      </c>
      <c r="X2056" t="s">
        <v>40</v>
      </c>
      <c r="Y2056" t="s">
        <v>41</v>
      </c>
      <c r="Z2056">
        <v>834.28106638295003</v>
      </c>
    </row>
    <row r="2057" spans="1:26" x14ac:dyDescent="0.3">
      <c r="A2057" t="s">
        <v>72</v>
      </c>
      <c r="B2057" t="s">
        <v>2113</v>
      </c>
      <c r="C2057">
        <v>30.2770602114906</v>
      </c>
      <c r="D2057">
        <v>41</v>
      </c>
      <c r="E2057">
        <v>158</v>
      </c>
      <c r="F2057">
        <v>4305.3979620739601</v>
      </c>
      <c r="G2057" t="s">
        <v>48</v>
      </c>
      <c r="H2057">
        <v>81</v>
      </c>
      <c r="I2057">
        <v>2</v>
      </c>
      <c r="J2057">
        <v>76</v>
      </c>
      <c r="K2057">
        <v>4</v>
      </c>
      <c r="L2057" t="s">
        <v>27</v>
      </c>
      <c r="M2057">
        <v>11.272531491832501</v>
      </c>
      <c r="N2057" t="s">
        <v>45</v>
      </c>
      <c r="O2057" t="s">
        <v>38</v>
      </c>
      <c r="P2057">
        <f>VLOOKUP(O2057, Coordinates!$A$2:$C$6, 2, FALSE)</f>
        <v>25.761700000000001</v>
      </c>
      <c r="Q2057">
        <f>VLOOKUP(O2057, Coordinates!$A$2:$C$6, 3, FALSE)</f>
        <v>-80.191800000000001</v>
      </c>
      <c r="R2057">
        <v>25</v>
      </c>
      <c r="S2057">
        <v>387</v>
      </c>
      <c r="T2057">
        <v>12</v>
      </c>
      <c r="U2057">
        <v>89.248262095711794</v>
      </c>
      <c r="V2057" t="s">
        <v>55</v>
      </c>
      <c r="W2057">
        <v>3.7720881999999998</v>
      </c>
      <c r="X2057" t="s">
        <v>31</v>
      </c>
      <c r="Y2057" t="s">
        <v>41</v>
      </c>
      <c r="Z2057">
        <v>920.85756286565095</v>
      </c>
    </row>
    <row r="2058" spans="1:26" x14ac:dyDescent="0.3">
      <c r="A2058" t="s">
        <v>49</v>
      </c>
      <c r="B2058" t="s">
        <v>2114</v>
      </c>
      <c r="C2058">
        <v>86.997876084895196</v>
      </c>
      <c r="D2058">
        <v>67</v>
      </c>
      <c r="E2058">
        <v>526</v>
      </c>
      <c r="F2058">
        <v>8056.5560184563001</v>
      </c>
      <c r="G2058" t="s">
        <v>26</v>
      </c>
      <c r="H2058">
        <v>91</v>
      </c>
      <c r="I2058">
        <v>17</v>
      </c>
      <c r="J2058">
        <v>31</v>
      </c>
      <c r="K2058">
        <v>1</v>
      </c>
      <c r="L2058" t="s">
        <v>44</v>
      </c>
      <c r="M2058">
        <v>11.3951614639528</v>
      </c>
      <c r="N2058" t="s">
        <v>28</v>
      </c>
      <c r="O2058" t="s">
        <v>58</v>
      </c>
      <c r="P2058">
        <f>VLOOKUP(O2058, Coordinates!$A$2:$C$6, 2, FALSE)</f>
        <v>34.052199999999999</v>
      </c>
      <c r="Q2058">
        <f>VLOOKUP(O2058, Coordinates!$A$2:$C$6, 3, FALSE)</f>
        <v>-118.2437</v>
      </c>
      <c r="R2058">
        <v>4</v>
      </c>
      <c r="S2058">
        <v>498</v>
      </c>
      <c r="T2058">
        <v>20</v>
      </c>
      <c r="U2058">
        <v>90.359800539999995</v>
      </c>
      <c r="V2058" t="s">
        <v>30</v>
      </c>
      <c r="W2058">
        <v>1.249034006</v>
      </c>
      <c r="X2058" t="s">
        <v>52</v>
      </c>
      <c r="Y2058" t="s">
        <v>32</v>
      </c>
      <c r="Z2058">
        <v>575.69631480393002</v>
      </c>
    </row>
    <row r="2059" spans="1:26" x14ac:dyDescent="0.3">
      <c r="A2059" t="s">
        <v>82</v>
      </c>
      <c r="B2059" t="s">
        <v>2115</v>
      </c>
      <c r="C2059">
        <v>83.136991682571505</v>
      </c>
      <c r="D2059">
        <v>97</v>
      </c>
      <c r="E2059">
        <v>419</v>
      </c>
      <c r="F2059">
        <v>6602.6428157144401</v>
      </c>
      <c r="G2059" t="s">
        <v>48</v>
      </c>
      <c r="H2059">
        <v>34</v>
      </c>
      <c r="I2059">
        <v>10</v>
      </c>
      <c r="J2059">
        <v>87</v>
      </c>
      <c r="K2059">
        <v>10</v>
      </c>
      <c r="L2059" t="s">
        <v>36</v>
      </c>
      <c r="M2059">
        <v>9.1413182223089908</v>
      </c>
      <c r="N2059" t="s">
        <v>51</v>
      </c>
      <c r="O2059" t="s">
        <v>29</v>
      </c>
      <c r="P2059">
        <f>VLOOKUP(O2059, Coordinates!$A$2:$C$6, 2, FALSE)</f>
        <v>29.760400000000001</v>
      </c>
      <c r="Q2059">
        <f>VLOOKUP(O2059, Coordinates!$A$2:$C$6, 3, FALSE)</f>
        <v>-95.369799999999998</v>
      </c>
      <c r="R2059">
        <v>26</v>
      </c>
      <c r="S2059">
        <v>203</v>
      </c>
      <c r="T2059">
        <v>7</v>
      </c>
      <c r="U2059">
        <v>35.640344282975697</v>
      </c>
      <c r="V2059" t="s">
        <v>39</v>
      </c>
      <c r="W2059">
        <v>1.7322374429721401</v>
      </c>
      <c r="X2059" t="s">
        <v>40</v>
      </c>
      <c r="Y2059" t="s">
        <v>32</v>
      </c>
      <c r="Z2059">
        <v>426.79573136009498</v>
      </c>
    </row>
    <row r="2060" spans="1:26" x14ac:dyDescent="0.3">
      <c r="A2060" t="s">
        <v>82</v>
      </c>
      <c r="B2060" t="s">
        <v>2116</v>
      </c>
      <c r="C2060">
        <v>21.4675900326516</v>
      </c>
      <c r="D2060">
        <v>1</v>
      </c>
      <c r="E2060">
        <v>357</v>
      </c>
      <c r="F2060">
        <v>3835.5084694683901</v>
      </c>
      <c r="G2060" t="s">
        <v>35</v>
      </c>
      <c r="H2060">
        <v>85</v>
      </c>
      <c r="I2060">
        <v>7</v>
      </c>
      <c r="J2060">
        <v>100</v>
      </c>
      <c r="K2060">
        <v>9</v>
      </c>
      <c r="L2060" t="s">
        <v>44</v>
      </c>
      <c r="M2060">
        <v>7.8141926743752803</v>
      </c>
      <c r="N2060" t="s">
        <v>57</v>
      </c>
      <c r="O2060" t="s">
        <v>29</v>
      </c>
      <c r="P2060">
        <f>VLOOKUP(O2060, Coordinates!$A$2:$C$6, 2, FALSE)</f>
        <v>29.760400000000001</v>
      </c>
      <c r="Q2060">
        <f>VLOOKUP(O2060, Coordinates!$A$2:$C$6, 3, FALSE)</f>
        <v>-95.369799999999998</v>
      </c>
      <c r="R2060">
        <v>1</v>
      </c>
      <c r="S2060">
        <v>410</v>
      </c>
      <c r="T2060">
        <v>12</v>
      </c>
      <c r="U2060">
        <v>71.778625053918802</v>
      </c>
      <c r="V2060" t="s">
        <v>30</v>
      </c>
      <c r="W2060">
        <v>0.17830251925986099</v>
      </c>
      <c r="X2060" t="s">
        <v>52</v>
      </c>
      <c r="Y2060" t="s">
        <v>60</v>
      </c>
      <c r="Z2060">
        <v>959.82510952440202</v>
      </c>
    </row>
    <row r="2061" spans="1:26" x14ac:dyDescent="0.3">
      <c r="A2061" t="s">
        <v>82</v>
      </c>
      <c r="B2061" t="s">
        <v>2117</v>
      </c>
      <c r="C2061">
        <v>51.152655746699899</v>
      </c>
      <c r="D2061">
        <v>51</v>
      </c>
      <c r="E2061">
        <v>161</v>
      </c>
      <c r="F2061">
        <v>5876.9215590000003</v>
      </c>
      <c r="G2061" t="s">
        <v>26</v>
      </c>
      <c r="H2061">
        <v>33</v>
      </c>
      <c r="I2061">
        <v>27</v>
      </c>
      <c r="J2061">
        <v>51</v>
      </c>
      <c r="K2061">
        <v>10</v>
      </c>
      <c r="L2061" t="s">
        <v>36</v>
      </c>
      <c r="M2061">
        <v>5.4952286303054798</v>
      </c>
      <c r="N2061" t="s">
        <v>45</v>
      </c>
      <c r="O2061" t="s">
        <v>38</v>
      </c>
      <c r="P2061">
        <f>VLOOKUP(O2061, Coordinates!$A$2:$C$6, 2, FALSE)</f>
        <v>25.761700000000001</v>
      </c>
      <c r="Q2061">
        <f>VLOOKUP(O2061, Coordinates!$A$2:$C$6, 3, FALSE)</f>
        <v>-80.191800000000001</v>
      </c>
      <c r="R2061">
        <v>25</v>
      </c>
      <c r="S2061">
        <v>908</v>
      </c>
      <c r="T2061">
        <v>8</v>
      </c>
      <c r="U2061">
        <v>17.003278553730699</v>
      </c>
      <c r="V2061" t="s">
        <v>39</v>
      </c>
      <c r="W2061">
        <v>3.5109384567377999</v>
      </c>
      <c r="X2061" t="s">
        <v>52</v>
      </c>
      <c r="Y2061" t="s">
        <v>60</v>
      </c>
      <c r="Z2061">
        <v>812.32401057187303</v>
      </c>
    </row>
    <row r="2062" spans="1:26" x14ac:dyDescent="0.3">
      <c r="A2062" t="s">
        <v>24</v>
      </c>
      <c r="B2062" t="s">
        <v>2118</v>
      </c>
      <c r="C2062">
        <v>26.844726879521598</v>
      </c>
      <c r="D2062">
        <v>5</v>
      </c>
      <c r="E2062">
        <v>265</v>
      </c>
      <c r="F2062">
        <v>6402.4673607659197</v>
      </c>
      <c r="G2062" t="s">
        <v>48</v>
      </c>
      <c r="H2062">
        <v>62</v>
      </c>
      <c r="I2062">
        <v>10</v>
      </c>
      <c r="J2062">
        <v>29</v>
      </c>
      <c r="K2062">
        <v>4</v>
      </c>
      <c r="L2062" t="s">
        <v>44</v>
      </c>
      <c r="M2062">
        <v>5.92046509405733</v>
      </c>
      <c r="N2062" t="s">
        <v>45</v>
      </c>
      <c r="O2062" t="s">
        <v>38</v>
      </c>
      <c r="P2062">
        <f>VLOOKUP(O2062, Coordinates!$A$2:$C$6, 2, FALSE)</f>
        <v>25.761700000000001</v>
      </c>
      <c r="Q2062">
        <f>VLOOKUP(O2062, Coordinates!$A$2:$C$6, 3, FALSE)</f>
        <v>-80.191800000000001</v>
      </c>
      <c r="R2062">
        <v>28</v>
      </c>
      <c r="S2062">
        <v>226</v>
      </c>
      <c r="T2062">
        <v>21</v>
      </c>
      <c r="U2062">
        <v>89.024730335391098</v>
      </c>
      <c r="V2062" t="s">
        <v>55</v>
      </c>
      <c r="W2062">
        <v>4.9731954541874996</v>
      </c>
      <c r="X2062" t="s">
        <v>46</v>
      </c>
      <c r="Y2062" t="s">
        <v>60</v>
      </c>
      <c r="Z2062">
        <v>523.759541344063</v>
      </c>
    </row>
    <row r="2063" spans="1:26" x14ac:dyDescent="0.3">
      <c r="A2063" t="s">
        <v>61</v>
      </c>
      <c r="B2063" t="s">
        <v>2119</v>
      </c>
      <c r="C2063">
        <v>69.804550348355306</v>
      </c>
      <c r="D2063">
        <v>13</v>
      </c>
      <c r="E2063">
        <v>81</v>
      </c>
      <c r="F2063">
        <v>7110.5088185260201</v>
      </c>
      <c r="G2063" t="s">
        <v>26</v>
      </c>
      <c r="H2063">
        <v>67</v>
      </c>
      <c r="I2063">
        <v>19</v>
      </c>
      <c r="J2063">
        <v>57</v>
      </c>
      <c r="K2063">
        <v>2</v>
      </c>
      <c r="L2063" t="s">
        <v>36</v>
      </c>
      <c r="M2063">
        <v>10.442068613816501</v>
      </c>
      <c r="N2063" t="s">
        <v>57</v>
      </c>
      <c r="O2063" t="s">
        <v>38</v>
      </c>
      <c r="P2063">
        <f>VLOOKUP(O2063, Coordinates!$A$2:$C$6, 2, FALSE)</f>
        <v>25.761700000000001</v>
      </c>
      <c r="Q2063">
        <f>VLOOKUP(O2063, Coordinates!$A$2:$C$6, 3, FALSE)</f>
        <v>-80.191800000000001</v>
      </c>
      <c r="R2063">
        <v>20</v>
      </c>
      <c r="S2063">
        <v>139</v>
      </c>
      <c r="T2063">
        <v>15</v>
      </c>
      <c r="U2063">
        <v>53.800219697669597</v>
      </c>
      <c r="V2063" t="s">
        <v>55</v>
      </c>
      <c r="W2063">
        <v>0.49917779813411101</v>
      </c>
      <c r="X2063" t="s">
        <v>40</v>
      </c>
      <c r="Y2063" t="s">
        <v>32</v>
      </c>
      <c r="Z2063">
        <v>686.049453034149</v>
      </c>
    </row>
    <row r="2064" spans="1:26" x14ac:dyDescent="0.3">
      <c r="A2064" t="s">
        <v>33</v>
      </c>
      <c r="B2064" t="s">
        <v>2120</v>
      </c>
      <c r="C2064">
        <v>95.2404684833772</v>
      </c>
      <c r="D2064">
        <v>19</v>
      </c>
      <c r="E2064">
        <v>773</v>
      </c>
      <c r="F2064">
        <v>7525.8641700788503</v>
      </c>
      <c r="G2064" t="s">
        <v>48</v>
      </c>
      <c r="H2064">
        <v>17</v>
      </c>
      <c r="I2064">
        <v>20</v>
      </c>
      <c r="J2064">
        <v>27</v>
      </c>
      <c r="K2064">
        <v>9</v>
      </c>
      <c r="L2064" t="s">
        <v>44</v>
      </c>
      <c r="M2064">
        <v>1.91402207699474</v>
      </c>
      <c r="N2064" t="s">
        <v>37</v>
      </c>
      <c r="O2064" t="s">
        <v>38</v>
      </c>
      <c r="P2064">
        <f>VLOOKUP(O2064, Coordinates!$A$2:$C$6, 2, FALSE)</f>
        <v>25.761700000000001</v>
      </c>
      <c r="Q2064">
        <f>VLOOKUP(O2064, Coordinates!$A$2:$C$6, 3, FALSE)</f>
        <v>-80.191800000000001</v>
      </c>
      <c r="R2064">
        <v>17</v>
      </c>
      <c r="S2064">
        <v>171</v>
      </c>
      <c r="T2064">
        <v>2</v>
      </c>
      <c r="U2064">
        <v>78.906953340920396</v>
      </c>
      <c r="V2064" t="s">
        <v>30</v>
      </c>
      <c r="W2064">
        <v>7.2112499999999998E-3</v>
      </c>
      <c r="X2064" t="s">
        <v>52</v>
      </c>
      <c r="Y2064" t="s">
        <v>60</v>
      </c>
      <c r="Z2064">
        <v>350.71919254676402</v>
      </c>
    </row>
    <row r="2065" spans="1:26" x14ac:dyDescent="0.3">
      <c r="A2065" t="s">
        <v>42</v>
      </c>
      <c r="B2065" t="s">
        <v>2121</v>
      </c>
      <c r="C2065">
        <v>18.023498517481801</v>
      </c>
      <c r="D2065">
        <v>12</v>
      </c>
      <c r="E2065">
        <v>987</v>
      </c>
      <c r="F2065">
        <v>9685.2846061892596</v>
      </c>
      <c r="G2065" t="s">
        <v>26</v>
      </c>
      <c r="H2065">
        <v>25</v>
      </c>
      <c r="I2065">
        <v>27</v>
      </c>
      <c r="J2065">
        <v>86</v>
      </c>
      <c r="K2065">
        <v>4</v>
      </c>
      <c r="L2065" t="s">
        <v>44</v>
      </c>
      <c r="M2065">
        <v>9.18908982562475</v>
      </c>
      <c r="N2065" t="s">
        <v>45</v>
      </c>
      <c r="O2065" t="s">
        <v>38</v>
      </c>
      <c r="P2065">
        <f>VLOOKUP(O2065, Coordinates!$A$2:$C$6, 2, FALSE)</f>
        <v>25.761700000000001</v>
      </c>
      <c r="Q2065">
        <f>VLOOKUP(O2065, Coordinates!$A$2:$C$6, 3, FALSE)</f>
        <v>-80.191800000000001</v>
      </c>
      <c r="R2065">
        <v>28</v>
      </c>
      <c r="S2065">
        <v>846</v>
      </c>
      <c r="T2065">
        <v>11</v>
      </c>
      <c r="U2065">
        <v>90.2775013153408</v>
      </c>
      <c r="V2065" t="s">
        <v>39</v>
      </c>
      <c r="W2065">
        <v>4.4438240661546704</v>
      </c>
      <c r="X2065" t="s">
        <v>52</v>
      </c>
      <c r="Y2065" t="s">
        <v>41</v>
      </c>
      <c r="Z2065">
        <v>653.35768653860896</v>
      </c>
    </row>
    <row r="2066" spans="1:26" x14ac:dyDescent="0.3">
      <c r="A2066" t="s">
        <v>49</v>
      </c>
      <c r="B2066" t="s">
        <v>2122</v>
      </c>
      <c r="C2066">
        <v>74.718897426241398</v>
      </c>
      <c r="D2066">
        <v>48</v>
      </c>
      <c r="E2066">
        <v>492</v>
      </c>
      <c r="F2066">
        <v>3343.57622870564</v>
      </c>
      <c r="G2066" t="s">
        <v>54</v>
      </c>
      <c r="H2066">
        <v>85</v>
      </c>
      <c r="I2066">
        <v>9</v>
      </c>
      <c r="J2066">
        <v>79</v>
      </c>
      <c r="K2066">
        <v>9</v>
      </c>
      <c r="L2066" t="s">
        <v>44</v>
      </c>
      <c r="M2066">
        <v>4.9022506943398501</v>
      </c>
      <c r="N2066" t="s">
        <v>51</v>
      </c>
      <c r="O2066" t="s">
        <v>38</v>
      </c>
      <c r="P2066">
        <f>VLOOKUP(O2066, Coordinates!$A$2:$C$6, 2, FALSE)</f>
        <v>25.761700000000001</v>
      </c>
      <c r="Q2066">
        <f>VLOOKUP(O2066, Coordinates!$A$2:$C$6, 3, FALSE)</f>
        <v>-80.191800000000001</v>
      </c>
      <c r="R2066">
        <v>3</v>
      </c>
      <c r="S2066">
        <v>981</v>
      </c>
      <c r="T2066">
        <v>24</v>
      </c>
      <c r="U2066">
        <v>40.355491224201003</v>
      </c>
      <c r="V2066" t="s">
        <v>55</v>
      </c>
      <c r="W2066">
        <v>1.5076330066435899</v>
      </c>
      <c r="X2066" t="s">
        <v>46</v>
      </c>
      <c r="Y2066" t="s">
        <v>41</v>
      </c>
      <c r="Z2066">
        <v>889.86128073260602</v>
      </c>
    </row>
    <row r="2067" spans="1:26" x14ac:dyDescent="0.3">
      <c r="A2067" t="s">
        <v>72</v>
      </c>
      <c r="B2067" t="s">
        <v>2123</v>
      </c>
      <c r="C2067">
        <v>26.958209998822799</v>
      </c>
      <c r="D2067">
        <v>25</v>
      </c>
      <c r="E2067">
        <v>135</v>
      </c>
      <c r="F2067">
        <v>3275.4225148569699</v>
      </c>
      <c r="G2067" t="s">
        <v>54</v>
      </c>
      <c r="H2067">
        <v>96</v>
      </c>
      <c r="I2067">
        <v>22</v>
      </c>
      <c r="J2067">
        <v>83</v>
      </c>
      <c r="K2067">
        <v>6</v>
      </c>
      <c r="L2067" t="s">
        <v>36</v>
      </c>
      <c r="M2067">
        <v>7.5324827672151899</v>
      </c>
      <c r="N2067" t="s">
        <v>28</v>
      </c>
      <c r="O2067" t="s">
        <v>58</v>
      </c>
      <c r="P2067">
        <f>VLOOKUP(O2067, Coordinates!$A$2:$C$6, 2, FALSE)</f>
        <v>34.052199999999999</v>
      </c>
      <c r="Q2067">
        <f>VLOOKUP(O2067, Coordinates!$A$2:$C$6, 3, FALSE)</f>
        <v>-118.2437</v>
      </c>
      <c r="R2067">
        <v>23</v>
      </c>
      <c r="S2067">
        <v>346</v>
      </c>
      <c r="T2067">
        <v>21</v>
      </c>
      <c r="U2067">
        <v>94.234489381529997</v>
      </c>
      <c r="V2067" t="s">
        <v>30</v>
      </c>
      <c r="W2067">
        <v>8.9119186000000003E-2</v>
      </c>
      <c r="X2067" t="s">
        <v>40</v>
      </c>
      <c r="Y2067" t="s">
        <v>41</v>
      </c>
      <c r="Z2067">
        <v>135.302791611564</v>
      </c>
    </row>
    <row r="2068" spans="1:26" x14ac:dyDescent="0.3">
      <c r="A2068" t="s">
        <v>49</v>
      </c>
      <c r="B2068" t="s">
        <v>2124</v>
      </c>
      <c r="C2068">
        <v>60.442478515769402</v>
      </c>
      <c r="D2068">
        <v>57</v>
      </c>
      <c r="E2068">
        <v>583</v>
      </c>
      <c r="F2068">
        <v>5910.4761798443496</v>
      </c>
      <c r="G2068" t="s">
        <v>26</v>
      </c>
      <c r="H2068">
        <v>60</v>
      </c>
      <c r="I2068">
        <v>30</v>
      </c>
      <c r="J2068">
        <v>15</v>
      </c>
      <c r="K2068">
        <v>8</v>
      </c>
      <c r="L2068" t="s">
        <v>36</v>
      </c>
      <c r="M2068">
        <v>8.8257146583027701</v>
      </c>
      <c r="N2068" t="s">
        <v>51</v>
      </c>
      <c r="O2068" t="s">
        <v>65</v>
      </c>
      <c r="P2068">
        <f>VLOOKUP(O2068, Coordinates!$A$2:$C$6, 2, FALSE)</f>
        <v>41.878100000000003</v>
      </c>
      <c r="Q2068">
        <f>VLOOKUP(O2068, Coordinates!$A$2:$C$6, 3, FALSE)</f>
        <v>-87.629800000000003</v>
      </c>
      <c r="R2068">
        <v>22</v>
      </c>
      <c r="S2068">
        <v>905</v>
      </c>
      <c r="T2068">
        <v>5</v>
      </c>
      <c r="U2068">
        <v>68.270340013077103</v>
      </c>
      <c r="V2068" t="s">
        <v>30</v>
      </c>
      <c r="W2068">
        <v>4.2997215198358898</v>
      </c>
      <c r="X2068" t="s">
        <v>31</v>
      </c>
      <c r="Y2068" t="s">
        <v>32</v>
      </c>
      <c r="Z2068">
        <v>879.17304913839098</v>
      </c>
    </row>
    <row r="2069" spans="1:26" x14ac:dyDescent="0.3">
      <c r="A2069" t="s">
        <v>72</v>
      </c>
      <c r="B2069" t="s">
        <v>2125</v>
      </c>
      <c r="C2069">
        <v>27.509087668826201</v>
      </c>
      <c r="D2069">
        <v>35</v>
      </c>
      <c r="E2069">
        <v>459</v>
      </c>
      <c r="F2069">
        <v>11364.0041159921</v>
      </c>
      <c r="G2069" t="s">
        <v>54</v>
      </c>
      <c r="H2069">
        <v>77</v>
      </c>
      <c r="I2069">
        <v>17</v>
      </c>
      <c r="J2069">
        <v>48</v>
      </c>
      <c r="K2069">
        <v>5</v>
      </c>
      <c r="L2069" t="s">
        <v>44</v>
      </c>
      <c r="M2069">
        <v>13.399230810880599</v>
      </c>
      <c r="N2069" t="s">
        <v>45</v>
      </c>
      <c r="O2069" t="s">
        <v>38</v>
      </c>
      <c r="P2069">
        <f>VLOOKUP(O2069, Coordinates!$A$2:$C$6, 2, FALSE)</f>
        <v>25.761700000000001</v>
      </c>
      <c r="Q2069">
        <f>VLOOKUP(O2069, Coordinates!$A$2:$C$6, 3, FALSE)</f>
        <v>-80.191800000000001</v>
      </c>
      <c r="R2069">
        <v>27</v>
      </c>
      <c r="S2069">
        <v>346</v>
      </c>
      <c r="T2069">
        <v>23</v>
      </c>
      <c r="U2069">
        <v>78.770242096246804</v>
      </c>
      <c r="V2069" t="s">
        <v>39</v>
      </c>
      <c r="W2069">
        <v>4.2156113516738802</v>
      </c>
      <c r="X2069" t="s">
        <v>40</v>
      </c>
      <c r="Y2069" t="s">
        <v>60</v>
      </c>
      <c r="Z2069">
        <v>541.17302410000002</v>
      </c>
    </row>
    <row r="2070" spans="1:26" x14ac:dyDescent="0.3">
      <c r="A2070" t="s">
        <v>24</v>
      </c>
      <c r="B2070" t="s">
        <v>2126</v>
      </c>
      <c r="C2070">
        <v>28.749067911500301</v>
      </c>
      <c r="D2070">
        <v>76</v>
      </c>
      <c r="E2070">
        <v>744</v>
      </c>
      <c r="F2070">
        <v>19250.375873540601</v>
      </c>
      <c r="G2070" t="s">
        <v>26</v>
      </c>
      <c r="H2070">
        <v>94</v>
      </c>
      <c r="I2070">
        <v>9</v>
      </c>
      <c r="J2070">
        <v>20</v>
      </c>
      <c r="K2070">
        <v>8</v>
      </c>
      <c r="L2070" t="s">
        <v>36</v>
      </c>
      <c r="M2070">
        <v>9.1070484366529598</v>
      </c>
      <c r="N2070" t="s">
        <v>37</v>
      </c>
      <c r="O2070" t="s">
        <v>65</v>
      </c>
      <c r="P2070">
        <f>VLOOKUP(O2070, Coordinates!$A$2:$C$6, 2, FALSE)</f>
        <v>41.878100000000003</v>
      </c>
      <c r="Q2070">
        <f>VLOOKUP(O2070, Coordinates!$A$2:$C$6, 3, FALSE)</f>
        <v>-87.629800000000003</v>
      </c>
      <c r="R2070">
        <v>23</v>
      </c>
      <c r="S2070">
        <v>411</v>
      </c>
      <c r="T2070">
        <v>6</v>
      </c>
      <c r="U2070">
        <v>84.014590960000007</v>
      </c>
      <c r="V2070" t="s">
        <v>39</v>
      </c>
      <c r="W2070">
        <v>0.85584175245910199</v>
      </c>
      <c r="X2070" t="s">
        <v>52</v>
      </c>
      <c r="Y2070" t="s">
        <v>60</v>
      </c>
      <c r="Z2070">
        <v>531.76291687982405</v>
      </c>
    </row>
    <row r="2071" spans="1:26" x14ac:dyDescent="0.3">
      <c r="A2071" t="s">
        <v>61</v>
      </c>
      <c r="B2071" t="s">
        <v>2127</v>
      </c>
      <c r="C2071">
        <v>9.2986729567943396</v>
      </c>
      <c r="D2071">
        <v>94</v>
      </c>
      <c r="E2071">
        <v>167</v>
      </c>
      <c r="F2071">
        <v>2743.6503972232899</v>
      </c>
      <c r="G2071" t="s">
        <v>26</v>
      </c>
      <c r="H2071">
        <v>73</v>
      </c>
      <c r="I2071">
        <v>9</v>
      </c>
      <c r="J2071">
        <v>34</v>
      </c>
      <c r="K2071">
        <v>1</v>
      </c>
      <c r="L2071" t="s">
        <v>36</v>
      </c>
      <c r="M2071">
        <v>4.1802340029462597</v>
      </c>
      <c r="N2071" t="s">
        <v>45</v>
      </c>
      <c r="O2071" t="s">
        <v>38</v>
      </c>
      <c r="P2071">
        <f>VLOOKUP(O2071, Coordinates!$A$2:$C$6, 2, FALSE)</f>
        <v>25.761700000000001</v>
      </c>
      <c r="Q2071">
        <f>VLOOKUP(O2071, Coordinates!$A$2:$C$6, 3, FALSE)</f>
        <v>-80.191800000000001</v>
      </c>
      <c r="R2071">
        <v>29</v>
      </c>
      <c r="S2071">
        <v>133</v>
      </c>
      <c r="T2071">
        <v>19</v>
      </c>
      <c r="U2071">
        <v>88.819694161302195</v>
      </c>
      <c r="V2071" t="s">
        <v>39</v>
      </c>
      <c r="W2071">
        <v>4.9169842140000002</v>
      </c>
      <c r="X2071" t="s">
        <v>31</v>
      </c>
      <c r="Y2071" t="s">
        <v>32</v>
      </c>
      <c r="Z2071">
        <v>355.08687618168301</v>
      </c>
    </row>
    <row r="2072" spans="1:26" x14ac:dyDescent="0.3">
      <c r="A2072" t="s">
        <v>82</v>
      </c>
      <c r="B2072" t="s">
        <v>2128</v>
      </c>
      <c r="C2072">
        <v>25.7013272839412</v>
      </c>
      <c r="D2072">
        <v>5</v>
      </c>
      <c r="E2072">
        <v>19</v>
      </c>
      <c r="F2072">
        <v>3355.7758213332099</v>
      </c>
      <c r="G2072" t="s">
        <v>35</v>
      </c>
      <c r="H2072">
        <v>87</v>
      </c>
      <c r="I2072">
        <v>5</v>
      </c>
      <c r="J2072">
        <v>64</v>
      </c>
      <c r="K2072">
        <v>4</v>
      </c>
      <c r="L2072" t="s">
        <v>27</v>
      </c>
      <c r="M2072">
        <v>2.11243234441327</v>
      </c>
      <c r="N2072" t="s">
        <v>37</v>
      </c>
      <c r="O2072" t="s">
        <v>29</v>
      </c>
      <c r="P2072">
        <f>VLOOKUP(O2072, Coordinates!$A$2:$C$6, 2, FALSE)</f>
        <v>29.760400000000001</v>
      </c>
      <c r="Q2072">
        <f>VLOOKUP(O2072, Coordinates!$A$2:$C$6, 3, FALSE)</f>
        <v>-95.369799999999998</v>
      </c>
      <c r="R2072">
        <v>3</v>
      </c>
      <c r="S2072">
        <v>228</v>
      </c>
      <c r="T2072">
        <v>30</v>
      </c>
      <c r="U2072">
        <v>36.676254597995403</v>
      </c>
      <c r="V2072" t="s">
        <v>30</v>
      </c>
      <c r="W2072">
        <v>1.2679298523649001</v>
      </c>
      <c r="X2072" t="s">
        <v>46</v>
      </c>
      <c r="Y2072" t="s">
        <v>32</v>
      </c>
      <c r="Z2072">
        <v>276.748840705573</v>
      </c>
    </row>
    <row r="2073" spans="1:26" x14ac:dyDescent="0.3">
      <c r="A2073" t="s">
        <v>61</v>
      </c>
      <c r="B2073" t="s">
        <v>2129</v>
      </c>
      <c r="C2073">
        <v>6.4418038172485499</v>
      </c>
      <c r="D2073">
        <v>98</v>
      </c>
      <c r="E2073">
        <v>236</v>
      </c>
      <c r="F2073">
        <v>5613.3183274056601</v>
      </c>
      <c r="G2073" t="s">
        <v>35</v>
      </c>
      <c r="H2073">
        <v>84</v>
      </c>
      <c r="I2073">
        <v>24</v>
      </c>
      <c r="J2073">
        <v>93</v>
      </c>
      <c r="K2073">
        <v>8</v>
      </c>
      <c r="L2073" t="s">
        <v>44</v>
      </c>
      <c r="M2073">
        <v>9.7778375942736009</v>
      </c>
      <c r="N2073" t="s">
        <v>57</v>
      </c>
      <c r="O2073" t="s">
        <v>58</v>
      </c>
      <c r="P2073">
        <f>VLOOKUP(O2073, Coordinates!$A$2:$C$6, 2, FALSE)</f>
        <v>34.052199999999999</v>
      </c>
      <c r="Q2073">
        <f>VLOOKUP(O2073, Coordinates!$A$2:$C$6, 3, FALSE)</f>
        <v>-118.2437</v>
      </c>
      <c r="R2073">
        <v>25</v>
      </c>
      <c r="S2073">
        <v>109</v>
      </c>
      <c r="T2073">
        <v>14</v>
      </c>
      <c r="U2073">
        <v>55.7151607899143</v>
      </c>
      <c r="V2073" t="s">
        <v>30</v>
      </c>
      <c r="W2073">
        <v>1.1372286579999999</v>
      </c>
      <c r="X2073" t="s">
        <v>46</v>
      </c>
      <c r="Y2073" t="s">
        <v>41</v>
      </c>
      <c r="Z2073">
        <v>892.67063408305705</v>
      </c>
    </row>
    <row r="2074" spans="1:26" x14ac:dyDescent="0.3">
      <c r="A2074" t="s">
        <v>24</v>
      </c>
      <c r="B2074" t="s">
        <v>2130</v>
      </c>
      <c r="C2074">
        <v>24.952975428022899</v>
      </c>
      <c r="D2074">
        <v>22</v>
      </c>
      <c r="E2074">
        <v>199</v>
      </c>
      <c r="F2074">
        <v>4469.0778989999999</v>
      </c>
      <c r="G2074" t="s">
        <v>54</v>
      </c>
      <c r="H2074">
        <v>47</v>
      </c>
      <c r="I2074">
        <v>7</v>
      </c>
      <c r="J2074">
        <v>67</v>
      </c>
      <c r="K2074">
        <v>3</v>
      </c>
      <c r="L2074" t="s">
        <v>36</v>
      </c>
      <c r="M2074">
        <v>8.6306775489159406</v>
      </c>
      <c r="N2074" t="s">
        <v>28</v>
      </c>
      <c r="O2074" t="s">
        <v>29</v>
      </c>
      <c r="P2074">
        <f>VLOOKUP(O2074, Coordinates!$A$2:$C$6, 2, FALSE)</f>
        <v>29.760400000000001</v>
      </c>
      <c r="Q2074">
        <f>VLOOKUP(O2074, Coordinates!$A$2:$C$6, 3, FALSE)</f>
        <v>-95.369799999999998</v>
      </c>
      <c r="R2074">
        <v>4</v>
      </c>
      <c r="S2074">
        <v>267</v>
      </c>
      <c r="T2074">
        <v>7</v>
      </c>
      <c r="U2074">
        <v>79.074649872744303</v>
      </c>
      <c r="V2074" t="s">
        <v>30</v>
      </c>
      <c r="W2074">
        <v>4.47317028498634</v>
      </c>
      <c r="X2074" t="s">
        <v>52</v>
      </c>
      <c r="Y2074" t="s">
        <v>32</v>
      </c>
      <c r="Z2074">
        <v>684.98245139088397</v>
      </c>
    </row>
    <row r="2075" spans="1:26" x14ac:dyDescent="0.3">
      <c r="A2075" t="s">
        <v>33</v>
      </c>
      <c r="B2075" t="s">
        <v>2131</v>
      </c>
      <c r="C2075">
        <v>15.056057408401299</v>
      </c>
      <c r="D2075">
        <v>77</v>
      </c>
      <c r="E2075">
        <v>865</v>
      </c>
      <c r="F2075">
        <v>8744.6033792870003</v>
      </c>
      <c r="G2075" t="s">
        <v>35</v>
      </c>
      <c r="H2075">
        <v>71</v>
      </c>
      <c r="I2075">
        <v>11</v>
      </c>
      <c r="J2075">
        <v>46</v>
      </c>
      <c r="K2075">
        <v>7</v>
      </c>
      <c r="L2075" t="s">
        <v>36</v>
      </c>
      <c r="M2075">
        <v>10.405170552064799</v>
      </c>
      <c r="N2075" t="s">
        <v>51</v>
      </c>
      <c r="O2075" t="s">
        <v>65</v>
      </c>
      <c r="P2075">
        <f>VLOOKUP(O2075, Coordinates!$A$2:$C$6, 2, FALSE)</f>
        <v>41.878100000000003</v>
      </c>
      <c r="Q2075">
        <f>VLOOKUP(O2075, Coordinates!$A$2:$C$6, 3, FALSE)</f>
        <v>-87.629800000000003</v>
      </c>
      <c r="R2075">
        <v>27</v>
      </c>
      <c r="S2075">
        <v>883</v>
      </c>
      <c r="T2075">
        <v>12</v>
      </c>
      <c r="U2075">
        <v>56.305352701300102</v>
      </c>
      <c r="V2075" t="s">
        <v>30</v>
      </c>
      <c r="W2075">
        <v>0.89728939729736801</v>
      </c>
      <c r="X2075" t="s">
        <v>40</v>
      </c>
      <c r="Y2075" t="s">
        <v>41</v>
      </c>
      <c r="Z2075">
        <v>187.8843081</v>
      </c>
    </row>
    <row r="2076" spans="1:26" x14ac:dyDescent="0.3">
      <c r="A2076" t="s">
        <v>33</v>
      </c>
      <c r="B2076" t="s">
        <v>2132</v>
      </c>
      <c r="C2076">
        <v>87.936842432822999</v>
      </c>
      <c r="D2076">
        <v>57</v>
      </c>
      <c r="E2076">
        <v>961</v>
      </c>
      <c r="F2076">
        <v>5263.8413836484797</v>
      </c>
      <c r="G2076" t="s">
        <v>35</v>
      </c>
      <c r="H2076">
        <v>0</v>
      </c>
      <c r="I2076">
        <v>25</v>
      </c>
      <c r="J2076">
        <v>25</v>
      </c>
      <c r="K2076">
        <v>1</v>
      </c>
      <c r="L2076" t="s">
        <v>36</v>
      </c>
      <c r="M2076">
        <v>7.4315521079227098</v>
      </c>
      <c r="N2076" t="s">
        <v>37</v>
      </c>
      <c r="O2076" t="s">
        <v>67</v>
      </c>
      <c r="P2076">
        <f>VLOOKUP(O2076, Coordinates!$A$2:$C$6, 2, FALSE)</f>
        <v>40.712800000000001</v>
      </c>
      <c r="Q2076">
        <f>VLOOKUP(O2076, Coordinates!$A$2:$C$6, 3, FALSE)</f>
        <v>-74.006</v>
      </c>
      <c r="R2076">
        <v>28</v>
      </c>
      <c r="S2076">
        <v>315</v>
      </c>
      <c r="T2076">
        <v>30</v>
      </c>
      <c r="U2076">
        <v>71.499911034095604</v>
      </c>
      <c r="V2076" t="s">
        <v>39</v>
      </c>
      <c r="W2076">
        <v>4.3949289658453701</v>
      </c>
      <c r="X2076" t="s">
        <v>52</v>
      </c>
      <c r="Y2076" t="s">
        <v>41</v>
      </c>
      <c r="Z2076">
        <v>399.57793649449201</v>
      </c>
    </row>
    <row r="2077" spans="1:26" x14ac:dyDescent="0.3">
      <c r="A2077" t="s">
        <v>24</v>
      </c>
      <c r="B2077" t="s">
        <v>2133</v>
      </c>
      <c r="C2077">
        <v>25.548020899655398</v>
      </c>
      <c r="D2077">
        <v>47</v>
      </c>
      <c r="E2077">
        <v>363</v>
      </c>
      <c r="F2077">
        <v>8346.5384279999998</v>
      </c>
      <c r="G2077" t="s">
        <v>26</v>
      </c>
      <c r="H2077">
        <v>30</v>
      </c>
      <c r="I2077">
        <v>25</v>
      </c>
      <c r="J2077">
        <v>79</v>
      </c>
      <c r="K2077">
        <v>5</v>
      </c>
      <c r="L2077" t="s">
        <v>36</v>
      </c>
      <c r="M2077">
        <v>12.5517618626623</v>
      </c>
      <c r="N2077" t="s">
        <v>51</v>
      </c>
      <c r="O2077" t="s">
        <v>58</v>
      </c>
      <c r="P2077">
        <f>VLOOKUP(O2077, Coordinates!$A$2:$C$6, 2, FALSE)</f>
        <v>34.052199999999999</v>
      </c>
      <c r="Q2077">
        <f>VLOOKUP(O2077, Coordinates!$A$2:$C$6, 3, FALSE)</f>
        <v>-118.2437</v>
      </c>
      <c r="R2077">
        <v>27</v>
      </c>
      <c r="S2077">
        <v>507</v>
      </c>
      <c r="T2077">
        <v>17</v>
      </c>
      <c r="U2077">
        <v>88.451252593070805</v>
      </c>
      <c r="V2077" t="s">
        <v>30</v>
      </c>
      <c r="W2077">
        <v>4.0148665062389997</v>
      </c>
      <c r="X2077" t="s">
        <v>40</v>
      </c>
      <c r="Y2077" t="s">
        <v>60</v>
      </c>
      <c r="Z2077">
        <v>980.86627288403201</v>
      </c>
    </row>
    <row r="2078" spans="1:26" x14ac:dyDescent="0.3">
      <c r="A2078" t="s">
        <v>72</v>
      </c>
      <c r="B2078" t="s">
        <v>2134</v>
      </c>
      <c r="C2078">
        <v>39.167256459999997</v>
      </c>
      <c r="D2078">
        <v>54</v>
      </c>
      <c r="E2078">
        <v>854</v>
      </c>
      <c r="F2078">
        <v>30103.953318502099</v>
      </c>
      <c r="G2078" t="s">
        <v>48</v>
      </c>
      <c r="H2078">
        <v>33</v>
      </c>
      <c r="I2078">
        <v>14</v>
      </c>
      <c r="J2078">
        <v>82</v>
      </c>
      <c r="K2078">
        <v>1</v>
      </c>
      <c r="L2078" t="s">
        <v>27</v>
      </c>
      <c r="M2078">
        <v>13.8825155513408</v>
      </c>
      <c r="N2078" t="s">
        <v>57</v>
      </c>
      <c r="O2078" t="s">
        <v>29</v>
      </c>
      <c r="P2078">
        <f>VLOOKUP(O2078, Coordinates!$A$2:$C$6, 2, FALSE)</f>
        <v>29.760400000000001</v>
      </c>
      <c r="Q2078">
        <f>VLOOKUP(O2078, Coordinates!$A$2:$C$6, 3, FALSE)</f>
        <v>-95.369799999999998</v>
      </c>
      <c r="R2078">
        <v>29</v>
      </c>
      <c r="S2078">
        <v>851</v>
      </c>
      <c r="T2078">
        <v>4</v>
      </c>
      <c r="U2078">
        <v>79.260617374845793</v>
      </c>
      <c r="V2078" t="s">
        <v>30</v>
      </c>
      <c r="W2078">
        <v>1.5488877041461599</v>
      </c>
      <c r="X2078" t="s">
        <v>46</v>
      </c>
      <c r="Y2078" t="s">
        <v>41</v>
      </c>
      <c r="Z2078">
        <v>344.37571811443797</v>
      </c>
    </row>
    <row r="2079" spans="1:26" x14ac:dyDescent="0.3">
      <c r="A2079" t="s">
        <v>42</v>
      </c>
      <c r="B2079" t="s">
        <v>2135</v>
      </c>
      <c r="C2079">
        <v>44.031423724847102</v>
      </c>
      <c r="D2079">
        <v>3</v>
      </c>
      <c r="E2079">
        <v>335</v>
      </c>
      <c r="F2079">
        <v>7957.8112745540002</v>
      </c>
      <c r="G2079" t="s">
        <v>26</v>
      </c>
      <c r="H2079">
        <v>86</v>
      </c>
      <c r="I2079">
        <v>2</v>
      </c>
      <c r="J2079">
        <v>46</v>
      </c>
      <c r="K2079">
        <v>6</v>
      </c>
      <c r="L2079" t="s">
        <v>36</v>
      </c>
      <c r="M2079">
        <v>1.5600619111307701</v>
      </c>
      <c r="N2079" t="s">
        <v>45</v>
      </c>
      <c r="O2079" t="s">
        <v>38</v>
      </c>
      <c r="P2079">
        <f>VLOOKUP(O2079, Coordinates!$A$2:$C$6, 2, FALSE)</f>
        <v>25.761700000000001</v>
      </c>
      <c r="Q2079">
        <f>VLOOKUP(O2079, Coordinates!$A$2:$C$6, 3, FALSE)</f>
        <v>-80.191800000000001</v>
      </c>
      <c r="R2079">
        <v>30</v>
      </c>
      <c r="S2079">
        <v>625</v>
      </c>
      <c r="T2079">
        <v>20</v>
      </c>
      <c r="U2079">
        <v>63.437128160192501</v>
      </c>
      <c r="V2079" t="s">
        <v>39</v>
      </c>
      <c r="W2079">
        <v>4.0538114803971501</v>
      </c>
      <c r="X2079" t="s">
        <v>52</v>
      </c>
      <c r="Y2079" t="s">
        <v>60</v>
      </c>
      <c r="Z2079">
        <v>969.98951368235601</v>
      </c>
    </row>
    <row r="2080" spans="1:26" x14ac:dyDescent="0.3">
      <c r="A2080" t="s">
        <v>42</v>
      </c>
      <c r="B2080" t="s">
        <v>2136</v>
      </c>
      <c r="C2080">
        <v>58.255081855099597</v>
      </c>
      <c r="D2080">
        <v>53</v>
      </c>
      <c r="E2080">
        <v>431</v>
      </c>
      <c r="F2080">
        <v>3994.0568787729098</v>
      </c>
      <c r="G2080" t="s">
        <v>35</v>
      </c>
      <c r="H2080">
        <v>88</v>
      </c>
      <c r="I2080">
        <v>10</v>
      </c>
      <c r="J2080">
        <v>62</v>
      </c>
      <c r="K2080">
        <v>9</v>
      </c>
      <c r="L2080" t="s">
        <v>36</v>
      </c>
      <c r="M2080">
        <v>11.4172115062836</v>
      </c>
      <c r="N2080" t="s">
        <v>37</v>
      </c>
      <c r="O2080" t="s">
        <v>38</v>
      </c>
      <c r="P2080">
        <f>VLOOKUP(O2080, Coordinates!$A$2:$C$6, 2, FALSE)</f>
        <v>25.761700000000001</v>
      </c>
      <c r="Q2080">
        <f>VLOOKUP(O2080, Coordinates!$A$2:$C$6, 3, FALSE)</f>
        <v>-80.191800000000001</v>
      </c>
      <c r="R2080">
        <v>30</v>
      </c>
      <c r="S2080">
        <v>701</v>
      </c>
      <c r="T2080">
        <v>22</v>
      </c>
      <c r="U2080">
        <v>99.064260871930102</v>
      </c>
      <c r="V2080" t="s">
        <v>30</v>
      </c>
      <c r="W2080">
        <v>0.41286551775658398</v>
      </c>
      <c r="X2080" t="s">
        <v>52</v>
      </c>
      <c r="Y2080" t="s">
        <v>41</v>
      </c>
      <c r="Z2080">
        <v>194.329690938509</v>
      </c>
    </row>
    <row r="2081" spans="1:26" x14ac:dyDescent="0.3">
      <c r="A2081" t="s">
        <v>72</v>
      </c>
      <c r="B2081" t="s">
        <v>2137</v>
      </c>
      <c r="C2081">
        <v>26.0252342936163</v>
      </c>
      <c r="D2081">
        <v>84</v>
      </c>
      <c r="E2081">
        <v>501</v>
      </c>
      <c r="F2081">
        <v>11734.77814</v>
      </c>
      <c r="G2081" t="s">
        <v>26</v>
      </c>
      <c r="H2081">
        <v>6</v>
      </c>
      <c r="I2081">
        <v>21</v>
      </c>
      <c r="J2081">
        <v>96</v>
      </c>
      <c r="K2081">
        <v>3</v>
      </c>
      <c r="L2081" t="s">
        <v>27</v>
      </c>
      <c r="M2081">
        <v>1.49224762645579</v>
      </c>
      <c r="N2081" t="s">
        <v>28</v>
      </c>
      <c r="O2081" t="s">
        <v>58</v>
      </c>
      <c r="P2081">
        <f>VLOOKUP(O2081, Coordinates!$A$2:$C$6, 2, FALSE)</f>
        <v>34.052199999999999</v>
      </c>
      <c r="Q2081">
        <f>VLOOKUP(O2081, Coordinates!$A$2:$C$6, 3, FALSE)</f>
        <v>-118.2437</v>
      </c>
      <c r="R2081">
        <v>30</v>
      </c>
      <c r="S2081">
        <v>117</v>
      </c>
      <c r="T2081">
        <v>22</v>
      </c>
      <c r="U2081">
        <v>92.357863420000001</v>
      </c>
      <c r="V2081" t="s">
        <v>30</v>
      </c>
      <c r="W2081">
        <v>0.54764133884788702</v>
      </c>
      <c r="X2081" t="s">
        <v>31</v>
      </c>
      <c r="Y2081" t="s">
        <v>60</v>
      </c>
      <c r="Z2081">
        <v>814.58663529606599</v>
      </c>
    </row>
    <row r="2082" spans="1:26" x14ac:dyDescent="0.3">
      <c r="A2082" t="s">
        <v>33</v>
      </c>
      <c r="B2082" t="s">
        <v>2138</v>
      </c>
      <c r="C2082">
        <v>12.8597337642487</v>
      </c>
      <c r="D2082">
        <v>31</v>
      </c>
      <c r="E2082">
        <v>832</v>
      </c>
      <c r="F2082">
        <v>3471.1508399591899</v>
      </c>
      <c r="G2082" t="s">
        <v>54</v>
      </c>
      <c r="H2082">
        <v>82</v>
      </c>
      <c r="I2082">
        <v>24</v>
      </c>
      <c r="J2082">
        <v>25</v>
      </c>
      <c r="K2082">
        <v>6</v>
      </c>
      <c r="L2082" t="s">
        <v>44</v>
      </c>
      <c r="M2082">
        <v>7.2313536162156202</v>
      </c>
      <c r="N2082" t="s">
        <v>37</v>
      </c>
      <c r="O2082" t="s">
        <v>58</v>
      </c>
      <c r="P2082">
        <f>VLOOKUP(O2082, Coordinates!$A$2:$C$6, 2, FALSE)</f>
        <v>34.052199999999999</v>
      </c>
      <c r="Q2082">
        <f>VLOOKUP(O2082, Coordinates!$A$2:$C$6, 3, FALSE)</f>
        <v>-118.2437</v>
      </c>
      <c r="R2082">
        <v>30</v>
      </c>
      <c r="S2082">
        <v>439</v>
      </c>
      <c r="T2082">
        <v>10</v>
      </c>
      <c r="U2082">
        <v>84.8348515988408</v>
      </c>
      <c r="V2082" t="s">
        <v>30</v>
      </c>
      <c r="W2082">
        <v>4.4539941760000001</v>
      </c>
      <c r="X2082" t="s">
        <v>52</v>
      </c>
      <c r="Y2082" t="s">
        <v>32</v>
      </c>
      <c r="Z2082">
        <v>495.76435473857498</v>
      </c>
    </row>
    <row r="2083" spans="1:26" x14ac:dyDescent="0.3">
      <c r="A2083" t="s">
        <v>33</v>
      </c>
      <c r="B2083" t="s">
        <v>2139</v>
      </c>
      <c r="C2083">
        <v>29.1240883327511</v>
      </c>
      <c r="D2083">
        <v>69</v>
      </c>
      <c r="E2083">
        <v>490</v>
      </c>
      <c r="F2083">
        <v>5914.8892720296099</v>
      </c>
      <c r="G2083" t="s">
        <v>48</v>
      </c>
      <c r="H2083">
        <v>6</v>
      </c>
      <c r="I2083">
        <v>16</v>
      </c>
      <c r="J2083">
        <v>27</v>
      </c>
      <c r="K2083">
        <v>4</v>
      </c>
      <c r="L2083" t="s">
        <v>44</v>
      </c>
      <c r="M2083">
        <v>7.4624450347984697</v>
      </c>
      <c r="N2083" t="s">
        <v>45</v>
      </c>
      <c r="O2083" t="s">
        <v>38</v>
      </c>
      <c r="P2083">
        <f>VLOOKUP(O2083, Coordinates!$A$2:$C$6, 2, FALSE)</f>
        <v>25.761700000000001</v>
      </c>
      <c r="Q2083">
        <f>VLOOKUP(O2083, Coordinates!$A$2:$C$6, 3, FALSE)</f>
        <v>-80.191800000000001</v>
      </c>
      <c r="R2083">
        <v>25</v>
      </c>
      <c r="S2083">
        <v>780</v>
      </c>
      <c r="T2083">
        <v>24</v>
      </c>
      <c r="U2083">
        <v>81.276674342909203</v>
      </c>
      <c r="V2083" t="s">
        <v>39</v>
      </c>
      <c r="W2083">
        <v>4.5838289254958804</v>
      </c>
      <c r="X2083" t="s">
        <v>40</v>
      </c>
      <c r="Y2083" t="s">
        <v>60</v>
      </c>
      <c r="Z2083">
        <v>275.33524465069502</v>
      </c>
    </row>
    <row r="2084" spans="1:26" x14ac:dyDescent="0.3">
      <c r="A2084" t="s">
        <v>33</v>
      </c>
      <c r="B2084" t="s">
        <v>2140</v>
      </c>
      <c r="C2084">
        <v>79.098891056501699</v>
      </c>
      <c r="D2084">
        <v>88</v>
      </c>
      <c r="E2084">
        <v>812</v>
      </c>
      <c r="F2084">
        <v>2926.0640185648599</v>
      </c>
      <c r="G2084" t="s">
        <v>35</v>
      </c>
      <c r="H2084">
        <v>46</v>
      </c>
      <c r="I2084">
        <v>16</v>
      </c>
      <c r="J2084">
        <v>28</v>
      </c>
      <c r="K2084">
        <v>6</v>
      </c>
      <c r="L2084" t="s">
        <v>27</v>
      </c>
      <c r="M2084">
        <v>10.747057565350399</v>
      </c>
      <c r="N2084" t="s">
        <v>45</v>
      </c>
      <c r="O2084" t="s">
        <v>38</v>
      </c>
      <c r="P2084">
        <f>VLOOKUP(O2084, Coordinates!$A$2:$C$6, 2, FALSE)</f>
        <v>25.761700000000001</v>
      </c>
      <c r="Q2084">
        <f>VLOOKUP(O2084, Coordinates!$A$2:$C$6, 3, FALSE)</f>
        <v>-80.191800000000001</v>
      </c>
      <c r="R2084">
        <v>25</v>
      </c>
      <c r="S2084">
        <v>667</v>
      </c>
      <c r="T2084">
        <v>28</v>
      </c>
      <c r="U2084">
        <v>21.956726083602899</v>
      </c>
      <c r="V2084" t="s">
        <v>39</v>
      </c>
      <c r="W2084">
        <v>4.50517141447465</v>
      </c>
      <c r="X2084" t="s">
        <v>31</v>
      </c>
      <c r="Y2084" t="s">
        <v>32</v>
      </c>
      <c r="Z2084">
        <v>808.68024156642002</v>
      </c>
    </row>
    <row r="2085" spans="1:26" x14ac:dyDescent="0.3">
      <c r="A2085" t="s">
        <v>61</v>
      </c>
      <c r="B2085" t="s">
        <v>2141</v>
      </c>
      <c r="C2085">
        <v>14.380034653853199</v>
      </c>
      <c r="D2085">
        <v>33</v>
      </c>
      <c r="E2085">
        <v>453</v>
      </c>
      <c r="F2085">
        <v>5279.738695</v>
      </c>
      <c r="G2085" t="s">
        <v>35</v>
      </c>
      <c r="H2085">
        <v>7</v>
      </c>
      <c r="I2085">
        <v>19</v>
      </c>
      <c r="J2085">
        <v>53</v>
      </c>
      <c r="K2085">
        <v>2</v>
      </c>
      <c r="L2085" t="s">
        <v>44</v>
      </c>
      <c r="M2085">
        <v>5.9336461748132496</v>
      </c>
      <c r="N2085" t="s">
        <v>28</v>
      </c>
      <c r="O2085" t="s">
        <v>65</v>
      </c>
      <c r="P2085">
        <f>VLOOKUP(O2085, Coordinates!$A$2:$C$6, 2, FALSE)</f>
        <v>41.878100000000003</v>
      </c>
      <c r="Q2085">
        <f>VLOOKUP(O2085, Coordinates!$A$2:$C$6, 3, FALSE)</f>
        <v>-87.629800000000003</v>
      </c>
      <c r="R2085">
        <v>3</v>
      </c>
      <c r="S2085">
        <v>775</v>
      </c>
      <c r="T2085">
        <v>1</v>
      </c>
      <c r="U2085">
        <v>40.177507157506597</v>
      </c>
      <c r="V2085" t="s">
        <v>30</v>
      </c>
      <c r="W2085">
        <v>2.7827423102783899</v>
      </c>
      <c r="X2085" t="s">
        <v>40</v>
      </c>
      <c r="Y2085" t="s">
        <v>60</v>
      </c>
      <c r="Z2085">
        <v>106.28271225278699</v>
      </c>
    </row>
    <row r="2086" spans="1:26" x14ac:dyDescent="0.3">
      <c r="A2086" t="s">
        <v>33</v>
      </c>
      <c r="B2086" t="s">
        <v>2142</v>
      </c>
      <c r="C2086">
        <v>12.187804870890499</v>
      </c>
      <c r="D2086">
        <v>72</v>
      </c>
      <c r="E2086">
        <v>417</v>
      </c>
      <c r="F2086">
        <v>3863.5768855783199</v>
      </c>
      <c r="G2086" t="s">
        <v>26</v>
      </c>
      <c r="H2086">
        <v>77</v>
      </c>
      <c r="I2086">
        <v>27</v>
      </c>
      <c r="J2086">
        <v>11</v>
      </c>
      <c r="K2086">
        <v>4</v>
      </c>
      <c r="L2086" t="s">
        <v>44</v>
      </c>
      <c r="M2086">
        <v>12.492618736455</v>
      </c>
      <c r="N2086" t="s">
        <v>28</v>
      </c>
      <c r="O2086" t="s">
        <v>65</v>
      </c>
      <c r="P2086">
        <f>VLOOKUP(O2086, Coordinates!$A$2:$C$6, 2, FALSE)</f>
        <v>41.878100000000003</v>
      </c>
      <c r="Q2086">
        <f>VLOOKUP(O2086, Coordinates!$A$2:$C$6, 3, FALSE)</f>
        <v>-87.629800000000003</v>
      </c>
      <c r="R2086">
        <v>21</v>
      </c>
      <c r="S2086">
        <v>763</v>
      </c>
      <c r="T2086">
        <v>29</v>
      </c>
      <c r="U2086">
        <v>89.631658273975503</v>
      </c>
      <c r="V2086" t="s">
        <v>30</v>
      </c>
      <c r="W2086">
        <v>1.03996125303495</v>
      </c>
      <c r="X2086" t="s">
        <v>31</v>
      </c>
      <c r="Y2086" t="s">
        <v>32</v>
      </c>
      <c r="Z2086">
        <v>412.42618619062102</v>
      </c>
    </row>
    <row r="2087" spans="1:26" x14ac:dyDescent="0.3">
      <c r="A2087" t="s">
        <v>49</v>
      </c>
      <c r="B2087" t="s">
        <v>2143</v>
      </c>
      <c r="C2087">
        <v>39.346432881633604</v>
      </c>
      <c r="D2087">
        <v>88</v>
      </c>
      <c r="E2087">
        <v>334</v>
      </c>
      <c r="F2087">
        <v>3400.33087573492</v>
      </c>
      <c r="G2087" t="s">
        <v>26</v>
      </c>
      <c r="H2087">
        <v>0</v>
      </c>
      <c r="I2087">
        <v>11</v>
      </c>
      <c r="J2087">
        <v>67</v>
      </c>
      <c r="K2087">
        <v>7</v>
      </c>
      <c r="L2087" t="s">
        <v>27</v>
      </c>
      <c r="M2087">
        <v>5.8000968112420699</v>
      </c>
      <c r="N2087" t="s">
        <v>57</v>
      </c>
      <c r="O2087" t="s">
        <v>65</v>
      </c>
      <c r="P2087">
        <f>VLOOKUP(O2087, Coordinates!$A$2:$C$6, 2, FALSE)</f>
        <v>41.878100000000003</v>
      </c>
      <c r="Q2087">
        <f>VLOOKUP(O2087, Coordinates!$A$2:$C$6, 3, FALSE)</f>
        <v>-87.629800000000003</v>
      </c>
      <c r="R2087">
        <v>8</v>
      </c>
      <c r="S2087">
        <v>189</v>
      </c>
      <c r="T2087">
        <v>23</v>
      </c>
      <c r="U2087">
        <v>56.660886556502803</v>
      </c>
      <c r="V2087" t="s">
        <v>30</v>
      </c>
      <c r="W2087">
        <v>1.17563021304009</v>
      </c>
      <c r="X2087" t="s">
        <v>46</v>
      </c>
      <c r="Y2087" t="s">
        <v>32</v>
      </c>
      <c r="Z2087">
        <v>644.37159895232298</v>
      </c>
    </row>
    <row r="2088" spans="1:26" x14ac:dyDescent="0.3">
      <c r="A2088" t="s">
        <v>82</v>
      </c>
      <c r="B2088" t="s">
        <v>2144</v>
      </c>
      <c r="C2088">
        <v>13.755956054881</v>
      </c>
      <c r="D2088">
        <v>50</v>
      </c>
      <c r="E2088">
        <v>736</v>
      </c>
      <c r="F2088">
        <v>9702.8651622523303</v>
      </c>
      <c r="G2088" t="s">
        <v>26</v>
      </c>
      <c r="H2088">
        <v>76</v>
      </c>
      <c r="I2088">
        <v>6</v>
      </c>
      <c r="J2088">
        <v>19</v>
      </c>
      <c r="K2088">
        <v>6</v>
      </c>
      <c r="L2088" t="s">
        <v>36</v>
      </c>
      <c r="M2088">
        <v>5.7952504367808197</v>
      </c>
      <c r="N2088" t="s">
        <v>51</v>
      </c>
      <c r="O2088" t="s">
        <v>67</v>
      </c>
      <c r="P2088">
        <f>VLOOKUP(O2088, Coordinates!$A$2:$C$6, 2, FALSE)</f>
        <v>40.712800000000001</v>
      </c>
      <c r="Q2088">
        <f>VLOOKUP(O2088, Coordinates!$A$2:$C$6, 3, FALSE)</f>
        <v>-74.006</v>
      </c>
      <c r="R2088">
        <v>1</v>
      </c>
      <c r="S2088">
        <v>384</v>
      </c>
      <c r="T2088">
        <v>30</v>
      </c>
      <c r="U2088">
        <v>46.115333872051501</v>
      </c>
      <c r="V2088" t="s">
        <v>30</v>
      </c>
      <c r="W2088">
        <v>0.80420867459039302</v>
      </c>
      <c r="X2088" t="s">
        <v>40</v>
      </c>
      <c r="Y2088" t="s">
        <v>32</v>
      </c>
      <c r="Z2088">
        <v>307.873221252701</v>
      </c>
    </row>
    <row r="2089" spans="1:26" x14ac:dyDescent="0.3">
      <c r="A2089" t="s">
        <v>33</v>
      </c>
      <c r="B2089" t="s">
        <v>2145</v>
      </c>
      <c r="C2089">
        <v>60.582452009589197</v>
      </c>
      <c r="D2089">
        <v>84</v>
      </c>
      <c r="E2089">
        <v>893</v>
      </c>
      <c r="F2089">
        <v>2440.6669493805698</v>
      </c>
      <c r="G2089" t="s">
        <v>26</v>
      </c>
      <c r="H2089">
        <v>2</v>
      </c>
      <c r="I2089">
        <v>6</v>
      </c>
      <c r="J2089">
        <v>85</v>
      </c>
      <c r="K2089">
        <v>9</v>
      </c>
      <c r="L2089" t="s">
        <v>27</v>
      </c>
      <c r="M2089">
        <v>4.1186493472210497</v>
      </c>
      <c r="N2089" t="s">
        <v>37</v>
      </c>
      <c r="O2089" t="s">
        <v>65</v>
      </c>
      <c r="P2089">
        <f>VLOOKUP(O2089, Coordinates!$A$2:$C$6, 2, FALSE)</f>
        <v>41.878100000000003</v>
      </c>
      <c r="Q2089">
        <f>VLOOKUP(O2089, Coordinates!$A$2:$C$6, 3, FALSE)</f>
        <v>-87.629800000000003</v>
      </c>
      <c r="R2089">
        <v>18</v>
      </c>
      <c r="S2089">
        <v>633</v>
      </c>
      <c r="T2089">
        <v>4</v>
      </c>
      <c r="U2089">
        <v>91.4946789025757</v>
      </c>
      <c r="V2089" t="s">
        <v>30</v>
      </c>
      <c r="W2089">
        <v>3.8101073119935802</v>
      </c>
      <c r="X2089" t="s">
        <v>40</v>
      </c>
      <c r="Y2089" t="s">
        <v>41</v>
      </c>
      <c r="Z2089">
        <v>399.28005598368202</v>
      </c>
    </row>
    <row r="2090" spans="1:26" x14ac:dyDescent="0.3">
      <c r="A2090" t="s">
        <v>72</v>
      </c>
      <c r="B2090" t="s">
        <v>2146</v>
      </c>
      <c r="C2090">
        <v>32.5381617969812</v>
      </c>
      <c r="D2090">
        <v>16</v>
      </c>
      <c r="E2090">
        <v>995</v>
      </c>
      <c r="F2090">
        <v>29137.923889196602</v>
      </c>
      <c r="G2090" t="s">
        <v>35</v>
      </c>
      <c r="H2090">
        <v>52</v>
      </c>
      <c r="I2090">
        <v>7</v>
      </c>
      <c r="J2090">
        <v>55</v>
      </c>
      <c r="K2090">
        <v>7</v>
      </c>
      <c r="L2090" t="s">
        <v>27</v>
      </c>
      <c r="M2090">
        <v>10.5741659697331</v>
      </c>
      <c r="N2090" t="s">
        <v>57</v>
      </c>
      <c r="O2090" t="s">
        <v>58</v>
      </c>
      <c r="P2090">
        <f>VLOOKUP(O2090, Coordinates!$A$2:$C$6, 2, FALSE)</f>
        <v>34.052199999999999</v>
      </c>
      <c r="Q2090">
        <f>VLOOKUP(O2090, Coordinates!$A$2:$C$6, 3, FALSE)</f>
        <v>-118.2437</v>
      </c>
      <c r="R2090">
        <v>13</v>
      </c>
      <c r="S2090">
        <v>366</v>
      </c>
      <c r="T2090">
        <v>13</v>
      </c>
      <c r="U2090">
        <v>94.654810753115399</v>
      </c>
      <c r="V2090" t="s">
        <v>30</v>
      </c>
      <c r="W2090">
        <v>3.0644689999999998E-3</v>
      </c>
      <c r="X2090" t="s">
        <v>52</v>
      </c>
      <c r="Y2090" t="s">
        <v>32</v>
      </c>
      <c r="Z2090">
        <v>182.30802775485799</v>
      </c>
    </row>
    <row r="2091" spans="1:26" x14ac:dyDescent="0.3">
      <c r="A2091" t="s">
        <v>82</v>
      </c>
      <c r="B2091" t="s">
        <v>2147</v>
      </c>
      <c r="C2091">
        <v>90.091306503940302</v>
      </c>
      <c r="D2091">
        <v>76</v>
      </c>
      <c r="E2091">
        <v>151</v>
      </c>
      <c r="F2091">
        <v>9857.4846353489302</v>
      </c>
      <c r="G2091" t="s">
        <v>26</v>
      </c>
      <c r="H2091">
        <v>91</v>
      </c>
      <c r="I2091">
        <v>16</v>
      </c>
      <c r="J2091">
        <v>91</v>
      </c>
      <c r="K2091">
        <v>1</v>
      </c>
      <c r="L2091" t="s">
        <v>27</v>
      </c>
      <c r="M2091">
        <v>2.0722211838388298</v>
      </c>
      <c r="N2091" t="s">
        <v>51</v>
      </c>
      <c r="O2091" t="s">
        <v>67</v>
      </c>
      <c r="P2091">
        <f>VLOOKUP(O2091, Coordinates!$A$2:$C$6, 2, FALSE)</f>
        <v>40.712800000000001</v>
      </c>
      <c r="Q2091">
        <f>VLOOKUP(O2091, Coordinates!$A$2:$C$6, 3, FALSE)</f>
        <v>-74.006</v>
      </c>
      <c r="R2091">
        <v>7</v>
      </c>
      <c r="S2091">
        <v>908</v>
      </c>
      <c r="T2091">
        <v>6</v>
      </c>
      <c r="U2091">
        <v>52.581050461202999</v>
      </c>
      <c r="V2091" t="s">
        <v>30</v>
      </c>
      <c r="W2091">
        <v>2.1949208194842198</v>
      </c>
      <c r="X2091" t="s">
        <v>46</v>
      </c>
      <c r="Y2091" t="s">
        <v>60</v>
      </c>
      <c r="Z2091">
        <v>867.891095172321</v>
      </c>
    </row>
    <row r="2092" spans="1:26" x14ac:dyDescent="0.3">
      <c r="A2092" t="s">
        <v>61</v>
      </c>
      <c r="B2092" t="s">
        <v>2148</v>
      </c>
      <c r="C2092">
        <v>79.432507680299295</v>
      </c>
      <c r="D2092">
        <v>77</v>
      </c>
      <c r="E2092">
        <v>263</v>
      </c>
      <c r="F2092">
        <v>1179.1133536607001</v>
      </c>
      <c r="G2092" t="s">
        <v>35</v>
      </c>
      <c r="H2092">
        <v>37</v>
      </c>
      <c r="I2092">
        <v>13</v>
      </c>
      <c r="J2092">
        <v>28</v>
      </c>
      <c r="K2092">
        <v>6</v>
      </c>
      <c r="L2092" t="s">
        <v>27</v>
      </c>
      <c r="M2092">
        <v>6.0827712023867404</v>
      </c>
      <c r="N2092" t="s">
        <v>57</v>
      </c>
      <c r="O2092" t="s">
        <v>29</v>
      </c>
      <c r="P2092">
        <f>VLOOKUP(O2092, Coordinates!$A$2:$C$6, 2, FALSE)</f>
        <v>29.760400000000001</v>
      </c>
      <c r="Q2092">
        <f>VLOOKUP(O2092, Coordinates!$A$2:$C$6, 3, FALSE)</f>
        <v>-95.369799999999998</v>
      </c>
      <c r="R2092">
        <v>13</v>
      </c>
      <c r="S2092">
        <v>532</v>
      </c>
      <c r="T2092">
        <v>26</v>
      </c>
      <c r="U2092">
        <v>68.713668817781695</v>
      </c>
      <c r="V2092" t="s">
        <v>30</v>
      </c>
      <c r="W2092">
        <v>0.43435583201241601</v>
      </c>
      <c r="X2092" t="s">
        <v>31</v>
      </c>
      <c r="Y2092" t="s">
        <v>32</v>
      </c>
      <c r="Z2092">
        <v>479.949710396954</v>
      </c>
    </row>
    <row r="2093" spans="1:26" x14ac:dyDescent="0.3">
      <c r="A2093" t="s">
        <v>72</v>
      </c>
      <c r="B2093" t="s">
        <v>2149</v>
      </c>
      <c r="C2093">
        <v>26.906807341389001</v>
      </c>
      <c r="D2093">
        <v>39</v>
      </c>
      <c r="E2093">
        <v>296</v>
      </c>
      <c r="F2093">
        <v>7167.9734757460401</v>
      </c>
      <c r="G2093" t="s">
        <v>26</v>
      </c>
      <c r="H2093">
        <v>50</v>
      </c>
      <c r="I2093">
        <v>27</v>
      </c>
      <c r="J2093">
        <v>47</v>
      </c>
      <c r="K2093">
        <v>3</v>
      </c>
      <c r="L2093" t="s">
        <v>27</v>
      </c>
      <c r="M2093">
        <v>4.73647044609387</v>
      </c>
      <c r="N2093" t="s">
        <v>28</v>
      </c>
      <c r="O2093" t="s">
        <v>38</v>
      </c>
      <c r="P2093">
        <f>VLOOKUP(O2093, Coordinates!$A$2:$C$6, 2, FALSE)</f>
        <v>25.761700000000001</v>
      </c>
      <c r="Q2093">
        <f>VLOOKUP(O2093, Coordinates!$A$2:$C$6, 3, FALSE)</f>
        <v>-80.191800000000001</v>
      </c>
      <c r="R2093">
        <v>17</v>
      </c>
      <c r="S2093">
        <v>857</v>
      </c>
      <c r="T2093">
        <v>15</v>
      </c>
      <c r="U2093">
        <v>81.336803892844102</v>
      </c>
      <c r="V2093" t="s">
        <v>39</v>
      </c>
      <c r="W2093">
        <v>2.76187300502276</v>
      </c>
      <c r="X2093" t="s">
        <v>31</v>
      </c>
      <c r="Y2093" t="s">
        <v>32</v>
      </c>
      <c r="Z2093">
        <v>230.76562310276901</v>
      </c>
    </row>
    <row r="2094" spans="1:26" x14ac:dyDescent="0.3">
      <c r="A2094" t="s">
        <v>82</v>
      </c>
      <c r="B2094" t="s">
        <v>2150</v>
      </c>
      <c r="C2094">
        <v>63.609682601527602</v>
      </c>
      <c r="D2094">
        <v>89</v>
      </c>
      <c r="E2094">
        <v>815</v>
      </c>
      <c r="F2094">
        <v>3276.2062500065799</v>
      </c>
      <c r="G2094" t="s">
        <v>48</v>
      </c>
      <c r="H2094">
        <v>14</v>
      </c>
      <c r="I2094">
        <v>3</v>
      </c>
      <c r="J2094">
        <v>46</v>
      </c>
      <c r="K2094">
        <v>8</v>
      </c>
      <c r="L2094" t="s">
        <v>36</v>
      </c>
      <c r="M2094">
        <v>4.2106988914198098</v>
      </c>
      <c r="N2094" t="s">
        <v>28</v>
      </c>
      <c r="O2094" t="s">
        <v>38</v>
      </c>
      <c r="P2094">
        <f>VLOOKUP(O2094, Coordinates!$A$2:$C$6, 2, FALSE)</f>
        <v>25.761700000000001</v>
      </c>
      <c r="Q2094">
        <f>VLOOKUP(O2094, Coordinates!$A$2:$C$6, 3, FALSE)</f>
        <v>-80.191800000000001</v>
      </c>
      <c r="R2094">
        <v>13</v>
      </c>
      <c r="S2094">
        <v>750</v>
      </c>
      <c r="T2094">
        <v>14</v>
      </c>
      <c r="U2094">
        <v>33.784880896800203</v>
      </c>
      <c r="V2094" t="s">
        <v>55</v>
      </c>
      <c r="W2094">
        <v>1.7299617308067099</v>
      </c>
      <c r="X2094" t="s">
        <v>46</v>
      </c>
      <c r="Y2094" t="s">
        <v>60</v>
      </c>
      <c r="Z2094">
        <v>279.18461026631599</v>
      </c>
    </row>
    <row r="2095" spans="1:26" x14ac:dyDescent="0.3">
      <c r="A2095" t="s">
        <v>72</v>
      </c>
      <c r="B2095" t="s">
        <v>2151</v>
      </c>
      <c r="C2095">
        <v>36.216790945149697</v>
      </c>
      <c r="D2095">
        <v>46</v>
      </c>
      <c r="E2095">
        <v>147</v>
      </c>
      <c r="F2095">
        <v>4791.4814420433004</v>
      </c>
      <c r="G2095" t="s">
        <v>48</v>
      </c>
      <c r="H2095">
        <v>99</v>
      </c>
      <c r="I2095">
        <v>24</v>
      </c>
      <c r="J2095">
        <v>100</v>
      </c>
      <c r="K2095">
        <v>1</v>
      </c>
      <c r="L2095" t="s">
        <v>44</v>
      </c>
      <c r="M2095">
        <v>1.8537664404351699</v>
      </c>
      <c r="N2095" t="s">
        <v>45</v>
      </c>
      <c r="O2095" t="s">
        <v>38</v>
      </c>
      <c r="P2095">
        <f>VLOOKUP(O2095, Coordinates!$A$2:$C$6, 2, FALSE)</f>
        <v>25.761700000000001</v>
      </c>
      <c r="Q2095">
        <f>VLOOKUP(O2095, Coordinates!$A$2:$C$6, 3, FALSE)</f>
        <v>-80.191800000000001</v>
      </c>
      <c r="R2095">
        <v>27</v>
      </c>
      <c r="S2095">
        <v>151</v>
      </c>
      <c r="T2095">
        <v>25</v>
      </c>
      <c r="U2095">
        <v>89.787237750000003</v>
      </c>
      <c r="V2095" t="s">
        <v>39</v>
      </c>
      <c r="W2095">
        <v>4.5155321695050201</v>
      </c>
      <c r="X2095" t="s">
        <v>52</v>
      </c>
      <c r="Y2095" t="s">
        <v>32</v>
      </c>
      <c r="Z2095">
        <v>347.65020951147898</v>
      </c>
    </row>
    <row r="2096" spans="1:26" x14ac:dyDescent="0.3">
      <c r="A2096" t="s">
        <v>61</v>
      </c>
      <c r="B2096" t="s">
        <v>2152</v>
      </c>
      <c r="C2096">
        <v>26.190895846561901</v>
      </c>
      <c r="D2096">
        <v>96</v>
      </c>
      <c r="E2096">
        <v>997</v>
      </c>
      <c r="F2096">
        <v>4626.0062106096702</v>
      </c>
      <c r="G2096" t="s">
        <v>26</v>
      </c>
      <c r="H2096">
        <v>66</v>
      </c>
      <c r="I2096">
        <v>24</v>
      </c>
      <c r="J2096">
        <v>87</v>
      </c>
      <c r="K2096">
        <v>10</v>
      </c>
      <c r="L2096" t="s">
        <v>27</v>
      </c>
      <c r="M2096">
        <v>3.6653636199999999</v>
      </c>
      <c r="N2096" t="s">
        <v>37</v>
      </c>
      <c r="O2096" t="s">
        <v>38</v>
      </c>
      <c r="P2096">
        <f>VLOOKUP(O2096, Coordinates!$A$2:$C$6, 2, FALSE)</f>
        <v>25.761700000000001</v>
      </c>
      <c r="Q2096">
        <f>VLOOKUP(O2096, Coordinates!$A$2:$C$6, 3, FALSE)</f>
        <v>-80.191800000000001</v>
      </c>
      <c r="R2096">
        <v>13</v>
      </c>
      <c r="S2096">
        <v>166</v>
      </c>
      <c r="T2096">
        <v>3</v>
      </c>
      <c r="U2096">
        <v>73.770558785738302</v>
      </c>
      <c r="V2096" t="s">
        <v>30</v>
      </c>
      <c r="W2096">
        <v>2.3048711557752202</v>
      </c>
      <c r="X2096" t="s">
        <v>40</v>
      </c>
      <c r="Y2096" t="s">
        <v>60</v>
      </c>
      <c r="Z2096">
        <v>306.519827904865</v>
      </c>
    </row>
    <row r="2097" spans="1:26" x14ac:dyDescent="0.3">
      <c r="A2097" t="s">
        <v>49</v>
      </c>
      <c r="B2097" t="s">
        <v>2153</v>
      </c>
      <c r="C2097">
        <v>87.945340062601602</v>
      </c>
      <c r="D2097">
        <v>88</v>
      </c>
      <c r="E2097">
        <v>941</v>
      </c>
      <c r="F2097">
        <v>9416.9602915378691</v>
      </c>
      <c r="G2097" t="s">
        <v>26</v>
      </c>
      <c r="H2097">
        <v>63</v>
      </c>
      <c r="I2097">
        <v>9</v>
      </c>
      <c r="J2097">
        <v>54</v>
      </c>
      <c r="K2097">
        <v>2</v>
      </c>
      <c r="L2097" t="s">
        <v>36</v>
      </c>
      <c r="M2097">
        <v>7.2474217430000003</v>
      </c>
      <c r="N2097" t="s">
        <v>37</v>
      </c>
      <c r="O2097" t="s">
        <v>38</v>
      </c>
      <c r="P2097">
        <f>VLOOKUP(O2097, Coordinates!$A$2:$C$6, 2, FALSE)</f>
        <v>25.761700000000001</v>
      </c>
      <c r="Q2097">
        <f>VLOOKUP(O2097, Coordinates!$A$2:$C$6, 3, FALSE)</f>
        <v>-80.191800000000001</v>
      </c>
      <c r="R2097">
        <v>30</v>
      </c>
      <c r="S2097">
        <v>696</v>
      </c>
      <c r="T2097">
        <v>24</v>
      </c>
      <c r="U2097">
        <v>62.639686659402798</v>
      </c>
      <c r="V2097" t="s">
        <v>30</v>
      </c>
      <c r="W2097">
        <v>2.85292748932401</v>
      </c>
      <c r="X2097" t="s">
        <v>40</v>
      </c>
      <c r="Y2097" t="s">
        <v>32</v>
      </c>
      <c r="Z2097">
        <v>552.97606110993001</v>
      </c>
    </row>
    <row r="2098" spans="1:26" x14ac:dyDescent="0.3">
      <c r="A2098" t="s">
        <v>61</v>
      </c>
      <c r="B2098" t="s">
        <v>2154</v>
      </c>
      <c r="C2098">
        <v>80.001768350284905</v>
      </c>
      <c r="D2098">
        <v>47</v>
      </c>
      <c r="E2098">
        <v>751</v>
      </c>
      <c r="F2098">
        <v>1105.88584930297</v>
      </c>
      <c r="G2098" t="s">
        <v>54</v>
      </c>
      <c r="H2098">
        <v>67</v>
      </c>
      <c r="I2098">
        <v>24</v>
      </c>
      <c r="J2098">
        <v>43</v>
      </c>
      <c r="K2098">
        <v>3</v>
      </c>
      <c r="L2098" t="s">
        <v>27</v>
      </c>
      <c r="M2098">
        <v>8.0523803737429898</v>
      </c>
      <c r="N2098" t="s">
        <v>37</v>
      </c>
      <c r="O2098" t="s">
        <v>38</v>
      </c>
      <c r="P2098">
        <f>VLOOKUP(O2098, Coordinates!$A$2:$C$6, 2, FALSE)</f>
        <v>25.761700000000001</v>
      </c>
      <c r="Q2098">
        <f>VLOOKUP(O2098, Coordinates!$A$2:$C$6, 3, FALSE)</f>
        <v>-80.191800000000001</v>
      </c>
      <c r="R2098">
        <v>30</v>
      </c>
      <c r="S2098">
        <v>349</v>
      </c>
      <c r="T2098">
        <v>19</v>
      </c>
      <c r="U2098">
        <v>71.601600337958999</v>
      </c>
      <c r="V2098" t="s">
        <v>30</v>
      </c>
      <c r="W2098">
        <v>1.23827015831358</v>
      </c>
      <c r="X2098" t="s">
        <v>52</v>
      </c>
      <c r="Y2098" t="s">
        <v>60</v>
      </c>
      <c r="Z2098">
        <v>914.69635332797702</v>
      </c>
    </row>
    <row r="2099" spans="1:26" x14ac:dyDescent="0.3">
      <c r="A2099" t="s">
        <v>61</v>
      </c>
      <c r="B2099" t="s">
        <v>2155</v>
      </c>
      <c r="C2099">
        <v>76.075278506830102</v>
      </c>
      <c r="D2099">
        <v>44</v>
      </c>
      <c r="E2099">
        <v>631</v>
      </c>
      <c r="F2099">
        <v>6290.9712273680298</v>
      </c>
      <c r="G2099" t="s">
        <v>48</v>
      </c>
      <c r="H2099">
        <v>4</v>
      </c>
      <c r="I2099">
        <v>3</v>
      </c>
      <c r="J2099">
        <v>11</v>
      </c>
      <c r="K2099">
        <v>3</v>
      </c>
      <c r="L2099" t="s">
        <v>36</v>
      </c>
      <c r="M2099">
        <v>4.7730654330571003</v>
      </c>
      <c r="N2099" t="s">
        <v>57</v>
      </c>
      <c r="O2099" t="s">
        <v>29</v>
      </c>
      <c r="P2099">
        <f>VLOOKUP(O2099, Coordinates!$A$2:$C$6, 2, FALSE)</f>
        <v>29.760400000000001</v>
      </c>
      <c r="Q2099">
        <f>VLOOKUP(O2099, Coordinates!$A$2:$C$6, 3, FALSE)</f>
        <v>-95.369799999999998</v>
      </c>
      <c r="R2099">
        <v>11</v>
      </c>
      <c r="S2099">
        <v>430</v>
      </c>
      <c r="T2099">
        <v>6</v>
      </c>
      <c r="U2099">
        <v>33.047086544991103</v>
      </c>
      <c r="V2099" t="s">
        <v>30</v>
      </c>
      <c r="W2099">
        <v>3.8275594853552901</v>
      </c>
      <c r="X2099" t="s">
        <v>31</v>
      </c>
      <c r="Y2099" t="s">
        <v>60</v>
      </c>
      <c r="Z2099">
        <v>265.52358375569702</v>
      </c>
    </row>
    <row r="2100" spans="1:26" x14ac:dyDescent="0.3">
      <c r="A2100" t="s">
        <v>72</v>
      </c>
      <c r="B2100" t="s">
        <v>2156</v>
      </c>
      <c r="C2100">
        <v>33.9189220793209</v>
      </c>
      <c r="D2100">
        <v>9</v>
      </c>
      <c r="E2100">
        <v>369</v>
      </c>
      <c r="F2100">
        <v>11264.474022542399</v>
      </c>
      <c r="G2100" t="s">
        <v>35</v>
      </c>
      <c r="H2100">
        <v>89</v>
      </c>
      <c r="I2100">
        <v>6</v>
      </c>
      <c r="J2100">
        <v>53</v>
      </c>
      <c r="K2100">
        <v>7</v>
      </c>
      <c r="L2100" t="s">
        <v>44</v>
      </c>
      <c r="M2100">
        <v>10.1034091185319</v>
      </c>
      <c r="N2100" t="s">
        <v>57</v>
      </c>
      <c r="O2100" t="s">
        <v>38</v>
      </c>
      <c r="P2100">
        <f>VLOOKUP(O2100, Coordinates!$A$2:$C$6, 2, FALSE)</f>
        <v>25.761700000000001</v>
      </c>
      <c r="Q2100">
        <f>VLOOKUP(O2100, Coordinates!$A$2:$C$6, 3, FALSE)</f>
        <v>-80.191800000000001</v>
      </c>
      <c r="R2100">
        <v>14</v>
      </c>
      <c r="S2100">
        <v>514</v>
      </c>
      <c r="T2100">
        <v>2</v>
      </c>
      <c r="U2100">
        <v>85.656014949999999</v>
      </c>
      <c r="V2100" t="s">
        <v>30</v>
      </c>
      <c r="W2100">
        <v>1.8552438289714099</v>
      </c>
      <c r="X2100" t="s">
        <v>52</v>
      </c>
      <c r="Y2100" t="s">
        <v>32</v>
      </c>
      <c r="Z2100">
        <v>508.101816779996</v>
      </c>
    </row>
    <row r="2101" spans="1:26" x14ac:dyDescent="0.3">
      <c r="A2101" t="s">
        <v>24</v>
      </c>
      <c r="B2101" t="s">
        <v>2157</v>
      </c>
      <c r="C2101">
        <v>26.5645456275969</v>
      </c>
      <c r="D2101">
        <v>87</v>
      </c>
      <c r="E2101">
        <v>94</v>
      </c>
      <c r="F2101">
        <v>2247.3605600946998</v>
      </c>
      <c r="G2101" t="s">
        <v>48</v>
      </c>
      <c r="H2101">
        <v>88</v>
      </c>
      <c r="I2101">
        <v>25</v>
      </c>
      <c r="J2101">
        <v>92</v>
      </c>
      <c r="K2101">
        <v>8</v>
      </c>
      <c r="L2101" t="s">
        <v>36</v>
      </c>
      <c r="M2101">
        <v>5.7011067271976401</v>
      </c>
      <c r="N2101" t="s">
        <v>37</v>
      </c>
      <c r="O2101" t="s">
        <v>65</v>
      </c>
      <c r="P2101">
        <f>VLOOKUP(O2101, Coordinates!$A$2:$C$6, 2, FALSE)</f>
        <v>41.878100000000003</v>
      </c>
      <c r="Q2101">
        <f>VLOOKUP(O2101, Coordinates!$A$2:$C$6, 3, FALSE)</f>
        <v>-87.629800000000003</v>
      </c>
      <c r="R2101">
        <v>21</v>
      </c>
      <c r="S2101">
        <v>222</v>
      </c>
      <c r="T2101">
        <v>9</v>
      </c>
      <c r="U2101">
        <v>82.185582650000001</v>
      </c>
      <c r="V2101" t="s">
        <v>30</v>
      </c>
      <c r="W2101">
        <v>3.74673257072007</v>
      </c>
      <c r="X2101" t="s">
        <v>40</v>
      </c>
      <c r="Y2101" t="s">
        <v>32</v>
      </c>
      <c r="Z2101">
        <v>697.53653945844599</v>
      </c>
    </row>
    <row r="2102" spans="1:26" x14ac:dyDescent="0.3">
      <c r="A2102" t="s">
        <v>42</v>
      </c>
      <c r="B2102" t="s">
        <v>2158</v>
      </c>
      <c r="C2102">
        <v>45.237052019230099</v>
      </c>
      <c r="D2102">
        <v>50</v>
      </c>
      <c r="E2102">
        <v>724</v>
      </c>
      <c r="F2102">
        <v>1756.01543068563</v>
      </c>
      <c r="G2102" t="s">
        <v>35</v>
      </c>
      <c r="H2102">
        <v>9</v>
      </c>
      <c r="I2102">
        <v>17</v>
      </c>
      <c r="J2102">
        <v>36</v>
      </c>
      <c r="K2102">
        <v>9</v>
      </c>
      <c r="L2102" t="s">
        <v>36</v>
      </c>
      <c r="M2102">
        <v>6.1414417354946798</v>
      </c>
      <c r="N2102" t="s">
        <v>45</v>
      </c>
      <c r="O2102" t="s">
        <v>38</v>
      </c>
      <c r="P2102">
        <f>VLOOKUP(O2102, Coordinates!$A$2:$C$6, 2, FALSE)</f>
        <v>25.761700000000001</v>
      </c>
      <c r="Q2102">
        <f>VLOOKUP(O2102, Coordinates!$A$2:$C$6, 3, FALSE)</f>
        <v>-80.191800000000001</v>
      </c>
      <c r="R2102">
        <v>28</v>
      </c>
      <c r="S2102">
        <v>301</v>
      </c>
      <c r="T2102">
        <v>30</v>
      </c>
      <c r="U2102">
        <v>98.850145969411102</v>
      </c>
      <c r="V2102" t="s">
        <v>39</v>
      </c>
      <c r="W2102">
        <v>4.5156990404349804</v>
      </c>
      <c r="X2102" t="s">
        <v>46</v>
      </c>
      <c r="Y2102" t="s">
        <v>32</v>
      </c>
      <c r="Z2102">
        <v>265.41475201550401</v>
      </c>
    </row>
    <row r="2103" spans="1:26" x14ac:dyDescent="0.3">
      <c r="A2103" t="s">
        <v>33</v>
      </c>
      <c r="B2103" t="s">
        <v>2159</v>
      </c>
      <c r="C2103">
        <v>80.389212181186096</v>
      </c>
      <c r="D2103">
        <v>77</v>
      </c>
      <c r="E2103">
        <v>168</v>
      </c>
      <c r="F2103">
        <v>7133.7342689798497</v>
      </c>
      <c r="G2103" t="s">
        <v>26</v>
      </c>
      <c r="H2103">
        <v>7</v>
      </c>
      <c r="I2103">
        <v>3</v>
      </c>
      <c r="J2103">
        <v>57</v>
      </c>
      <c r="K2103">
        <v>7</v>
      </c>
      <c r="L2103" t="s">
        <v>44</v>
      </c>
      <c r="M2103">
        <v>11.9567406776955</v>
      </c>
      <c r="N2103" t="s">
        <v>51</v>
      </c>
      <c r="O2103" t="s">
        <v>58</v>
      </c>
      <c r="P2103">
        <f>VLOOKUP(O2103, Coordinates!$A$2:$C$6, 2, FALSE)</f>
        <v>34.052199999999999</v>
      </c>
      <c r="Q2103">
        <f>VLOOKUP(O2103, Coordinates!$A$2:$C$6, 3, FALSE)</f>
        <v>-118.2437</v>
      </c>
      <c r="R2103">
        <v>8</v>
      </c>
      <c r="S2103">
        <v>105</v>
      </c>
      <c r="T2103">
        <v>13</v>
      </c>
      <c r="U2103">
        <v>12.0956788600243</v>
      </c>
      <c r="V2103" t="s">
        <v>30</v>
      </c>
      <c r="W2103">
        <v>4.34626533993442</v>
      </c>
      <c r="X2103" t="s">
        <v>31</v>
      </c>
      <c r="Y2103" t="s">
        <v>32</v>
      </c>
      <c r="Z2103">
        <v>238.59290022459101</v>
      </c>
    </row>
    <row r="2104" spans="1:26" x14ac:dyDescent="0.3">
      <c r="A2104" t="s">
        <v>33</v>
      </c>
      <c r="B2104" t="s">
        <v>2160</v>
      </c>
      <c r="C2104">
        <v>8.0189560139458198</v>
      </c>
      <c r="D2104">
        <v>60</v>
      </c>
      <c r="E2104">
        <v>485</v>
      </c>
      <c r="F2104">
        <v>7120.9872858994904</v>
      </c>
      <c r="G2104" t="s">
        <v>48</v>
      </c>
      <c r="H2104">
        <v>11</v>
      </c>
      <c r="I2104">
        <v>2</v>
      </c>
      <c r="J2104">
        <v>16</v>
      </c>
      <c r="K2104">
        <v>8</v>
      </c>
      <c r="L2104" t="s">
        <v>44</v>
      </c>
      <c r="M2104">
        <v>8.7275340999999997</v>
      </c>
      <c r="N2104" t="s">
        <v>57</v>
      </c>
      <c r="O2104" t="s">
        <v>58</v>
      </c>
      <c r="P2104">
        <f>VLOOKUP(O2104, Coordinates!$A$2:$C$6, 2, FALSE)</f>
        <v>34.052199999999999</v>
      </c>
      <c r="Q2104">
        <f>VLOOKUP(O2104, Coordinates!$A$2:$C$6, 3, FALSE)</f>
        <v>-118.2437</v>
      </c>
      <c r="R2104">
        <v>6</v>
      </c>
      <c r="S2104">
        <v>948</v>
      </c>
      <c r="T2104">
        <v>18</v>
      </c>
      <c r="U2104">
        <v>44.228383412287897</v>
      </c>
      <c r="V2104" t="s">
        <v>55</v>
      </c>
      <c r="W2104">
        <v>2.73462395491135</v>
      </c>
      <c r="X2104" t="s">
        <v>52</v>
      </c>
      <c r="Y2104" t="s">
        <v>32</v>
      </c>
      <c r="Z2104">
        <v>239.82645627819801</v>
      </c>
    </row>
    <row r="2105" spans="1:26" x14ac:dyDescent="0.3">
      <c r="A2105" t="s">
        <v>49</v>
      </c>
      <c r="B2105" t="s">
        <v>2161</v>
      </c>
      <c r="C2105">
        <v>79.294823080057</v>
      </c>
      <c r="D2105">
        <v>96</v>
      </c>
      <c r="E2105">
        <v>88</v>
      </c>
      <c r="F2105">
        <v>7021.7201517605399</v>
      </c>
      <c r="G2105" t="s">
        <v>48</v>
      </c>
      <c r="H2105">
        <v>63</v>
      </c>
      <c r="I2105">
        <v>12</v>
      </c>
      <c r="J2105">
        <v>36</v>
      </c>
      <c r="K2105">
        <v>6</v>
      </c>
      <c r="L2105" t="s">
        <v>36</v>
      </c>
      <c r="M2105">
        <v>14.3444479167163</v>
      </c>
      <c r="N2105" t="s">
        <v>37</v>
      </c>
      <c r="O2105" t="s">
        <v>29</v>
      </c>
      <c r="P2105">
        <f>VLOOKUP(O2105, Coordinates!$A$2:$C$6, 2, FALSE)</f>
        <v>29.760400000000001</v>
      </c>
      <c r="Q2105">
        <f>VLOOKUP(O2105, Coordinates!$A$2:$C$6, 3, FALSE)</f>
        <v>-95.369799999999998</v>
      </c>
      <c r="R2105">
        <v>19</v>
      </c>
      <c r="S2105">
        <v>585</v>
      </c>
      <c r="T2105">
        <v>12</v>
      </c>
      <c r="U2105">
        <v>26.242754707459898</v>
      </c>
      <c r="V2105" t="s">
        <v>55</v>
      </c>
      <c r="W2105">
        <v>0.92813596660352904</v>
      </c>
      <c r="X2105" t="s">
        <v>40</v>
      </c>
      <c r="Y2105" t="s">
        <v>32</v>
      </c>
      <c r="Z2105">
        <v>893.78556706288202</v>
      </c>
    </row>
    <row r="2106" spans="1:26" x14ac:dyDescent="0.3">
      <c r="A2106" t="s">
        <v>49</v>
      </c>
      <c r="B2106" t="s">
        <v>2162</v>
      </c>
      <c r="C2106">
        <v>27.806720346318802</v>
      </c>
      <c r="D2106">
        <v>15</v>
      </c>
      <c r="E2106">
        <v>81</v>
      </c>
      <c r="F2106">
        <v>9481.0104544153291</v>
      </c>
      <c r="G2106" t="s">
        <v>54</v>
      </c>
      <c r="H2106">
        <v>58</v>
      </c>
      <c r="I2106">
        <v>24</v>
      </c>
      <c r="J2106">
        <v>94</v>
      </c>
      <c r="K2106">
        <v>2</v>
      </c>
      <c r="L2106" t="s">
        <v>27</v>
      </c>
      <c r="M2106">
        <v>6.0302168177119304</v>
      </c>
      <c r="N2106" t="s">
        <v>28</v>
      </c>
      <c r="O2106" t="s">
        <v>29</v>
      </c>
      <c r="P2106">
        <f>VLOOKUP(O2106, Coordinates!$A$2:$C$6, 2, FALSE)</f>
        <v>29.760400000000001</v>
      </c>
      <c r="Q2106">
        <f>VLOOKUP(O2106, Coordinates!$A$2:$C$6, 3, FALSE)</f>
        <v>-95.369799999999998</v>
      </c>
      <c r="R2106">
        <v>23</v>
      </c>
      <c r="S2106">
        <v>298</v>
      </c>
      <c r="T2106">
        <v>21</v>
      </c>
      <c r="U2106">
        <v>60.004857429464799</v>
      </c>
      <c r="V2106" t="s">
        <v>55</v>
      </c>
      <c r="W2106">
        <v>4.1129559713934301</v>
      </c>
      <c r="X2106" t="s">
        <v>31</v>
      </c>
      <c r="Y2106" t="s">
        <v>41</v>
      </c>
      <c r="Z2106">
        <v>740.13889329999995</v>
      </c>
    </row>
    <row r="2107" spans="1:26" x14ac:dyDescent="0.3">
      <c r="A2107" t="s">
        <v>33</v>
      </c>
      <c r="B2107" t="s">
        <v>2163</v>
      </c>
      <c r="C2107">
        <v>18.709374068552201</v>
      </c>
      <c r="D2107">
        <v>36</v>
      </c>
      <c r="E2107">
        <v>677</v>
      </c>
      <c r="F2107">
        <v>8407.7877610619198</v>
      </c>
      <c r="G2107" t="s">
        <v>54</v>
      </c>
      <c r="H2107">
        <v>66</v>
      </c>
      <c r="I2107">
        <v>6</v>
      </c>
      <c r="J2107">
        <v>80</v>
      </c>
      <c r="K2107">
        <v>1</v>
      </c>
      <c r="L2107" t="s">
        <v>27</v>
      </c>
      <c r="M2107">
        <v>12.5897669439216</v>
      </c>
      <c r="N2107" t="s">
        <v>57</v>
      </c>
      <c r="O2107" t="s">
        <v>38</v>
      </c>
      <c r="P2107">
        <f>VLOOKUP(O2107, Coordinates!$A$2:$C$6, 2, FALSE)</f>
        <v>25.761700000000001</v>
      </c>
      <c r="Q2107">
        <f>VLOOKUP(O2107, Coordinates!$A$2:$C$6, 3, FALSE)</f>
        <v>-80.191800000000001</v>
      </c>
      <c r="R2107">
        <v>19</v>
      </c>
      <c r="S2107">
        <v>835</v>
      </c>
      <c r="T2107">
        <v>22</v>
      </c>
      <c r="U2107">
        <v>31.888458493625102</v>
      </c>
      <c r="V2107" t="s">
        <v>55</v>
      </c>
      <c r="W2107">
        <v>3.9151762508739498</v>
      </c>
      <c r="X2107" t="s">
        <v>52</v>
      </c>
      <c r="Y2107" t="s">
        <v>32</v>
      </c>
      <c r="Z2107">
        <v>402.73189986074198</v>
      </c>
    </row>
    <row r="2108" spans="1:26" x14ac:dyDescent="0.3">
      <c r="A2108" t="s">
        <v>42</v>
      </c>
      <c r="B2108" t="s">
        <v>2164</v>
      </c>
      <c r="C2108">
        <v>15.991625227128701</v>
      </c>
      <c r="D2108">
        <v>63</v>
      </c>
      <c r="E2108">
        <v>521</v>
      </c>
      <c r="F2108">
        <v>1377.75453619155</v>
      </c>
      <c r="G2108" t="s">
        <v>48</v>
      </c>
      <c r="H2108">
        <v>90</v>
      </c>
      <c r="I2108">
        <v>10</v>
      </c>
      <c r="J2108">
        <v>98</v>
      </c>
      <c r="K2108">
        <v>10</v>
      </c>
      <c r="L2108" t="s">
        <v>44</v>
      </c>
      <c r="M2108">
        <v>11.336725501308701</v>
      </c>
      <c r="N2108" t="s">
        <v>51</v>
      </c>
      <c r="O2108" t="s">
        <v>65</v>
      </c>
      <c r="P2108">
        <f>VLOOKUP(O2108, Coordinates!$A$2:$C$6, 2, FALSE)</f>
        <v>41.878100000000003</v>
      </c>
      <c r="Q2108">
        <f>VLOOKUP(O2108, Coordinates!$A$2:$C$6, 3, FALSE)</f>
        <v>-87.629800000000003</v>
      </c>
      <c r="R2108">
        <v>12</v>
      </c>
      <c r="S2108">
        <v>112</v>
      </c>
      <c r="T2108">
        <v>4</v>
      </c>
      <c r="U2108">
        <v>76.373015191073307</v>
      </c>
      <c r="V2108" t="s">
        <v>30</v>
      </c>
      <c r="W2108">
        <v>4.86177907367163</v>
      </c>
      <c r="X2108" t="s">
        <v>46</v>
      </c>
      <c r="Y2108" t="s">
        <v>41</v>
      </c>
      <c r="Z2108">
        <v>931.14879069999995</v>
      </c>
    </row>
    <row r="2109" spans="1:26" x14ac:dyDescent="0.3">
      <c r="A2109" t="s">
        <v>33</v>
      </c>
      <c r="B2109" t="s">
        <v>2165</v>
      </c>
      <c r="C2109">
        <v>7.5887511353274304</v>
      </c>
      <c r="D2109">
        <v>69</v>
      </c>
      <c r="E2109">
        <v>489</v>
      </c>
      <c r="F2109">
        <v>5239.7456563406104</v>
      </c>
      <c r="G2109" t="s">
        <v>48</v>
      </c>
      <c r="H2109">
        <v>49</v>
      </c>
      <c r="I2109">
        <v>11</v>
      </c>
      <c r="J2109">
        <v>27</v>
      </c>
      <c r="K2109">
        <v>9</v>
      </c>
      <c r="L2109" t="s">
        <v>27</v>
      </c>
      <c r="M2109">
        <v>13.4626449841865</v>
      </c>
      <c r="N2109" t="s">
        <v>57</v>
      </c>
      <c r="O2109" t="s">
        <v>38</v>
      </c>
      <c r="P2109">
        <f>VLOOKUP(O2109, Coordinates!$A$2:$C$6, 2, FALSE)</f>
        <v>25.761700000000001</v>
      </c>
      <c r="Q2109">
        <f>VLOOKUP(O2109, Coordinates!$A$2:$C$6, 3, FALSE)</f>
        <v>-80.191800000000001</v>
      </c>
      <c r="R2109">
        <v>21</v>
      </c>
      <c r="S2109">
        <v>105</v>
      </c>
      <c r="T2109">
        <v>28</v>
      </c>
      <c r="U2109">
        <v>89.367927610376597</v>
      </c>
      <c r="V2109" t="s">
        <v>30</v>
      </c>
      <c r="W2109">
        <v>0.46790959553768402</v>
      </c>
      <c r="X2109" t="s">
        <v>31</v>
      </c>
      <c r="Y2109" t="s">
        <v>41</v>
      </c>
      <c r="Z2109">
        <v>958.19113070000003</v>
      </c>
    </row>
    <row r="2110" spans="1:26" x14ac:dyDescent="0.3">
      <c r="A2110" t="s">
        <v>24</v>
      </c>
      <c r="B2110" t="s">
        <v>2166</v>
      </c>
      <c r="C2110">
        <v>34.332477948911503</v>
      </c>
      <c r="D2110">
        <v>86</v>
      </c>
      <c r="E2110">
        <v>594</v>
      </c>
      <c r="F2110">
        <v>18354.142711488101</v>
      </c>
      <c r="G2110" t="s">
        <v>48</v>
      </c>
      <c r="H2110">
        <v>22</v>
      </c>
      <c r="I2110">
        <v>16</v>
      </c>
      <c r="J2110">
        <v>42</v>
      </c>
      <c r="K2110">
        <v>9</v>
      </c>
      <c r="L2110" t="s">
        <v>44</v>
      </c>
      <c r="M2110">
        <v>14.395079220923099</v>
      </c>
      <c r="N2110" t="s">
        <v>51</v>
      </c>
      <c r="O2110" t="s">
        <v>58</v>
      </c>
      <c r="P2110">
        <f>VLOOKUP(O2110, Coordinates!$A$2:$C$6, 2, FALSE)</f>
        <v>34.052199999999999</v>
      </c>
      <c r="Q2110">
        <f>VLOOKUP(O2110, Coordinates!$A$2:$C$6, 3, FALSE)</f>
        <v>-118.2437</v>
      </c>
      <c r="R2110">
        <v>7</v>
      </c>
      <c r="S2110">
        <v>510</v>
      </c>
      <c r="T2110">
        <v>23</v>
      </c>
      <c r="U2110">
        <v>78.824529773583095</v>
      </c>
      <c r="V2110" t="s">
        <v>30</v>
      </c>
      <c r="W2110">
        <v>2.9561558115292401</v>
      </c>
      <c r="X2110" t="s">
        <v>46</v>
      </c>
      <c r="Y2110" t="s">
        <v>41</v>
      </c>
      <c r="Z2110">
        <v>919.45007929437395</v>
      </c>
    </row>
    <row r="2111" spans="1:26" x14ac:dyDescent="0.3">
      <c r="A2111" t="s">
        <v>42</v>
      </c>
      <c r="B2111" t="s">
        <v>2167</v>
      </c>
      <c r="C2111">
        <v>25.734687905904298</v>
      </c>
      <c r="D2111">
        <v>80</v>
      </c>
      <c r="E2111">
        <v>607</v>
      </c>
      <c r="F2111">
        <v>3791.3249898172098</v>
      </c>
      <c r="G2111" t="s">
        <v>35</v>
      </c>
      <c r="H2111">
        <v>39</v>
      </c>
      <c r="I2111">
        <v>27</v>
      </c>
      <c r="J2111">
        <v>42</v>
      </c>
      <c r="K2111">
        <v>2</v>
      </c>
      <c r="L2111" t="s">
        <v>36</v>
      </c>
      <c r="M2111">
        <v>1.10747125307549</v>
      </c>
      <c r="N2111" t="s">
        <v>51</v>
      </c>
      <c r="O2111" t="s">
        <v>65</v>
      </c>
      <c r="P2111">
        <f>VLOOKUP(O2111, Coordinates!$A$2:$C$6, 2, FALSE)</f>
        <v>41.878100000000003</v>
      </c>
      <c r="Q2111">
        <f>VLOOKUP(O2111, Coordinates!$A$2:$C$6, 3, FALSE)</f>
        <v>-87.629800000000003</v>
      </c>
      <c r="R2111">
        <v>18</v>
      </c>
      <c r="S2111">
        <v>220</v>
      </c>
      <c r="T2111">
        <v>29</v>
      </c>
      <c r="U2111">
        <v>24.460985647161799</v>
      </c>
      <c r="V2111" t="s">
        <v>30</v>
      </c>
      <c r="W2111">
        <v>2.4583449197174101</v>
      </c>
      <c r="X2111" t="s">
        <v>40</v>
      </c>
      <c r="Y2111" t="s">
        <v>32</v>
      </c>
      <c r="Z2111">
        <v>559.40280832139001</v>
      </c>
    </row>
    <row r="2112" spans="1:26" x14ac:dyDescent="0.3">
      <c r="A2112" t="s">
        <v>49</v>
      </c>
      <c r="B2112" t="s">
        <v>2168</v>
      </c>
      <c r="C2112">
        <v>98.996017749064904</v>
      </c>
      <c r="D2112">
        <v>41</v>
      </c>
      <c r="E2112">
        <v>603</v>
      </c>
      <c r="F2112">
        <v>5062.0305263868704</v>
      </c>
      <c r="G2112" t="s">
        <v>26</v>
      </c>
      <c r="H2112">
        <v>96</v>
      </c>
      <c r="I2112">
        <v>16</v>
      </c>
      <c r="J2112">
        <v>34</v>
      </c>
      <c r="K2112">
        <v>1</v>
      </c>
      <c r="L2112" t="s">
        <v>36</v>
      </c>
      <c r="M2112">
        <v>2.2361684701452198</v>
      </c>
      <c r="N2112" t="s">
        <v>57</v>
      </c>
      <c r="O2112" t="s">
        <v>58</v>
      </c>
      <c r="P2112">
        <f>VLOOKUP(O2112, Coordinates!$A$2:$C$6, 2, FALSE)</f>
        <v>34.052199999999999</v>
      </c>
      <c r="Q2112">
        <f>VLOOKUP(O2112, Coordinates!$A$2:$C$6, 3, FALSE)</f>
        <v>-118.2437</v>
      </c>
      <c r="R2112">
        <v>26</v>
      </c>
      <c r="S2112">
        <v>656</v>
      </c>
      <c r="T2112">
        <v>7</v>
      </c>
      <c r="U2112">
        <v>88.782146715563002</v>
      </c>
      <c r="V2112" t="s">
        <v>30</v>
      </c>
      <c r="W2112">
        <v>3.3543605774008198</v>
      </c>
      <c r="X2112" t="s">
        <v>31</v>
      </c>
      <c r="Y2112" t="s">
        <v>60</v>
      </c>
      <c r="Z2112">
        <v>422.276179248581</v>
      </c>
    </row>
    <row r="2113" spans="1:26" x14ac:dyDescent="0.3">
      <c r="A2113" t="s">
        <v>82</v>
      </c>
      <c r="B2113" t="s">
        <v>2169</v>
      </c>
      <c r="C2113">
        <v>59.571491807859502</v>
      </c>
      <c r="D2113">
        <v>74</v>
      </c>
      <c r="E2113">
        <v>786</v>
      </c>
      <c r="F2113">
        <v>4457.7476643337905</v>
      </c>
      <c r="G2113" t="s">
        <v>54</v>
      </c>
      <c r="H2113">
        <v>77</v>
      </c>
      <c r="I2113">
        <v>24</v>
      </c>
      <c r="J2113">
        <v>23</v>
      </c>
      <c r="K2113">
        <v>2</v>
      </c>
      <c r="L2113" t="s">
        <v>27</v>
      </c>
      <c r="M2113">
        <v>10.4407434971851</v>
      </c>
      <c r="N2113" t="s">
        <v>51</v>
      </c>
      <c r="O2113" t="s">
        <v>65</v>
      </c>
      <c r="P2113">
        <f>VLOOKUP(O2113, Coordinates!$A$2:$C$6, 2, FALSE)</f>
        <v>41.878100000000003</v>
      </c>
      <c r="Q2113">
        <f>VLOOKUP(O2113, Coordinates!$A$2:$C$6, 3, FALSE)</f>
        <v>-87.629800000000003</v>
      </c>
      <c r="R2113">
        <v>20</v>
      </c>
      <c r="S2113">
        <v>461</v>
      </c>
      <c r="T2113">
        <v>12</v>
      </c>
      <c r="U2113">
        <v>42.514472357965502</v>
      </c>
      <c r="V2113" t="s">
        <v>55</v>
      </c>
      <c r="W2113">
        <v>4.9008992406161402</v>
      </c>
      <c r="X2113" t="s">
        <v>46</v>
      </c>
      <c r="Y2113" t="s">
        <v>60</v>
      </c>
      <c r="Z2113">
        <v>304.80024072986998</v>
      </c>
    </row>
    <row r="2114" spans="1:26" x14ac:dyDescent="0.3">
      <c r="A2114" t="s">
        <v>72</v>
      </c>
      <c r="B2114" t="s">
        <v>2170</v>
      </c>
      <c r="C2114">
        <v>35.134887485904798</v>
      </c>
      <c r="D2114">
        <v>24</v>
      </c>
      <c r="E2114">
        <v>108</v>
      </c>
      <c r="F2114">
        <v>3415.11106362994</v>
      </c>
      <c r="G2114" t="s">
        <v>26</v>
      </c>
      <c r="H2114">
        <v>86</v>
      </c>
      <c r="I2114">
        <v>18</v>
      </c>
      <c r="J2114">
        <v>47</v>
      </c>
      <c r="K2114">
        <v>3</v>
      </c>
      <c r="L2114" t="s">
        <v>44</v>
      </c>
      <c r="M2114">
        <v>6.4627980357524804</v>
      </c>
      <c r="N2114" t="s">
        <v>57</v>
      </c>
      <c r="O2114" t="s">
        <v>67</v>
      </c>
      <c r="P2114">
        <f>VLOOKUP(O2114, Coordinates!$A$2:$C$6, 2, FALSE)</f>
        <v>40.712800000000001</v>
      </c>
      <c r="Q2114">
        <f>VLOOKUP(O2114, Coordinates!$A$2:$C$6, 3, FALSE)</f>
        <v>-74.006</v>
      </c>
      <c r="R2114">
        <v>18</v>
      </c>
      <c r="S2114">
        <v>637</v>
      </c>
      <c r="T2114">
        <v>23</v>
      </c>
      <c r="U2114">
        <v>89.384161886462493</v>
      </c>
      <c r="V2114" t="s">
        <v>30</v>
      </c>
      <c r="W2114">
        <v>2.66136038557877</v>
      </c>
      <c r="X2114" t="s">
        <v>52</v>
      </c>
      <c r="Y2114" t="s">
        <v>60</v>
      </c>
      <c r="Z2114">
        <v>802.00889851867703</v>
      </c>
    </row>
    <row r="2115" spans="1:26" x14ac:dyDescent="0.3">
      <c r="A2115" t="s">
        <v>24</v>
      </c>
      <c r="B2115" t="s">
        <v>2171</v>
      </c>
      <c r="C2115">
        <v>22.765832367974198</v>
      </c>
      <c r="D2115">
        <v>82</v>
      </c>
      <c r="E2115">
        <v>456</v>
      </c>
      <c r="F2115">
        <v>9343.0976038166391</v>
      </c>
      <c r="G2115" t="s">
        <v>54</v>
      </c>
      <c r="H2115">
        <v>94</v>
      </c>
      <c r="I2115">
        <v>27</v>
      </c>
      <c r="J2115">
        <v>47</v>
      </c>
      <c r="K2115">
        <v>6</v>
      </c>
      <c r="L2115" t="s">
        <v>27</v>
      </c>
      <c r="M2115">
        <v>12.467751424398401</v>
      </c>
      <c r="N2115" t="s">
        <v>57</v>
      </c>
      <c r="O2115" t="s">
        <v>29</v>
      </c>
      <c r="P2115">
        <f>VLOOKUP(O2115, Coordinates!$A$2:$C$6, 2, FALSE)</f>
        <v>29.760400000000001</v>
      </c>
      <c r="Q2115">
        <f>VLOOKUP(O2115, Coordinates!$A$2:$C$6, 3, FALSE)</f>
        <v>-95.369799999999998</v>
      </c>
      <c r="R2115">
        <v>23</v>
      </c>
      <c r="S2115">
        <v>103</v>
      </c>
      <c r="T2115">
        <v>11</v>
      </c>
      <c r="U2115">
        <v>78.1748611829385</v>
      </c>
      <c r="V2115" t="s">
        <v>30</v>
      </c>
      <c r="W2115">
        <v>3.4286931747321399</v>
      </c>
      <c r="X2115" t="s">
        <v>46</v>
      </c>
      <c r="Y2115" t="s">
        <v>32</v>
      </c>
      <c r="Z2115">
        <v>684.15640476965802</v>
      </c>
    </row>
    <row r="2116" spans="1:26" x14ac:dyDescent="0.3">
      <c r="A2116" t="s">
        <v>24</v>
      </c>
      <c r="B2116" t="s">
        <v>2172</v>
      </c>
      <c r="C2116">
        <v>31.562927593566702</v>
      </c>
      <c r="D2116">
        <v>49</v>
      </c>
      <c r="E2116">
        <v>491</v>
      </c>
      <c r="F2116">
        <v>13947.6577035971</v>
      </c>
      <c r="G2116" t="s">
        <v>54</v>
      </c>
      <c r="H2116">
        <v>76</v>
      </c>
      <c r="I2116">
        <v>22</v>
      </c>
      <c r="J2116">
        <v>13</v>
      </c>
      <c r="K2116">
        <v>9</v>
      </c>
      <c r="L2116" t="s">
        <v>27</v>
      </c>
      <c r="M2116">
        <v>1.16771761532499</v>
      </c>
      <c r="N2116" t="s">
        <v>45</v>
      </c>
      <c r="O2116" t="s">
        <v>38</v>
      </c>
      <c r="P2116">
        <f>VLOOKUP(O2116, Coordinates!$A$2:$C$6, 2, FALSE)</f>
        <v>25.761700000000001</v>
      </c>
      <c r="Q2116">
        <f>VLOOKUP(O2116, Coordinates!$A$2:$C$6, 3, FALSE)</f>
        <v>-80.191800000000001</v>
      </c>
      <c r="R2116">
        <v>27</v>
      </c>
      <c r="S2116">
        <v>904</v>
      </c>
      <c r="T2116">
        <v>7</v>
      </c>
      <c r="U2116">
        <v>80.612750289371405</v>
      </c>
      <c r="V2116" t="s">
        <v>39</v>
      </c>
      <c r="W2116">
        <v>3.5156409955497399</v>
      </c>
      <c r="X2116" t="s">
        <v>40</v>
      </c>
      <c r="Y2116" t="s">
        <v>60</v>
      </c>
      <c r="Z2116">
        <v>430.201348615867</v>
      </c>
    </row>
    <row r="2117" spans="1:26" x14ac:dyDescent="0.3">
      <c r="A2117" t="s">
        <v>49</v>
      </c>
      <c r="B2117" t="s">
        <v>2173</v>
      </c>
      <c r="C2117">
        <v>75.792052060113306</v>
      </c>
      <c r="D2117">
        <v>18</v>
      </c>
      <c r="E2117">
        <v>343</v>
      </c>
      <c r="F2117">
        <v>9300.0778285485594</v>
      </c>
      <c r="G2117" t="s">
        <v>54</v>
      </c>
      <c r="H2117">
        <v>75</v>
      </c>
      <c r="I2117">
        <v>23</v>
      </c>
      <c r="J2117">
        <v>71</v>
      </c>
      <c r="K2117">
        <v>8</v>
      </c>
      <c r="L2117" t="s">
        <v>36</v>
      </c>
      <c r="M2117">
        <v>12.29768364195</v>
      </c>
      <c r="N2117" t="s">
        <v>28</v>
      </c>
      <c r="O2117" t="s">
        <v>58</v>
      </c>
      <c r="P2117">
        <f>VLOOKUP(O2117, Coordinates!$A$2:$C$6, 2, FALSE)</f>
        <v>34.052199999999999</v>
      </c>
      <c r="Q2117">
        <f>VLOOKUP(O2117, Coordinates!$A$2:$C$6, 3, FALSE)</f>
        <v>-118.2437</v>
      </c>
      <c r="R2117">
        <v>9</v>
      </c>
      <c r="S2117">
        <v>888</v>
      </c>
      <c r="T2117">
        <v>29</v>
      </c>
      <c r="U2117">
        <v>30.817006577019701</v>
      </c>
      <c r="V2117" t="s">
        <v>30</v>
      </c>
      <c r="W2117">
        <v>1.4948524383584101</v>
      </c>
      <c r="X2117" t="s">
        <v>52</v>
      </c>
      <c r="Y2117" t="s">
        <v>60</v>
      </c>
      <c r="Z2117">
        <v>112.94198486016001</v>
      </c>
    </row>
    <row r="2118" spans="1:26" x14ac:dyDescent="0.3">
      <c r="A2118" t="s">
        <v>49</v>
      </c>
      <c r="B2118" t="s">
        <v>2174</v>
      </c>
      <c r="C2118">
        <v>12.261786798747501</v>
      </c>
      <c r="D2118">
        <v>7</v>
      </c>
      <c r="E2118">
        <v>691</v>
      </c>
      <c r="F2118">
        <v>5322.1304212392397</v>
      </c>
      <c r="G2118" t="s">
        <v>48</v>
      </c>
      <c r="H2118">
        <v>98</v>
      </c>
      <c r="I2118">
        <v>24</v>
      </c>
      <c r="J2118">
        <v>91</v>
      </c>
      <c r="K2118">
        <v>10</v>
      </c>
      <c r="L2118" t="s">
        <v>27</v>
      </c>
      <c r="M2118">
        <v>2.8933879762511299</v>
      </c>
      <c r="N2118" t="s">
        <v>51</v>
      </c>
      <c r="O2118" t="s">
        <v>58</v>
      </c>
      <c r="P2118">
        <f>VLOOKUP(O2118, Coordinates!$A$2:$C$6, 2, FALSE)</f>
        <v>34.052199999999999</v>
      </c>
      <c r="Q2118">
        <f>VLOOKUP(O2118, Coordinates!$A$2:$C$6, 3, FALSE)</f>
        <v>-118.2437</v>
      </c>
      <c r="R2118">
        <v>27</v>
      </c>
      <c r="S2118">
        <v>383</v>
      </c>
      <c r="T2118">
        <v>26</v>
      </c>
      <c r="U2118">
        <v>69.933469657076202</v>
      </c>
      <c r="V2118" t="s">
        <v>30</v>
      </c>
      <c r="W2118">
        <v>1.67648282841833</v>
      </c>
      <c r="X2118" t="s">
        <v>46</v>
      </c>
      <c r="Y2118" t="s">
        <v>32</v>
      </c>
      <c r="Z2118">
        <v>787.30605580343195</v>
      </c>
    </row>
    <row r="2119" spans="1:26" x14ac:dyDescent="0.3">
      <c r="A2119" t="s">
        <v>61</v>
      </c>
      <c r="B2119" t="s">
        <v>2175</v>
      </c>
      <c r="C2119">
        <v>90.108997213302601</v>
      </c>
      <c r="D2119">
        <v>4</v>
      </c>
      <c r="E2119">
        <v>570</v>
      </c>
      <c r="F2119">
        <v>6613.6802090000001</v>
      </c>
      <c r="G2119" t="s">
        <v>54</v>
      </c>
      <c r="H2119">
        <v>17</v>
      </c>
      <c r="I2119">
        <v>9</v>
      </c>
      <c r="J2119">
        <v>19</v>
      </c>
      <c r="K2119">
        <v>9</v>
      </c>
      <c r="L2119" t="s">
        <v>36</v>
      </c>
      <c r="M2119">
        <v>5.0634866154767897</v>
      </c>
      <c r="N2119" t="s">
        <v>57</v>
      </c>
      <c r="O2119" t="s">
        <v>67</v>
      </c>
      <c r="P2119">
        <f>VLOOKUP(O2119, Coordinates!$A$2:$C$6, 2, FALSE)</f>
        <v>40.712800000000001</v>
      </c>
      <c r="Q2119">
        <f>VLOOKUP(O2119, Coordinates!$A$2:$C$6, 3, FALSE)</f>
        <v>-74.006</v>
      </c>
      <c r="R2119">
        <v>6</v>
      </c>
      <c r="S2119">
        <v>821</v>
      </c>
      <c r="T2119">
        <v>27</v>
      </c>
      <c r="U2119">
        <v>54.898877123207797</v>
      </c>
      <c r="V2119" t="s">
        <v>30</v>
      </c>
      <c r="W2119">
        <v>0.193039467984706</v>
      </c>
      <c r="X2119" t="s">
        <v>31</v>
      </c>
      <c r="Y2119" t="s">
        <v>32</v>
      </c>
      <c r="Z2119">
        <v>529.63428651085303</v>
      </c>
    </row>
    <row r="2120" spans="1:26" x14ac:dyDescent="0.3">
      <c r="A2120" t="s">
        <v>24</v>
      </c>
      <c r="B2120" t="s">
        <v>2176</v>
      </c>
      <c r="C2120">
        <v>36.1551860663076</v>
      </c>
      <c r="D2120">
        <v>90</v>
      </c>
      <c r="E2120">
        <v>904</v>
      </c>
      <c r="F2120">
        <v>29415.859383547799</v>
      </c>
      <c r="G2120" t="s">
        <v>26</v>
      </c>
      <c r="H2120">
        <v>20</v>
      </c>
      <c r="I2120">
        <v>21</v>
      </c>
      <c r="J2120">
        <v>44</v>
      </c>
      <c r="K2120">
        <v>8</v>
      </c>
      <c r="L2120" t="s">
        <v>44</v>
      </c>
      <c r="M2120">
        <v>14.5670948036505</v>
      </c>
      <c r="N2120" t="s">
        <v>51</v>
      </c>
      <c r="O2120" t="s">
        <v>38</v>
      </c>
      <c r="P2120">
        <f>VLOOKUP(O2120, Coordinates!$A$2:$C$6, 2, FALSE)</f>
        <v>25.761700000000001</v>
      </c>
      <c r="Q2120">
        <f>VLOOKUP(O2120, Coordinates!$A$2:$C$6, 3, FALSE)</f>
        <v>-80.191800000000001</v>
      </c>
      <c r="R2120">
        <v>1</v>
      </c>
      <c r="S2120">
        <v>899</v>
      </c>
      <c r="T2120">
        <v>10</v>
      </c>
      <c r="U2120">
        <v>93.392230722809401</v>
      </c>
      <c r="V2120" t="s">
        <v>55</v>
      </c>
      <c r="W2120">
        <v>1.4237032270629699</v>
      </c>
      <c r="X2120" t="s">
        <v>46</v>
      </c>
      <c r="Y2120" t="s">
        <v>41</v>
      </c>
      <c r="Z2120">
        <v>993.33545332515598</v>
      </c>
    </row>
    <row r="2121" spans="1:26" x14ac:dyDescent="0.3">
      <c r="A2121" t="s">
        <v>61</v>
      </c>
      <c r="B2121" t="s">
        <v>2177</v>
      </c>
      <c r="C2121">
        <v>20.038870510033298</v>
      </c>
      <c r="D2121">
        <v>69</v>
      </c>
      <c r="E2121">
        <v>482</v>
      </c>
      <c r="F2121">
        <v>4244.1672623432996</v>
      </c>
      <c r="G2121" t="s">
        <v>54</v>
      </c>
      <c r="H2121">
        <v>0</v>
      </c>
      <c r="I2121">
        <v>27</v>
      </c>
      <c r="J2121">
        <v>32</v>
      </c>
      <c r="K2121">
        <v>7</v>
      </c>
      <c r="L2121" t="s">
        <v>27</v>
      </c>
      <c r="M2121">
        <v>1.7223735896743499</v>
      </c>
      <c r="N2121" t="s">
        <v>57</v>
      </c>
      <c r="O2121" t="s">
        <v>65</v>
      </c>
      <c r="P2121">
        <f>VLOOKUP(O2121, Coordinates!$A$2:$C$6, 2, FALSE)</f>
        <v>41.878100000000003</v>
      </c>
      <c r="Q2121">
        <f>VLOOKUP(O2121, Coordinates!$A$2:$C$6, 3, FALSE)</f>
        <v>-87.629800000000003</v>
      </c>
      <c r="R2121">
        <v>10</v>
      </c>
      <c r="S2121">
        <v>458</v>
      </c>
      <c r="T2121">
        <v>9</v>
      </c>
      <c r="U2121">
        <v>38.145530450000003</v>
      </c>
      <c r="V2121" t="s">
        <v>39</v>
      </c>
      <c r="W2121">
        <v>0.86473196903601002</v>
      </c>
      <c r="X2121" t="s">
        <v>31</v>
      </c>
      <c r="Y2121" t="s">
        <v>32</v>
      </c>
      <c r="Z2121">
        <v>212.05214054933501</v>
      </c>
    </row>
    <row r="2122" spans="1:26" x14ac:dyDescent="0.3">
      <c r="A2122" t="s">
        <v>61</v>
      </c>
      <c r="B2122" t="s">
        <v>2178</v>
      </c>
      <c r="C2122">
        <v>9.9196594296175995</v>
      </c>
      <c r="D2122">
        <v>60</v>
      </c>
      <c r="E2122">
        <v>727</v>
      </c>
      <c r="F2122">
        <v>4873.7971727917002</v>
      </c>
      <c r="G2122" t="s">
        <v>26</v>
      </c>
      <c r="H2122">
        <v>37</v>
      </c>
      <c r="I2122">
        <v>19</v>
      </c>
      <c r="J2122">
        <v>98</v>
      </c>
      <c r="K2122">
        <v>6</v>
      </c>
      <c r="L2122" t="s">
        <v>36</v>
      </c>
      <c r="M2122">
        <v>5.8865685743374296</v>
      </c>
      <c r="N2122" t="s">
        <v>57</v>
      </c>
      <c r="O2122" t="s">
        <v>67</v>
      </c>
      <c r="P2122">
        <f>VLOOKUP(O2122, Coordinates!$A$2:$C$6, 2, FALSE)</f>
        <v>40.712800000000001</v>
      </c>
      <c r="Q2122">
        <f>VLOOKUP(O2122, Coordinates!$A$2:$C$6, 3, FALSE)</f>
        <v>-74.006</v>
      </c>
      <c r="R2122">
        <v>8</v>
      </c>
      <c r="S2122">
        <v>792</v>
      </c>
      <c r="T2122">
        <v>2</v>
      </c>
      <c r="U2122">
        <v>55.503551391313302</v>
      </c>
      <c r="V2122" t="s">
        <v>39</v>
      </c>
      <c r="W2122">
        <v>2.28713989917778</v>
      </c>
      <c r="X2122" t="s">
        <v>31</v>
      </c>
      <c r="Y2122" t="s">
        <v>60</v>
      </c>
      <c r="Z2122">
        <v>665.54008550000003</v>
      </c>
    </row>
    <row r="2123" spans="1:26" x14ac:dyDescent="0.3">
      <c r="A2123" t="s">
        <v>72</v>
      </c>
      <c r="B2123" t="s">
        <v>2179</v>
      </c>
      <c r="C2123">
        <v>21.0069780903953</v>
      </c>
      <c r="D2123">
        <v>55</v>
      </c>
      <c r="E2123">
        <v>611</v>
      </c>
      <c r="F2123">
        <v>11551.73725</v>
      </c>
      <c r="G2123" t="s">
        <v>54</v>
      </c>
      <c r="H2123">
        <v>40</v>
      </c>
      <c r="I2123">
        <v>2</v>
      </c>
      <c r="J2123">
        <v>74</v>
      </c>
      <c r="K2123">
        <v>8</v>
      </c>
      <c r="L2123" t="s">
        <v>27</v>
      </c>
      <c r="M2123">
        <v>2.1834028590090901</v>
      </c>
      <c r="N2123" t="s">
        <v>57</v>
      </c>
      <c r="O2123" t="s">
        <v>67</v>
      </c>
      <c r="P2123">
        <f>VLOOKUP(O2123, Coordinates!$A$2:$C$6, 2, FALSE)</f>
        <v>40.712800000000001</v>
      </c>
      <c r="Q2123">
        <f>VLOOKUP(O2123, Coordinates!$A$2:$C$6, 3, FALSE)</f>
        <v>-74.006</v>
      </c>
      <c r="R2123">
        <v>29</v>
      </c>
      <c r="S2123">
        <v>864</v>
      </c>
      <c r="T2123">
        <v>5</v>
      </c>
      <c r="U2123">
        <v>85.167291520000006</v>
      </c>
      <c r="V2123" t="s">
        <v>30</v>
      </c>
      <c r="W2123">
        <v>2.30412381949365</v>
      </c>
      <c r="X2123" t="s">
        <v>46</v>
      </c>
      <c r="Y2123" t="s">
        <v>32</v>
      </c>
      <c r="Z2123">
        <v>591.69911902121305</v>
      </c>
    </row>
    <row r="2124" spans="1:26" x14ac:dyDescent="0.3">
      <c r="A2124" t="s">
        <v>61</v>
      </c>
      <c r="B2124" t="s">
        <v>2180</v>
      </c>
      <c r="C2124">
        <v>19.8234020772978</v>
      </c>
      <c r="D2124">
        <v>16</v>
      </c>
      <c r="E2124">
        <v>227</v>
      </c>
      <c r="F2124">
        <v>4372.5792028218302</v>
      </c>
      <c r="G2124" t="s">
        <v>54</v>
      </c>
      <c r="H2124">
        <v>41</v>
      </c>
      <c r="I2124">
        <v>24</v>
      </c>
      <c r="J2124">
        <v>91</v>
      </c>
      <c r="K2124">
        <v>6</v>
      </c>
      <c r="L2124" t="s">
        <v>44</v>
      </c>
      <c r="M2124">
        <v>12.950461684187101</v>
      </c>
      <c r="N2124" t="s">
        <v>28</v>
      </c>
      <c r="O2124" t="s">
        <v>58</v>
      </c>
      <c r="P2124">
        <f>VLOOKUP(O2124, Coordinates!$A$2:$C$6, 2, FALSE)</f>
        <v>34.052199999999999</v>
      </c>
      <c r="Q2124">
        <f>VLOOKUP(O2124, Coordinates!$A$2:$C$6, 3, FALSE)</f>
        <v>-118.2437</v>
      </c>
      <c r="R2124">
        <v>23</v>
      </c>
      <c r="S2124">
        <v>381</v>
      </c>
      <c r="T2124">
        <v>10</v>
      </c>
      <c r="U2124">
        <v>94.102653722196806</v>
      </c>
      <c r="V2124" t="s">
        <v>55</v>
      </c>
      <c r="W2124">
        <v>3.8261491561325101</v>
      </c>
      <c r="X2124" t="s">
        <v>40</v>
      </c>
      <c r="Y2124" t="s">
        <v>32</v>
      </c>
      <c r="Z2124">
        <v>316.43044171548303</v>
      </c>
    </row>
    <row r="2125" spans="1:26" x14ac:dyDescent="0.3">
      <c r="A2125" t="s">
        <v>42</v>
      </c>
      <c r="B2125" t="s">
        <v>2181</v>
      </c>
      <c r="C2125">
        <v>84.2861404965508</v>
      </c>
      <c r="D2125">
        <v>99</v>
      </c>
      <c r="E2125">
        <v>13</v>
      </c>
      <c r="F2125">
        <v>9329.7638948220501</v>
      </c>
      <c r="G2125" t="s">
        <v>48</v>
      </c>
      <c r="H2125">
        <v>8</v>
      </c>
      <c r="I2125">
        <v>1</v>
      </c>
      <c r="J2125">
        <v>88</v>
      </c>
      <c r="K2125">
        <v>2</v>
      </c>
      <c r="L2125" t="s">
        <v>27</v>
      </c>
      <c r="M2125">
        <v>10.842225715523901</v>
      </c>
      <c r="N2125" t="s">
        <v>51</v>
      </c>
      <c r="O2125" t="s">
        <v>58</v>
      </c>
      <c r="P2125">
        <f>VLOOKUP(O2125, Coordinates!$A$2:$C$6, 2, FALSE)</f>
        <v>34.052199999999999</v>
      </c>
      <c r="Q2125">
        <f>VLOOKUP(O2125, Coordinates!$A$2:$C$6, 3, FALSE)</f>
        <v>-118.2437</v>
      </c>
      <c r="R2125">
        <v>17</v>
      </c>
      <c r="S2125">
        <v>756</v>
      </c>
      <c r="T2125">
        <v>25</v>
      </c>
      <c r="U2125">
        <v>56.974210101199198</v>
      </c>
      <c r="V2125" t="s">
        <v>30</v>
      </c>
      <c r="W2125">
        <v>2.5114582394601399</v>
      </c>
      <c r="X2125" t="s">
        <v>31</v>
      </c>
      <c r="Y2125" t="s">
        <v>60</v>
      </c>
      <c r="Z2125">
        <v>225.89135729865399</v>
      </c>
    </row>
    <row r="2126" spans="1:26" x14ac:dyDescent="0.3">
      <c r="A2126" t="s">
        <v>33</v>
      </c>
      <c r="B2126" t="s">
        <v>2182</v>
      </c>
      <c r="C2126">
        <v>39.041792379999997</v>
      </c>
      <c r="D2126">
        <v>90</v>
      </c>
      <c r="E2126">
        <v>57</v>
      </c>
      <c r="F2126">
        <v>8460.3690210000004</v>
      </c>
      <c r="G2126" t="s">
        <v>26</v>
      </c>
      <c r="H2126">
        <v>22</v>
      </c>
      <c r="I2126">
        <v>26</v>
      </c>
      <c r="J2126">
        <v>34</v>
      </c>
      <c r="K2126">
        <v>9</v>
      </c>
      <c r="L2126" t="s">
        <v>27</v>
      </c>
      <c r="M2126">
        <v>12.2047234294202</v>
      </c>
      <c r="N2126" t="s">
        <v>28</v>
      </c>
      <c r="O2126" t="s">
        <v>38</v>
      </c>
      <c r="P2126">
        <f>VLOOKUP(O2126, Coordinates!$A$2:$C$6, 2, FALSE)</f>
        <v>25.761700000000001</v>
      </c>
      <c r="Q2126">
        <f>VLOOKUP(O2126, Coordinates!$A$2:$C$6, 3, FALSE)</f>
        <v>-80.191800000000001</v>
      </c>
      <c r="R2126">
        <v>3</v>
      </c>
      <c r="S2126">
        <v>727</v>
      </c>
      <c r="T2126">
        <v>28</v>
      </c>
      <c r="U2126">
        <v>25.611624668614802</v>
      </c>
      <c r="V2126" t="s">
        <v>55</v>
      </c>
      <c r="W2126">
        <v>2.3154079416162001</v>
      </c>
      <c r="X2126" t="s">
        <v>40</v>
      </c>
      <c r="Y2126" t="s">
        <v>60</v>
      </c>
      <c r="Z2126">
        <v>896.26084933586606</v>
      </c>
    </row>
    <row r="2127" spans="1:26" x14ac:dyDescent="0.3">
      <c r="A2127" t="s">
        <v>82</v>
      </c>
      <c r="B2127" t="s">
        <v>2183</v>
      </c>
      <c r="C2127">
        <v>91.724782249974595</v>
      </c>
      <c r="D2127">
        <v>82</v>
      </c>
      <c r="E2127">
        <v>81</v>
      </c>
      <c r="F2127">
        <v>1980.99990876678</v>
      </c>
      <c r="G2127" t="s">
        <v>54</v>
      </c>
      <c r="H2127">
        <v>77</v>
      </c>
      <c r="I2127">
        <v>16</v>
      </c>
      <c r="J2127">
        <v>62</v>
      </c>
      <c r="K2127">
        <v>9</v>
      </c>
      <c r="L2127" t="s">
        <v>36</v>
      </c>
      <c r="M2127">
        <v>8.3819131646676102</v>
      </c>
      <c r="N2127" t="s">
        <v>28</v>
      </c>
      <c r="O2127" t="s">
        <v>38</v>
      </c>
      <c r="P2127">
        <f>VLOOKUP(O2127, Coordinates!$A$2:$C$6, 2, FALSE)</f>
        <v>25.761700000000001</v>
      </c>
      <c r="Q2127">
        <f>VLOOKUP(O2127, Coordinates!$A$2:$C$6, 3, FALSE)</f>
        <v>-80.191800000000001</v>
      </c>
      <c r="R2127">
        <v>3</v>
      </c>
      <c r="S2127">
        <v>448</v>
      </c>
      <c r="T2127">
        <v>29</v>
      </c>
      <c r="U2127">
        <v>34.548909328902603</v>
      </c>
      <c r="V2127" t="s">
        <v>55</v>
      </c>
      <c r="W2127">
        <v>1.1581315585024501</v>
      </c>
      <c r="X2127" t="s">
        <v>31</v>
      </c>
      <c r="Y2127" t="s">
        <v>32</v>
      </c>
      <c r="Z2127">
        <v>221.38021459999999</v>
      </c>
    </row>
    <row r="2128" spans="1:26" x14ac:dyDescent="0.3">
      <c r="A2128" t="s">
        <v>49</v>
      </c>
      <c r="B2128" t="s">
        <v>2184</v>
      </c>
      <c r="C2128">
        <v>58.740376353395497</v>
      </c>
      <c r="D2128">
        <v>29</v>
      </c>
      <c r="E2128">
        <v>722</v>
      </c>
      <c r="F2128">
        <v>1973.1101722938599</v>
      </c>
      <c r="G2128" t="s">
        <v>54</v>
      </c>
      <c r="H2128">
        <v>10</v>
      </c>
      <c r="I2128">
        <v>22</v>
      </c>
      <c r="J2128">
        <v>93</v>
      </c>
      <c r="K2128">
        <v>3</v>
      </c>
      <c r="L2128" t="s">
        <v>44</v>
      </c>
      <c r="M2128">
        <v>6.00808027540059</v>
      </c>
      <c r="N2128" t="s">
        <v>28</v>
      </c>
      <c r="O2128" t="s">
        <v>58</v>
      </c>
      <c r="P2128">
        <f>VLOOKUP(O2128, Coordinates!$A$2:$C$6, 2, FALSE)</f>
        <v>34.052199999999999</v>
      </c>
      <c r="Q2128">
        <f>VLOOKUP(O2128, Coordinates!$A$2:$C$6, 3, FALSE)</f>
        <v>-118.2437</v>
      </c>
      <c r="R2128">
        <v>30</v>
      </c>
      <c r="S2128">
        <v>129</v>
      </c>
      <c r="T2128">
        <v>14</v>
      </c>
      <c r="U2128">
        <v>17.461176771165398</v>
      </c>
      <c r="V2128" t="s">
        <v>39</v>
      </c>
      <c r="W2128">
        <v>4.2624000507233797</v>
      </c>
      <c r="X2128" t="s">
        <v>31</v>
      </c>
      <c r="Y2128" t="s">
        <v>32</v>
      </c>
      <c r="Z2128">
        <v>177.108594502767</v>
      </c>
    </row>
    <row r="2129" spans="1:26" x14ac:dyDescent="0.3">
      <c r="A2129" t="s">
        <v>42</v>
      </c>
      <c r="B2129" t="s">
        <v>2185</v>
      </c>
      <c r="C2129">
        <v>22.353876502768401</v>
      </c>
      <c r="D2129">
        <v>23</v>
      </c>
      <c r="E2129">
        <v>507</v>
      </c>
      <c r="F2129">
        <v>4850.82563367692</v>
      </c>
      <c r="G2129" t="s">
        <v>26</v>
      </c>
      <c r="H2129">
        <v>70</v>
      </c>
      <c r="I2129">
        <v>18</v>
      </c>
      <c r="J2129">
        <v>26</v>
      </c>
      <c r="K2129">
        <v>9</v>
      </c>
      <c r="L2129" t="s">
        <v>44</v>
      </c>
      <c r="M2129">
        <v>1.03183067447176</v>
      </c>
      <c r="N2129" t="s">
        <v>28</v>
      </c>
      <c r="O2129" t="s">
        <v>29</v>
      </c>
      <c r="P2129">
        <f>VLOOKUP(O2129, Coordinates!$A$2:$C$6, 2, FALSE)</f>
        <v>29.760400000000001</v>
      </c>
      <c r="Q2129">
        <f>VLOOKUP(O2129, Coordinates!$A$2:$C$6, 3, FALSE)</f>
        <v>-95.369799999999998</v>
      </c>
      <c r="R2129">
        <v>3</v>
      </c>
      <c r="S2129">
        <v>988</v>
      </c>
      <c r="T2129">
        <v>27</v>
      </c>
      <c r="U2129">
        <v>12.503439603796</v>
      </c>
      <c r="V2129" t="s">
        <v>39</v>
      </c>
      <c r="W2129">
        <v>0.45500452842359501</v>
      </c>
      <c r="X2129" t="s">
        <v>46</v>
      </c>
      <c r="Y2129" t="s">
        <v>32</v>
      </c>
      <c r="Z2129">
        <v>657.94768588149998</v>
      </c>
    </row>
    <row r="2130" spans="1:26" x14ac:dyDescent="0.3">
      <c r="A2130" t="s">
        <v>82</v>
      </c>
      <c r="B2130" t="s">
        <v>2186</v>
      </c>
      <c r="C2130">
        <v>18.261892399181001</v>
      </c>
      <c r="D2130">
        <v>14</v>
      </c>
      <c r="E2130">
        <v>320</v>
      </c>
      <c r="F2130">
        <v>1887.9163905952801</v>
      </c>
      <c r="G2130" t="s">
        <v>54</v>
      </c>
      <c r="H2130">
        <v>30</v>
      </c>
      <c r="I2130">
        <v>3</v>
      </c>
      <c r="J2130">
        <v>66</v>
      </c>
      <c r="K2130">
        <v>2</v>
      </c>
      <c r="L2130" t="s">
        <v>44</v>
      </c>
      <c r="M2130">
        <v>4.8909823686007901</v>
      </c>
      <c r="N2130" t="s">
        <v>45</v>
      </c>
      <c r="O2130" t="s">
        <v>38</v>
      </c>
      <c r="P2130">
        <f>VLOOKUP(O2130, Coordinates!$A$2:$C$6, 2, FALSE)</f>
        <v>25.761700000000001</v>
      </c>
      <c r="Q2130">
        <f>VLOOKUP(O2130, Coordinates!$A$2:$C$6, 3, FALSE)</f>
        <v>-80.191800000000001</v>
      </c>
      <c r="R2130">
        <v>27</v>
      </c>
      <c r="S2130">
        <v>853</v>
      </c>
      <c r="T2130">
        <v>16</v>
      </c>
      <c r="U2130">
        <v>57.332964346360299</v>
      </c>
      <c r="V2130" t="s">
        <v>55</v>
      </c>
      <c r="W2130">
        <v>4.7364530660000002</v>
      </c>
      <c r="X2130" t="s">
        <v>31</v>
      </c>
      <c r="Y2130" t="s">
        <v>60</v>
      </c>
      <c r="Z2130">
        <v>327.29705442256397</v>
      </c>
    </row>
    <row r="2131" spans="1:26" x14ac:dyDescent="0.3">
      <c r="A2131" t="s">
        <v>24</v>
      </c>
      <c r="B2131" t="s">
        <v>2187</v>
      </c>
      <c r="C2131">
        <v>30.157328450212901</v>
      </c>
      <c r="D2131">
        <v>79</v>
      </c>
      <c r="E2131">
        <v>818</v>
      </c>
      <c r="F2131">
        <v>22201.825205046702</v>
      </c>
      <c r="G2131" t="s">
        <v>35</v>
      </c>
      <c r="H2131">
        <v>87</v>
      </c>
      <c r="I2131">
        <v>24</v>
      </c>
      <c r="J2131">
        <v>84</v>
      </c>
      <c r="K2131">
        <v>3</v>
      </c>
      <c r="L2131" t="s">
        <v>27</v>
      </c>
      <c r="M2131">
        <v>8.2037496547256001</v>
      </c>
      <c r="N2131" t="s">
        <v>51</v>
      </c>
      <c r="O2131" t="s">
        <v>67</v>
      </c>
      <c r="P2131">
        <f>VLOOKUP(O2131, Coordinates!$A$2:$C$6, 2, FALSE)</f>
        <v>40.712800000000001</v>
      </c>
      <c r="Q2131">
        <f>VLOOKUP(O2131, Coordinates!$A$2:$C$6, 3, FALSE)</f>
        <v>-74.006</v>
      </c>
      <c r="R2131">
        <v>22</v>
      </c>
      <c r="S2131">
        <v>616</v>
      </c>
      <c r="T2131">
        <v>27</v>
      </c>
      <c r="U2131">
        <v>92.081692077648398</v>
      </c>
      <c r="V2131" t="s">
        <v>30</v>
      </c>
      <c r="W2131">
        <v>2.38037497925749</v>
      </c>
      <c r="X2131" t="s">
        <v>52</v>
      </c>
      <c r="Y2131" t="s">
        <v>41</v>
      </c>
      <c r="Z2131">
        <v>690.93999225910795</v>
      </c>
    </row>
    <row r="2132" spans="1:26" x14ac:dyDescent="0.3">
      <c r="A2132" t="s">
        <v>24</v>
      </c>
      <c r="B2132" t="s">
        <v>2188</v>
      </c>
      <c r="C2132">
        <v>36.7966977048033</v>
      </c>
      <c r="D2132">
        <v>49</v>
      </c>
      <c r="E2132">
        <v>826</v>
      </c>
      <c r="F2132">
        <v>27354.665073750799</v>
      </c>
      <c r="G2132" t="s">
        <v>48</v>
      </c>
      <c r="H2132">
        <v>25</v>
      </c>
      <c r="I2132">
        <v>1</v>
      </c>
      <c r="J2132">
        <v>86</v>
      </c>
      <c r="K2132">
        <v>6</v>
      </c>
      <c r="L2132" t="s">
        <v>36</v>
      </c>
      <c r="M2132">
        <v>10.3010685106651</v>
      </c>
      <c r="N2132" t="s">
        <v>51</v>
      </c>
      <c r="O2132" t="s">
        <v>58</v>
      </c>
      <c r="P2132">
        <f>VLOOKUP(O2132, Coordinates!$A$2:$C$6, 2, FALSE)</f>
        <v>34.052199999999999</v>
      </c>
      <c r="Q2132">
        <f>VLOOKUP(O2132, Coordinates!$A$2:$C$6, 3, FALSE)</f>
        <v>-118.2437</v>
      </c>
      <c r="R2132">
        <v>11</v>
      </c>
      <c r="S2132">
        <v>473</v>
      </c>
      <c r="T2132">
        <v>2</v>
      </c>
      <c r="U2132">
        <v>90.350880933308005</v>
      </c>
      <c r="V2132" t="s">
        <v>55</v>
      </c>
      <c r="W2132">
        <v>0.92993499797861801</v>
      </c>
      <c r="X2132" t="s">
        <v>46</v>
      </c>
      <c r="Y2132" t="s">
        <v>32</v>
      </c>
      <c r="Z2132">
        <v>540.18823264973605</v>
      </c>
    </row>
    <row r="2133" spans="1:26" x14ac:dyDescent="0.3">
      <c r="A2133" t="s">
        <v>24</v>
      </c>
      <c r="B2133" t="s">
        <v>2189</v>
      </c>
      <c r="C2133">
        <v>39.055254171286599</v>
      </c>
      <c r="D2133">
        <v>33</v>
      </c>
      <c r="E2133">
        <v>846</v>
      </c>
      <c r="F2133">
        <v>29736.670526017599</v>
      </c>
      <c r="G2133" t="s">
        <v>26</v>
      </c>
      <c r="H2133">
        <v>29</v>
      </c>
      <c r="I2133">
        <v>6</v>
      </c>
      <c r="J2133">
        <v>98</v>
      </c>
      <c r="K2133">
        <v>4</v>
      </c>
      <c r="L2133" t="s">
        <v>27</v>
      </c>
      <c r="M2133">
        <v>4.2051239004225902</v>
      </c>
      <c r="N2133" t="s">
        <v>57</v>
      </c>
      <c r="O2133" t="s">
        <v>65</v>
      </c>
      <c r="P2133">
        <f>VLOOKUP(O2133, Coordinates!$A$2:$C$6, 2, FALSE)</f>
        <v>41.878100000000003</v>
      </c>
      <c r="Q2133">
        <f>VLOOKUP(O2133, Coordinates!$A$2:$C$6, 3, FALSE)</f>
        <v>-87.629800000000003</v>
      </c>
      <c r="R2133">
        <v>28</v>
      </c>
      <c r="S2133">
        <v>873</v>
      </c>
      <c r="T2133">
        <v>19</v>
      </c>
      <c r="U2133">
        <v>82.524778702259397</v>
      </c>
      <c r="V2133" t="s">
        <v>30</v>
      </c>
      <c r="W2133">
        <v>1.7716402788424099</v>
      </c>
      <c r="X2133" t="s">
        <v>52</v>
      </c>
      <c r="Y2133" t="s">
        <v>32</v>
      </c>
      <c r="Z2133">
        <v>290.12358622065898</v>
      </c>
    </row>
    <row r="2134" spans="1:26" x14ac:dyDescent="0.3">
      <c r="A2134" t="s">
        <v>42</v>
      </c>
      <c r="B2134" t="s">
        <v>2190</v>
      </c>
      <c r="C2134">
        <v>31.196953421921702</v>
      </c>
      <c r="D2134">
        <v>25</v>
      </c>
      <c r="E2134">
        <v>628</v>
      </c>
      <c r="F2134">
        <v>1064.9795230334501</v>
      </c>
      <c r="G2134" t="s">
        <v>48</v>
      </c>
      <c r="H2134">
        <v>33</v>
      </c>
      <c r="I2134">
        <v>19</v>
      </c>
      <c r="J2134">
        <v>29</v>
      </c>
      <c r="K2134">
        <v>8</v>
      </c>
      <c r="L2134" t="s">
        <v>27</v>
      </c>
      <c r="M2134">
        <v>2.9446118480338699</v>
      </c>
      <c r="N2134" t="s">
        <v>51</v>
      </c>
      <c r="O2134" t="s">
        <v>65</v>
      </c>
      <c r="P2134">
        <f>VLOOKUP(O2134, Coordinates!$A$2:$C$6, 2, FALSE)</f>
        <v>41.878100000000003</v>
      </c>
      <c r="Q2134">
        <f>VLOOKUP(O2134, Coordinates!$A$2:$C$6, 3, FALSE)</f>
        <v>-87.629800000000003</v>
      </c>
      <c r="R2134">
        <v>18</v>
      </c>
      <c r="S2134">
        <v>717</v>
      </c>
      <c r="T2134">
        <v>23</v>
      </c>
      <c r="U2134">
        <v>81.452138746325005</v>
      </c>
      <c r="V2134" t="s">
        <v>55</v>
      </c>
      <c r="W2134">
        <v>7.6850914000000006E-2</v>
      </c>
      <c r="X2134" t="s">
        <v>52</v>
      </c>
      <c r="Y2134" t="s">
        <v>32</v>
      </c>
      <c r="Z2134">
        <v>162.67477686607199</v>
      </c>
    </row>
    <row r="2135" spans="1:26" x14ac:dyDescent="0.3">
      <c r="A2135" t="s">
        <v>42</v>
      </c>
      <c r="B2135" t="s">
        <v>2191</v>
      </c>
      <c r="D2135">
        <v>21</v>
      </c>
      <c r="E2135">
        <v>867</v>
      </c>
      <c r="F2135">
        <v>3849.3671357138201</v>
      </c>
      <c r="G2135" t="s">
        <v>35</v>
      </c>
      <c r="H2135">
        <v>45</v>
      </c>
      <c r="I2135">
        <v>22</v>
      </c>
      <c r="J2135">
        <v>34</v>
      </c>
      <c r="K2135">
        <v>1</v>
      </c>
      <c r="L2135" t="s">
        <v>27</v>
      </c>
      <c r="M2135">
        <v>3.8226080684181998</v>
      </c>
      <c r="N2135" t="s">
        <v>28</v>
      </c>
      <c r="O2135" t="s">
        <v>29</v>
      </c>
      <c r="P2135">
        <f>VLOOKUP(O2135, Coordinates!$A$2:$C$6, 2, FALSE)</f>
        <v>29.760400000000001</v>
      </c>
      <c r="Q2135">
        <f>VLOOKUP(O2135, Coordinates!$A$2:$C$6, 3, FALSE)</f>
        <v>-95.369799999999998</v>
      </c>
      <c r="R2135">
        <v>5</v>
      </c>
      <c r="S2135">
        <v>223</v>
      </c>
      <c r="T2135">
        <v>9</v>
      </c>
      <c r="U2135">
        <v>38.437429797361197</v>
      </c>
      <c r="V2135" t="s">
        <v>39</v>
      </c>
      <c r="W2135">
        <v>0.83261339629118403</v>
      </c>
      <c r="X2135" t="s">
        <v>31</v>
      </c>
      <c r="Y2135" t="s">
        <v>41</v>
      </c>
      <c r="Z2135">
        <v>163.58578572259299</v>
      </c>
    </row>
    <row r="2136" spans="1:26" x14ac:dyDescent="0.3">
      <c r="A2136" t="s">
        <v>49</v>
      </c>
      <c r="B2136" t="s">
        <v>2192</v>
      </c>
      <c r="C2136">
        <v>6.5918489267763203</v>
      </c>
      <c r="D2136">
        <v>17</v>
      </c>
      <c r="E2136">
        <v>169</v>
      </c>
      <c r="F2136">
        <v>7094.7165130538897</v>
      </c>
      <c r="G2136" t="s">
        <v>35</v>
      </c>
      <c r="H2136">
        <v>68</v>
      </c>
      <c r="I2136">
        <v>19</v>
      </c>
      <c r="J2136">
        <v>51</v>
      </c>
      <c r="K2136">
        <v>6</v>
      </c>
      <c r="L2136" t="s">
        <v>44</v>
      </c>
      <c r="M2136">
        <v>5.9570647240000003</v>
      </c>
      <c r="N2136" t="s">
        <v>37</v>
      </c>
      <c r="O2136" t="s">
        <v>58</v>
      </c>
      <c r="P2136">
        <f>VLOOKUP(O2136, Coordinates!$A$2:$C$6, 2, FALSE)</f>
        <v>34.052199999999999</v>
      </c>
      <c r="Q2136">
        <f>VLOOKUP(O2136, Coordinates!$A$2:$C$6, 3, FALSE)</f>
        <v>-118.2437</v>
      </c>
      <c r="R2136">
        <v>22</v>
      </c>
      <c r="S2136">
        <v>545</v>
      </c>
      <c r="T2136">
        <v>14</v>
      </c>
      <c r="U2136">
        <v>30.118364745283401</v>
      </c>
      <c r="V2136" t="s">
        <v>30</v>
      </c>
      <c r="W2136">
        <v>1.6766990965633799</v>
      </c>
      <c r="X2136" t="s">
        <v>40</v>
      </c>
      <c r="Y2136" t="s">
        <v>32</v>
      </c>
      <c r="Z2136">
        <v>627.27421995696102</v>
      </c>
    </row>
    <row r="2137" spans="1:26" x14ac:dyDescent="0.3">
      <c r="A2137" t="s">
        <v>33</v>
      </c>
      <c r="B2137" t="s">
        <v>2193</v>
      </c>
      <c r="C2137">
        <v>69.523919359999994</v>
      </c>
      <c r="D2137">
        <v>23</v>
      </c>
      <c r="E2137">
        <v>866</v>
      </c>
      <c r="F2137">
        <v>5356.3504620506301</v>
      </c>
      <c r="G2137" t="s">
        <v>35</v>
      </c>
      <c r="H2137">
        <v>1</v>
      </c>
      <c r="I2137">
        <v>24</v>
      </c>
      <c r="J2137">
        <v>54</v>
      </c>
      <c r="K2137">
        <v>2</v>
      </c>
      <c r="L2137" t="s">
        <v>36</v>
      </c>
      <c r="M2137">
        <v>3.0772960768206601</v>
      </c>
      <c r="N2137" t="s">
        <v>51</v>
      </c>
      <c r="O2137" t="s">
        <v>67</v>
      </c>
      <c r="P2137">
        <f>VLOOKUP(O2137, Coordinates!$A$2:$C$6, 2, FALSE)</f>
        <v>40.712800000000001</v>
      </c>
      <c r="Q2137">
        <f>VLOOKUP(O2137, Coordinates!$A$2:$C$6, 3, FALSE)</f>
        <v>-74.006</v>
      </c>
      <c r="R2137">
        <v>28</v>
      </c>
      <c r="S2137">
        <v>493</v>
      </c>
      <c r="T2137">
        <v>15</v>
      </c>
      <c r="U2137">
        <v>97.267313710117605</v>
      </c>
      <c r="V2137" t="s">
        <v>39</v>
      </c>
      <c r="W2137">
        <v>2.7720763937599302</v>
      </c>
      <c r="X2137" t="s">
        <v>46</v>
      </c>
      <c r="Y2137" t="s">
        <v>41</v>
      </c>
      <c r="Z2137">
        <v>782.42070515958801</v>
      </c>
    </row>
    <row r="2138" spans="1:26" x14ac:dyDescent="0.3">
      <c r="A2138" t="s">
        <v>61</v>
      </c>
      <c r="B2138" t="s">
        <v>2194</v>
      </c>
      <c r="C2138">
        <v>12.273984551186199</v>
      </c>
      <c r="D2138">
        <v>57</v>
      </c>
      <c r="E2138">
        <v>31</v>
      </c>
      <c r="F2138">
        <v>9804.4253739908909</v>
      </c>
      <c r="G2138" t="s">
        <v>26</v>
      </c>
      <c r="H2138">
        <v>60</v>
      </c>
      <c r="I2138">
        <v>27</v>
      </c>
      <c r="J2138">
        <v>40</v>
      </c>
      <c r="K2138">
        <v>6</v>
      </c>
      <c r="L2138" t="s">
        <v>44</v>
      </c>
      <c r="M2138">
        <v>3.1954426818955599</v>
      </c>
      <c r="N2138" t="s">
        <v>37</v>
      </c>
      <c r="O2138" t="s">
        <v>29</v>
      </c>
      <c r="P2138">
        <f>VLOOKUP(O2138, Coordinates!$A$2:$C$6, 2, FALSE)</f>
        <v>29.760400000000001</v>
      </c>
      <c r="Q2138">
        <f>VLOOKUP(O2138, Coordinates!$A$2:$C$6, 3, FALSE)</f>
        <v>-95.369799999999998</v>
      </c>
      <c r="R2138">
        <v>2</v>
      </c>
      <c r="S2138">
        <v>937</v>
      </c>
      <c r="T2138">
        <v>19</v>
      </c>
      <c r="U2138">
        <v>82.2318938871189</v>
      </c>
      <c r="V2138" t="s">
        <v>30</v>
      </c>
      <c r="W2138">
        <v>0.64740422322427205</v>
      </c>
      <c r="X2138" t="s">
        <v>40</v>
      </c>
      <c r="Y2138" t="s">
        <v>32</v>
      </c>
      <c r="Z2138">
        <v>720.69380677965296</v>
      </c>
    </row>
    <row r="2139" spans="1:26" x14ac:dyDescent="0.3">
      <c r="A2139" t="s">
        <v>24</v>
      </c>
      <c r="B2139" t="s">
        <v>2195</v>
      </c>
      <c r="C2139">
        <v>33.119702579078101</v>
      </c>
      <c r="D2139">
        <v>81</v>
      </c>
      <c r="E2139">
        <v>74</v>
      </c>
      <c r="F2139">
        <v>2205.7721917665999</v>
      </c>
      <c r="G2139" t="s">
        <v>35</v>
      </c>
      <c r="H2139">
        <v>82</v>
      </c>
      <c r="I2139">
        <v>8</v>
      </c>
      <c r="J2139">
        <v>74</v>
      </c>
      <c r="K2139">
        <v>1</v>
      </c>
      <c r="L2139" t="s">
        <v>27</v>
      </c>
      <c r="M2139">
        <v>1.6125238000945701</v>
      </c>
      <c r="N2139" t="s">
        <v>45</v>
      </c>
      <c r="O2139" t="s">
        <v>38</v>
      </c>
      <c r="P2139">
        <f>VLOOKUP(O2139, Coordinates!$A$2:$C$6, 2, FALSE)</f>
        <v>25.761700000000001</v>
      </c>
      <c r="Q2139">
        <f>VLOOKUP(O2139, Coordinates!$A$2:$C$6, 3, FALSE)</f>
        <v>-80.191800000000001</v>
      </c>
      <c r="R2139">
        <v>28</v>
      </c>
      <c r="S2139">
        <v>749</v>
      </c>
      <c r="T2139">
        <v>26</v>
      </c>
      <c r="U2139">
        <v>79.360489090000002</v>
      </c>
      <c r="V2139" t="s">
        <v>55</v>
      </c>
      <c r="W2139">
        <v>4.8844309188018498</v>
      </c>
      <c r="X2139" t="s">
        <v>46</v>
      </c>
      <c r="Y2139" t="s">
        <v>60</v>
      </c>
      <c r="Z2139">
        <v>633.56773155663996</v>
      </c>
    </row>
    <row r="2140" spans="1:26" x14ac:dyDescent="0.3">
      <c r="A2140" t="s">
        <v>72</v>
      </c>
      <c r="B2140" t="s">
        <v>2196</v>
      </c>
      <c r="C2140">
        <v>26.556109693517399</v>
      </c>
      <c r="D2140">
        <v>58</v>
      </c>
      <c r="E2140">
        <v>222</v>
      </c>
      <c r="F2140">
        <v>5305.9107167647799</v>
      </c>
      <c r="G2140" t="s">
        <v>26</v>
      </c>
      <c r="H2140">
        <v>37</v>
      </c>
      <c r="I2140">
        <v>5</v>
      </c>
      <c r="J2140">
        <v>61</v>
      </c>
      <c r="K2140">
        <v>2</v>
      </c>
      <c r="L2140" t="s">
        <v>27</v>
      </c>
      <c r="M2140">
        <v>12.994152720962299</v>
      </c>
      <c r="N2140" t="s">
        <v>57</v>
      </c>
      <c r="O2140" t="s">
        <v>65</v>
      </c>
      <c r="P2140">
        <f>VLOOKUP(O2140, Coordinates!$A$2:$C$6, 2, FALSE)</f>
        <v>41.878100000000003</v>
      </c>
      <c r="Q2140">
        <f>VLOOKUP(O2140, Coordinates!$A$2:$C$6, 3, FALSE)</f>
        <v>-87.629800000000003</v>
      </c>
      <c r="R2140">
        <v>1</v>
      </c>
      <c r="S2140">
        <v>717</v>
      </c>
      <c r="T2140">
        <v>8</v>
      </c>
      <c r="U2140">
        <v>76.998215294510203</v>
      </c>
      <c r="V2140" t="s">
        <v>30</v>
      </c>
      <c r="W2140">
        <v>4.2213824499458896</v>
      </c>
      <c r="X2140" t="s">
        <v>52</v>
      </c>
      <c r="Y2140" t="s">
        <v>41</v>
      </c>
      <c r="Z2140">
        <v>289.83533716061902</v>
      </c>
    </row>
    <row r="2141" spans="1:26" x14ac:dyDescent="0.3">
      <c r="A2141" t="s">
        <v>33</v>
      </c>
      <c r="B2141" t="s">
        <v>2197</v>
      </c>
      <c r="C2141">
        <v>94.025349767369306</v>
      </c>
      <c r="D2141">
        <v>14</v>
      </c>
      <c r="E2141">
        <v>883</v>
      </c>
      <c r="F2141">
        <v>1409.37887325047</v>
      </c>
      <c r="H2141">
        <v>5</v>
      </c>
      <c r="I2141">
        <v>24</v>
      </c>
      <c r="J2141">
        <v>89</v>
      </c>
      <c r="K2141">
        <v>9</v>
      </c>
      <c r="L2141" t="s">
        <v>36</v>
      </c>
      <c r="M2141">
        <v>4.0766207368503897</v>
      </c>
      <c r="N2141" t="s">
        <v>57</v>
      </c>
      <c r="O2141" t="s">
        <v>67</v>
      </c>
      <c r="P2141">
        <f>VLOOKUP(O2141, Coordinates!$A$2:$C$6, 2, FALSE)</f>
        <v>40.712800000000001</v>
      </c>
      <c r="Q2141">
        <f>VLOOKUP(O2141, Coordinates!$A$2:$C$6, 3, FALSE)</f>
        <v>-74.006</v>
      </c>
      <c r="R2141">
        <v>4</v>
      </c>
      <c r="S2141">
        <v>824</v>
      </c>
      <c r="T2141">
        <v>27</v>
      </c>
      <c r="U2141">
        <v>99.224332736552995</v>
      </c>
      <c r="V2141" t="s">
        <v>30</v>
      </c>
      <c r="W2141">
        <v>2.8616980523695199</v>
      </c>
      <c r="X2141" t="s">
        <v>31</v>
      </c>
      <c r="Y2141" t="s">
        <v>60</v>
      </c>
      <c r="Z2141">
        <v>875.60973794104302</v>
      </c>
    </row>
    <row r="2142" spans="1:26" x14ac:dyDescent="0.3">
      <c r="A2142" t="s">
        <v>72</v>
      </c>
      <c r="B2142" t="s">
        <v>2198</v>
      </c>
      <c r="C2142">
        <v>32.0968799118627</v>
      </c>
      <c r="D2142">
        <v>93</v>
      </c>
      <c r="E2142">
        <v>369</v>
      </c>
      <c r="F2142">
        <v>10659.3738187296</v>
      </c>
      <c r="G2142" t="s">
        <v>54</v>
      </c>
      <c r="H2142">
        <v>25</v>
      </c>
      <c r="I2142">
        <v>9</v>
      </c>
      <c r="J2142">
        <v>30</v>
      </c>
      <c r="K2142">
        <v>6</v>
      </c>
      <c r="L2142" t="s">
        <v>44</v>
      </c>
      <c r="M2142">
        <v>12.506634146858</v>
      </c>
      <c r="N2142" t="s">
        <v>57</v>
      </c>
      <c r="O2142" t="s">
        <v>65</v>
      </c>
      <c r="P2142">
        <f>VLOOKUP(O2142, Coordinates!$A$2:$C$6, 2, FALSE)</f>
        <v>41.878100000000003</v>
      </c>
      <c r="Q2142">
        <f>VLOOKUP(O2142, Coordinates!$A$2:$C$6, 3, FALSE)</f>
        <v>-87.629800000000003</v>
      </c>
      <c r="R2142">
        <v>14</v>
      </c>
      <c r="S2142">
        <v>911</v>
      </c>
      <c r="T2142">
        <v>15</v>
      </c>
      <c r="U2142">
        <v>94.212556844816206</v>
      </c>
      <c r="V2142" t="s">
        <v>55</v>
      </c>
      <c r="W2142">
        <v>1.48450723612612</v>
      </c>
      <c r="X2142" t="s">
        <v>31</v>
      </c>
      <c r="Y2142" t="s">
        <v>32</v>
      </c>
      <c r="Z2142">
        <v>665.96117856575904</v>
      </c>
    </row>
    <row r="2143" spans="1:26" x14ac:dyDescent="0.3">
      <c r="A2143" t="s">
        <v>49</v>
      </c>
      <c r="B2143" t="s">
        <v>2199</v>
      </c>
      <c r="C2143">
        <v>28.728355432419299</v>
      </c>
      <c r="D2143">
        <v>20</v>
      </c>
      <c r="E2143">
        <v>705</v>
      </c>
      <c r="F2143">
        <v>9201.1087928320394</v>
      </c>
      <c r="G2143" t="s">
        <v>26</v>
      </c>
      <c r="H2143">
        <v>60</v>
      </c>
      <c r="I2143">
        <v>15</v>
      </c>
      <c r="J2143">
        <v>39</v>
      </c>
      <c r="K2143">
        <v>8</v>
      </c>
      <c r="L2143" t="s">
        <v>27</v>
      </c>
      <c r="M2143">
        <v>7.136331406</v>
      </c>
      <c r="N2143" t="s">
        <v>45</v>
      </c>
      <c r="O2143" t="s">
        <v>38</v>
      </c>
      <c r="P2143">
        <f>VLOOKUP(O2143, Coordinates!$A$2:$C$6, 2, FALSE)</f>
        <v>25.761700000000001</v>
      </c>
      <c r="Q2143">
        <f>VLOOKUP(O2143, Coordinates!$A$2:$C$6, 3, FALSE)</f>
        <v>-80.191800000000001</v>
      </c>
      <c r="R2143">
        <v>26</v>
      </c>
      <c r="S2143">
        <v>155</v>
      </c>
      <c r="T2143">
        <v>8</v>
      </c>
      <c r="U2143">
        <v>19.171040572626399</v>
      </c>
      <c r="V2143" t="s">
        <v>39</v>
      </c>
      <c r="W2143">
        <v>4.1740240782875704</v>
      </c>
      <c r="X2143" t="s">
        <v>31</v>
      </c>
      <c r="Y2143" t="s">
        <v>60</v>
      </c>
      <c r="Z2143">
        <v>724.77870213620099</v>
      </c>
    </row>
    <row r="2144" spans="1:26" x14ac:dyDescent="0.3">
      <c r="A2144" t="s">
        <v>49</v>
      </c>
      <c r="B2144" t="s">
        <v>2200</v>
      </c>
      <c r="C2144">
        <v>67.145214657179295</v>
      </c>
      <c r="D2144">
        <v>30</v>
      </c>
      <c r="E2144">
        <v>849</v>
      </c>
      <c r="F2144">
        <v>8385.6465407713295</v>
      </c>
      <c r="G2144" t="s">
        <v>35</v>
      </c>
      <c r="H2144">
        <v>22</v>
      </c>
      <c r="I2144">
        <v>21</v>
      </c>
      <c r="J2144">
        <v>12</v>
      </c>
      <c r="K2144">
        <v>7</v>
      </c>
      <c r="L2144" t="s">
        <v>27</v>
      </c>
      <c r="M2144">
        <v>9.8541294059905198</v>
      </c>
      <c r="N2144" t="s">
        <v>28</v>
      </c>
      <c r="O2144" t="s">
        <v>65</v>
      </c>
      <c r="P2144">
        <f>VLOOKUP(O2144, Coordinates!$A$2:$C$6, 2, FALSE)</f>
        <v>41.878100000000003</v>
      </c>
      <c r="Q2144">
        <f>VLOOKUP(O2144, Coordinates!$A$2:$C$6, 3, FALSE)</f>
        <v>-87.629800000000003</v>
      </c>
      <c r="R2144">
        <v>28</v>
      </c>
      <c r="S2144">
        <v>231</v>
      </c>
      <c r="T2144">
        <v>28</v>
      </c>
      <c r="U2144">
        <v>15.8379514031243</v>
      </c>
      <c r="V2144" t="s">
        <v>39</v>
      </c>
      <c r="W2144">
        <v>7.7675314999999995E-2</v>
      </c>
      <c r="X2144" t="s">
        <v>40</v>
      </c>
      <c r="Y2144" t="s">
        <v>41</v>
      </c>
      <c r="Z2144">
        <v>301.44796924709198</v>
      </c>
    </row>
    <row r="2145" spans="1:26" x14ac:dyDescent="0.3">
      <c r="A2145" t="s">
        <v>49</v>
      </c>
      <c r="B2145" t="s">
        <v>2201</v>
      </c>
      <c r="C2145">
        <v>63.827708045090198</v>
      </c>
      <c r="D2145">
        <v>19</v>
      </c>
      <c r="E2145">
        <v>951</v>
      </c>
      <c r="F2145">
        <v>2151.5494682778799</v>
      </c>
      <c r="G2145" t="s">
        <v>26</v>
      </c>
      <c r="H2145">
        <v>45</v>
      </c>
      <c r="I2145">
        <v>28</v>
      </c>
      <c r="J2145">
        <v>79</v>
      </c>
      <c r="K2145">
        <v>9</v>
      </c>
      <c r="L2145" t="s">
        <v>36</v>
      </c>
      <c r="M2145">
        <v>2.0598299062147301</v>
      </c>
      <c r="N2145" t="s">
        <v>37</v>
      </c>
      <c r="O2145" t="s">
        <v>65</v>
      </c>
      <c r="P2145">
        <f>VLOOKUP(O2145, Coordinates!$A$2:$C$6, 2, FALSE)</f>
        <v>41.878100000000003</v>
      </c>
      <c r="Q2145">
        <f>VLOOKUP(O2145, Coordinates!$A$2:$C$6, 3, FALSE)</f>
        <v>-87.629800000000003</v>
      </c>
      <c r="R2145">
        <v>20</v>
      </c>
      <c r="S2145">
        <v>880</v>
      </c>
      <c r="T2145">
        <v>4</v>
      </c>
      <c r="U2145">
        <v>69.994609972648604</v>
      </c>
      <c r="V2145" t="s">
        <v>30</v>
      </c>
      <c r="W2145">
        <v>3.6590116649914299</v>
      </c>
      <c r="X2145" t="s">
        <v>31</v>
      </c>
      <c r="Y2145" t="s">
        <v>32</v>
      </c>
      <c r="Z2145">
        <v>335.34190320696501</v>
      </c>
    </row>
    <row r="2146" spans="1:26" x14ac:dyDescent="0.3">
      <c r="A2146" t="s">
        <v>82</v>
      </c>
      <c r="B2146" t="s">
        <v>2202</v>
      </c>
      <c r="C2146">
        <v>36.550429414271797</v>
      </c>
      <c r="D2146">
        <v>53</v>
      </c>
      <c r="E2146">
        <v>310</v>
      </c>
      <c r="F2146">
        <v>9981.2362097105797</v>
      </c>
      <c r="G2146" t="s">
        <v>26</v>
      </c>
      <c r="H2146">
        <v>29</v>
      </c>
      <c r="I2146">
        <v>14</v>
      </c>
      <c r="J2146">
        <v>52</v>
      </c>
      <c r="K2146">
        <v>9</v>
      </c>
      <c r="L2146" t="s">
        <v>27</v>
      </c>
      <c r="M2146">
        <v>9.1701269829225804</v>
      </c>
      <c r="N2146" t="s">
        <v>51</v>
      </c>
      <c r="O2146" t="s">
        <v>29</v>
      </c>
      <c r="P2146">
        <f>VLOOKUP(O2146, Coordinates!$A$2:$C$6, 2, FALSE)</f>
        <v>29.760400000000001</v>
      </c>
      <c r="Q2146">
        <f>VLOOKUP(O2146, Coordinates!$A$2:$C$6, 3, FALSE)</f>
        <v>-95.369799999999998</v>
      </c>
      <c r="R2146">
        <v>20</v>
      </c>
      <c r="S2146">
        <v>221</v>
      </c>
      <c r="T2146">
        <v>27</v>
      </c>
      <c r="U2146">
        <v>69.184102953263306</v>
      </c>
      <c r="V2146" t="s">
        <v>55</v>
      </c>
      <c r="W2146">
        <v>3.1423968415636101</v>
      </c>
      <c r="X2146" t="s">
        <v>31</v>
      </c>
      <c r="Y2146" t="s">
        <v>60</v>
      </c>
      <c r="Z2146">
        <v>-50</v>
      </c>
    </row>
    <row r="2147" spans="1:26" x14ac:dyDescent="0.3">
      <c r="A2147" t="s">
        <v>72</v>
      </c>
      <c r="B2147" t="s">
        <v>2203</v>
      </c>
      <c r="C2147">
        <v>20.547266784751201</v>
      </c>
      <c r="D2147">
        <v>56</v>
      </c>
      <c r="E2147">
        <v>128</v>
      </c>
      <c r="F2147">
        <v>2367.0451336033402</v>
      </c>
      <c r="G2147" t="s">
        <v>48</v>
      </c>
      <c r="H2147">
        <v>66</v>
      </c>
      <c r="I2147">
        <v>4</v>
      </c>
      <c r="J2147">
        <v>38</v>
      </c>
      <c r="K2147">
        <v>4</v>
      </c>
      <c r="L2147" t="s">
        <v>44</v>
      </c>
      <c r="M2147">
        <v>5.0599356444262202</v>
      </c>
      <c r="N2147" t="s">
        <v>28</v>
      </c>
      <c r="O2147" t="s">
        <v>29</v>
      </c>
      <c r="P2147">
        <f>VLOOKUP(O2147, Coordinates!$A$2:$C$6, 2, FALSE)</f>
        <v>29.760400000000001</v>
      </c>
      <c r="Q2147">
        <f>VLOOKUP(O2147, Coordinates!$A$2:$C$6, 3, FALSE)</f>
        <v>-95.369799999999998</v>
      </c>
      <c r="R2147">
        <v>17</v>
      </c>
      <c r="S2147">
        <v>301</v>
      </c>
      <c r="T2147">
        <v>29</v>
      </c>
      <c r="U2147">
        <v>81.494025923013297</v>
      </c>
      <c r="V2147" t="s">
        <v>39</v>
      </c>
      <c r="W2147">
        <v>2.38141703017686</v>
      </c>
      <c r="X2147" t="s">
        <v>40</v>
      </c>
      <c r="Y2147" t="s">
        <v>41</v>
      </c>
      <c r="Z2147">
        <v>528.46621364360999</v>
      </c>
    </row>
    <row r="2148" spans="1:26" x14ac:dyDescent="0.3">
      <c r="A2148" t="s">
        <v>33</v>
      </c>
      <c r="B2148" t="s">
        <v>2204</v>
      </c>
      <c r="C2148">
        <v>85.261921111515093</v>
      </c>
      <c r="D2148">
        <v>77</v>
      </c>
      <c r="E2148">
        <v>23</v>
      </c>
      <c r="F2148">
        <v>7517.8442152753296</v>
      </c>
      <c r="G2148" t="s">
        <v>35</v>
      </c>
      <c r="H2148">
        <v>91</v>
      </c>
      <c r="I2148">
        <v>24</v>
      </c>
      <c r="J2148">
        <v>12</v>
      </c>
      <c r="K2148">
        <v>7</v>
      </c>
      <c r="L2148" t="s">
        <v>44</v>
      </c>
      <c r="M2148">
        <v>2.3329393440000001</v>
      </c>
      <c r="N2148" t="s">
        <v>57</v>
      </c>
      <c r="O2148" t="s">
        <v>58</v>
      </c>
      <c r="P2148">
        <f>VLOOKUP(O2148, Coordinates!$A$2:$C$6, 2, FALSE)</f>
        <v>34.052199999999999</v>
      </c>
      <c r="Q2148">
        <f>VLOOKUP(O2148, Coordinates!$A$2:$C$6, 3, FALSE)</f>
        <v>-118.2437</v>
      </c>
      <c r="R2148">
        <v>3</v>
      </c>
      <c r="S2148">
        <v>819</v>
      </c>
      <c r="T2148">
        <v>6</v>
      </c>
      <c r="U2148">
        <v>19.790085720935199</v>
      </c>
      <c r="V2148" t="s">
        <v>30</v>
      </c>
      <c r="W2148">
        <v>0.50997776110068904</v>
      </c>
      <c r="X2148" t="s">
        <v>40</v>
      </c>
      <c r="Y2148" t="s">
        <v>41</v>
      </c>
      <c r="Z2148">
        <v>598.45821817757803</v>
      </c>
    </row>
    <row r="2149" spans="1:26" x14ac:dyDescent="0.3">
      <c r="A2149" t="s">
        <v>33</v>
      </c>
      <c r="B2149" t="s">
        <v>2205</v>
      </c>
      <c r="C2149">
        <v>26.278341857182699</v>
      </c>
      <c r="D2149">
        <v>82</v>
      </c>
      <c r="E2149">
        <v>261</v>
      </c>
      <c r="F2149">
        <v>9172.3138870214898</v>
      </c>
      <c r="H2149">
        <v>32</v>
      </c>
      <c r="I2149">
        <v>24</v>
      </c>
      <c r="J2149">
        <v>67</v>
      </c>
      <c r="K2149">
        <v>5</v>
      </c>
      <c r="L2149" t="s">
        <v>27</v>
      </c>
      <c r="M2149">
        <v>13.715254946349599</v>
      </c>
      <c r="N2149" t="s">
        <v>57</v>
      </c>
      <c r="O2149" t="s">
        <v>58</v>
      </c>
      <c r="P2149">
        <f>VLOOKUP(O2149, Coordinates!$A$2:$C$6, 2, FALSE)</f>
        <v>34.052199999999999</v>
      </c>
      <c r="Q2149">
        <f>VLOOKUP(O2149, Coordinates!$A$2:$C$6, 3, FALSE)</f>
        <v>-118.2437</v>
      </c>
      <c r="R2149">
        <v>23</v>
      </c>
      <c r="S2149">
        <v>886</v>
      </c>
      <c r="T2149">
        <v>11</v>
      </c>
      <c r="U2149">
        <v>95.041204727965393</v>
      </c>
      <c r="V2149" t="s">
        <v>55</v>
      </c>
      <c r="W2149">
        <v>1.0351259063198299</v>
      </c>
      <c r="X2149" t="s">
        <v>31</v>
      </c>
      <c r="Y2149" t="s">
        <v>41</v>
      </c>
      <c r="Z2149">
        <v>199.688941696136</v>
      </c>
    </row>
    <row r="2150" spans="1:26" x14ac:dyDescent="0.3">
      <c r="A2150" t="s">
        <v>42</v>
      </c>
      <c r="B2150" t="s">
        <v>2206</v>
      </c>
      <c r="C2150">
        <v>27.7185418162797</v>
      </c>
      <c r="D2150">
        <v>23</v>
      </c>
      <c r="E2150">
        <v>300</v>
      </c>
      <c r="F2150">
        <v>3121.18402897638</v>
      </c>
      <c r="G2150" t="s">
        <v>54</v>
      </c>
      <c r="H2150">
        <v>2</v>
      </c>
      <c r="I2150">
        <v>8</v>
      </c>
      <c r="J2150">
        <v>42</v>
      </c>
      <c r="K2150">
        <v>7</v>
      </c>
      <c r="L2150" t="s">
        <v>27</v>
      </c>
      <c r="M2150">
        <v>9.4507925928928707</v>
      </c>
      <c r="N2150" t="s">
        <v>28</v>
      </c>
      <c r="O2150" t="s">
        <v>65</v>
      </c>
      <c r="P2150">
        <f>VLOOKUP(O2150, Coordinates!$A$2:$C$6, 2, FALSE)</f>
        <v>41.878100000000003</v>
      </c>
      <c r="Q2150">
        <f>VLOOKUP(O2150, Coordinates!$A$2:$C$6, 3, FALSE)</f>
        <v>-87.629800000000003</v>
      </c>
      <c r="R2150">
        <v>4</v>
      </c>
      <c r="S2150">
        <v>701</v>
      </c>
      <c r="T2150">
        <v>12</v>
      </c>
      <c r="U2150">
        <v>59.604257251958003</v>
      </c>
      <c r="V2150" t="s">
        <v>55</v>
      </c>
      <c r="W2150">
        <v>4.0758615184332099</v>
      </c>
      <c r="X2150" t="s">
        <v>31</v>
      </c>
      <c r="Y2150" t="s">
        <v>60</v>
      </c>
      <c r="Z2150">
        <v>455.11658354711102</v>
      </c>
    </row>
    <row r="2151" spans="1:26" x14ac:dyDescent="0.3">
      <c r="A2151" t="s">
        <v>42</v>
      </c>
      <c r="B2151" t="s">
        <v>2207</v>
      </c>
      <c r="C2151">
        <v>53.6685329542726</v>
      </c>
      <c r="D2151">
        <v>62</v>
      </c>
      <c r="E2151">
        <v>932</v>
      </c>
      <c r="F2151">
        <v>9174.3269920935909</v>
      </c>
      <c r="G2151" t="s">
        <v>26</v>
      </c>
      <c r="H2151">
        <v>68</v>
      </c>
      <c r="I2151">
        <v>20</v>
      </c>
      <c r="J2151">
        <v>84</v>
      </c>
      <c r="K2151">
        <v>4</v>
      </c>
      <c r="L2151" t="s">
        <v>27</v>
      </c>
      <c r="M2151">
        <v>4.3839067814162602</v>
      </c>
      <c r="N2151" t="s">
        <v>37</v>
      </c>
      <c r="O2151" t="s">
        <v>38</v>
      </c>
      <c r="P2151">
        <f>VLOOKUP(O2151, Coordinates!$A$2:$C$6, 2, FALSE)</f>
        <v>25.761700000000001</v>
      </c>
      <c r="Q2151">
        <f>VLOOKUP(O2151, Coordinates!$A$2:$C$6, 3, FALSE)</f>
        <v>-80.191800000000001</v>
      </c>
      <c r="R2151">
        <v>18</v>
      </c>
      <c r="S2151">
        <v>801</v>
      </c>
      <c r="T2151">
        <v>24</v>
      </c>
      <c r="U2151">
        <v>68.459996891909299</v>
      </c>
      <c r="V2151" t="s">
        <v>39</v>
      </c>
      <c r="W2151">
        <v>2.39925734010184</v>
      </c>
      <c r="X2151" t="s">
        <v>52</v>
      </c>
      <c r="Y2151" t="s">
        <v>41</v>
      </c>
      <c r="Z2151">
        <v>898.33242983854996</v>
      </c>
    </row>
    <row r="2152" spans="1:26" x14ac:dyDescent="0.3">
      <c r="A2152" t="s">
        <v>24</v>
      </c>
      <c r="B2152" t="s">
        <v>2208</v>
      </c>
      <c r="C2152">
        <v>29.117233948515501</v>
      </c>
      <c r="D2152">
        <v>33</v>
      </c>
      <c r="E2152">
        <v>26</v>
      </c>
      <c r="F2152">
        <v>681.34327440000004</v>
      </c>
      <c r="G2152" t="s">
        <v>26</v>
      </c>
      <c r="H2152">
        <v>82</v>
      </c>
      <c r="I2152">
        <v>29</v>
      </c>
      <c r="J2152">
        <v>54</v>
      </c>
      <c r="K2152">
        <v>10</v>
      </c>
      <c r="L2152" t="s">
        <v>36</v>
      </c>
      <c r="M2152">
        <v>6.8750721501136898</v>
      </c>
      <c r="N2152" t="s">
        <v>28</v>
      </c>
      <c r="O2152" t="s">
        <v>58</v>
      </c>
      <c r="P2152">
        <f>VLOOKUP(O2152, Coordinates!$A$2:$C$6, 2, FALSE)</f>
        <v>34.052199999999999</v>
      </c>
      <c r="Q2152">
        <f>VLOOKUP(O2152, Coordinates!$A$2:$C$6, 3, FALSE)</f>
        <v>-118.2437</v>
      </c>
      <c r="R2152">
        <v>24</v>
      </c>
      <c r="S2152">
        <v>364</v>
      </c>
      <c r="T2152">
        <v>28</v>
      </c>
      <c r="U2152">
        <v>88.462294499999999</v>
      </c>
      <c r="V2152" t="s">
        <v>55</v>
      </c>
      <c r="W2152">
        <v>4.81416429809686</v>
      </c>
      <c r="X2152" t="s">
        <v>31</v>
      </c>
      <c r="Y2152" t="s">
        <v>32</v>
      </c>
      <c r="Z2152">
        <v>910.13590098050599</v>
      </c>
    </row>
    <row r="2153" spans="1:26" x14ac:dyDescent="0.3">
      <c r="A2153" t="s">
        <v>42</v>
      </c>
      <c r="B2153" t="s">
        <v>2209</v>
      </c>
      <c r="C2153">
        <v>9.1838360419041098</v>
      </c>
      <c r="D2153">
        <v>18</v>
      </c>
      <c r="E2153">
        <v>884</v>
      </c>
      <c r="F2153">
        <v>9787.7190014565003</v>
      </c>
      <c r="G2153" t="s">
        <v>48</v>
      </c>
      <c r="H2153">
        <v>41</v>
      </c>
      <c r="I2153">
        <v>17</v>
      </c>
      <c r="J2153">
        <v>78</v>
      </c>
      <c r="K2153">
        <v>1</v>
      </c>
      <c r="L2153" t="s">
        <v>36</v>
      </c>
      <c r="M2153">
        <v>5.9966018771158698</v>
      </c>
      <c r="N2153" t="s">
        <v>45</v>
      </c>
      <c r="O2153" t="s">
        <v>38</v>
      </c>
      <c r="P2153">
        <f>VLOOKUP(O2153, Coordinates!$A$2:$C$6, 2, FALSE)</f>
        <v>25.761700000000001</v>
      </c>
      <c r="Q2153">
        <f>VLOOKUP(O2153, Coordinates!$A$2:$C$6, 3, FALSE)</f>
        <v>-80.191800000000001</v>
      </c>
      <c r="R2153">
        <v>30</v>
      </c>
      <c r="S2153">
        <v>657</v>
      </c>
      <c r="T2153">
        <v>9</v>
      </c>
      <c r="U2153">
        <v>96.487679306401603</v>
      </c>
      <c r="V2153" t="s">
        <v>55</v>
      </c>
      <c r="W2153">
        <v>4.3407254423969297</v>
      </c>
      <c r="X2153" t="s">
        <v>40</v>
      </c>
      <c r="Y2153" t="s">
        <v>32</v>
      </c>
      <c r="Z2153">
        <v>757.13742067498902</v>
      </c>
    </row>
    <row r="2154" spans="1:26" x14ac:dyDescent="0.3">
      <c r="A2154" t="s">
        <v>49</v>
      </c>
      <c r="B2154" t="s">
        <v>2210</v>
      </c>
      <c r="D2154">
        <v>73</v>
      </c>
      <c r="E2154">
        <v>993</v>
      </c>
      <c r="F2154">
        <v>3531.34018342427</v>
      </c>
      <c r="G2154" t="s">
        <v>35</v>
      </c>
      <c r="H2154">
        <v>61</v>
      </c>
      <c r="I2154">
        <v>2</v>
      </c>
      <c r="J2154">
        <v>41</v>
      </c>
      <c r="K2154">
        <v>9</v>
      </c>
      <c r="L2154" t="s">
        <v>44</v>
      </c>
      <c r="M2154">
        <v>10.8081153220094</v>
      </c>
      <c r="N2154" t="s">
        <v>57</v>
      </c>
      <c r="O2154" t="s">
        <v>29</v>
      </c>
      <c r="P2154">
        <f>VLOOKUP(O2154, Coordinates!$A$2:$C$6, 2, FALSE)</f>
        <v>29.760400000000001</v>
      </c>
      <c r="Q2154">
        <f>VLOOKUP(O2154, Coordinates!$A$2:$C$6, 3, FALSE)</f>
        <v>-95.369799999999998</v>
      </c>
      <c r="R2154">
        <v>1</v>
      </c>
      <c r="S2154">
        <v>923</v>
      </c>
      <c r="T2154">
        <v>18</v>
      </c>
      <c r="U2154">
        <v>60.633266386955299</v>
      </c>
      <c r="V2154" t="s">
        <v>55</v>
      </c>
      <c r="W2154">
        <v>4.0035356318279298</v>
      </c>
      <c r="X2154" t="s">
        <v>46</v>
      </c>
      <c r="Y2154" t="s">
        <v>41</v>
      </c>
      <c r="Z2154">
        <v>889.50948731209996</v>
      </c>
    </row>
    <row r="2155" spans="1:26" x14ac:dyDescent="0.3">
      <c r="A2155" t="s">
        <v>33</v>
      </c>
      <c r="B2155" t="s">
        <v>2211</v>
      </c>
      <c r="C2155">
        <v>66.582410251299194</v>
      </c>
      <c r="D2155">
        <v>33</v>
      </c>
      <c r="E2155">
        <v>454</v>
      </c>
      <c r="F2155">
        <v>9580.9224228205094</v>
      </c>
      <c r="G2155" t="s">
        <v>35</v>
      </c>
      <c r="H2155">
        <v>57</v>
      </c>
      <c r="I2155">
        <v>20</v>
      </c>
      <c r="J2155">
        <v>91</v>
      </c>
      <c r="K2155">
        <v>10</v>
      </c>
      <c r="L2155" t="s">
        <v>44</v>
      </c>
      <c r="M2155">
        <v>9.5040644643849106</v>
      </c>
      <c r="N2155" t="s">
        <v>37</v>
      </c>
      <c r="O2155" t="s">
        <v>58</v>
      </c>
      <c r="P2155">
        <f>VLOOKUP(O2155, Coordinates!$A$2:$C$6, 2, FALSE)</f>
        <v>34.052199999999999</v>
      </c>
      <c r="Q2155">
        <f>VLOOKUP(O2155, Coordinates!$A$2:$C$6, 3, FALSE)</f>
        <v>-118.2437</v>
      </c>
      <c r="R2155">
        <v>29</v>
      </c>
      <c r="S2155">
        <v>941</v>
      </c>
      <c r="T2155">
        <v>17</v>
      </c>
      <c r="U2155">
        <v>60.702680169516498</v>
      </c>
      <c r="V2155" t="s">
        <v>30</v>
      </c>
      <c r="W2155">
        <v>1.29091804953547</v>
      </c>
      <c r="X2155" t="s">
        <v>31</v>
      </c>
      <c r="Y2155" t="s">
        <v>41</v>
      </c>
      <c r="Z2155">
        <v>937.74001659118096</v>
      </c>
    </row>
    <row r="2156" spans="1:26" x14ac:dyDescent="0.3">
      <c r="A2156" t="s">
        <v>72</v>
      </c>
      <c r="B2156" t="s">
        <v>2212</v>
      </c>
      <c r="C2156">
        <v>34.546547825709901</v>
      </c>
      <c r="D2156">
        <v>32</v>
      </c>
      <c r="E2156">
        <v>556</v>
      </c>
      <c r="F2156">
        <v>17287.092531985199</v>
      </c>
      <c r="G2156" t="s">
        <v>54</v>
      </c>
      <c r="H2156">
        <v>56</v>
      </c>
      <c r="I2156">
        <v>16</v>
      </c>
      <c r="J2156">
        <v>93</v>
      </c>
      <c r="K2156">
        <v>3</v>
      </c>
      <c r="L2156" t="s">
        <v>27</v>
      </c>
      <c r="M2156">
        <v>1.2769504648664101</v>
      </c>
      <c r="N2156" t="s">
        <v>51</v>
      </c>
      <c r="O2156" t="s">
        <v>58</v>
      </c>
      <c r="P2156">
        <f>VLOOKUP(O2156, Coordinates!$A$2:$C$6, 2, FALSE)</f>
        <v>34.052199999999999</v>
      </c>
      <c r="Q2156">
        <f>VLOOKUP(O2156, Coordinates!$A$2:$C$6, 3, FALSE)</f>
        <v>-118.2437</v>
      </c>
      <c r="R2156">
        <v>25</v>
      </c>
      <c r="S2156">
        <v>139</v>
      </c>
      <c r="T2156">
        <v>21</v>
      </c>
      <c r="U2156">
        <v>89.605964784502405</v>
      </c>
      <c r="V2156" t="s">
        <v>30</v>
      </c>
      <c r="W2156">
        <v>1.1555748109006001</v>
      </c>
      <c r="X2156" t="s">
        <v>46</v>
      </c>
      <c r="Y2156" t="s">
        <v>32</v>
      </c>
      <c r="Z2156">
        <v>884.65689877636498</v>
      </c>
    </row>
    <row r="2157" spans="1:26" x14ac:dyDescent="0.3">
      <c r="A2157" t="s">
        <v>49</v>
      </c>
      <c r="B2157" t="s">
        <v>2213</v>
      </c>
      <c r="C2157">
        <v>69.728536257928099</v>
      </c>
      <c r="D2157">
        <v>61</v>
      </c>
      <c r="E2157">
        <v>554</v>
      </c>
      <c r="F2157">
        <v>7383.4481050283102</v>
      </c>
      <c r="G2157" t="s">
        <v>54</v>
      </c>
      <c r="H2157">
        <v>0</v>
      </c>
      <c r="I2157">
        <v>10</v>
      </c>
      <c r="J2157">
        <v>61</v>
      </c>
      <c r="K2157">
        <v>9</v>
      </c>
      <c r="L2157" t="s">
        <v>27</v>
      </c>
      <c r="M2157">
        <v>3.7695778544654202</v>
      </c>
      <c r="N2157" t="s">
        <v>57</v>
      </c>
      <c r="O2157" t="s">
        <v>65</v>
      </c>
      <c r="P2157">
        <f>VLOOKUP(O2157, Coordinates!$A$2:$C$6, 2, FALSE)</f>
        <v>41.878100000000003</v>
      </c>
      <c r="Q2157">
        <f>VLOOKUP(O2157, Coordinates!$A$2:$C$6, 3, FALSE)</f>
        <v>-87.629800000000003</v>
      </c>
      <c r="R2157">
        <v>5</v>
      </c>
      <c r="S2157">
        <v>678</v>
      </c>
      <c r="T2157">
        <v>26</v>
      </c>
      <c r="U2157">
        <v>93.641516036530007</v>
      </c>
      <c r="V2157" t="s">
        <v>55</v>
      </c>
      <c r="W2157">
        <v>1.2681716021191101</v>
      </c>
      <c r="X2157" t="s">
        <v>31</v>
      </c>
      <c r="Y2157" t="s">
        <v>32</v>
      </c>
      <c r="Z2157">
        <v>861.71608339627699</v>
      </c>
    </row>
    <row r="2158" spans="1:26" x14ac:dyDescent="0.3">
      <c r="A2158" t="s">
        <v>82</v>
      </c>
      <c r="B2158" t="s">
        <v>2214</v>
      </c>
      <c r="C2158">
        <v>94.317403168947806</v>
      </c>
      <c r="D2158">
        <v>54</v>
      </c>
      <c r="E2158">
        <v>52</v>
      </c>
      <c r="F2158">
        <v>5789.0002045330302</v>
      </c>
      <c r="G2158" t="s">
        <v>54</v>
      </c>
      <c r="H2158">
        <v>72</v>
      </c>
      <c r="I2158">
        <v>2</v>
      </c>
      <c r="J2158">
        <v>73</v>
      </c>
      <c r="K2158">
        <v>5</v>
      </c>
      <c r="L2158" t="s">
        <v>27</v>
      </c>
      <c r="M2158">
        <v>7.6937916113720597</v>
      </c>
      <c r="N2158" t="s">
        <v>28</v>
      </c>
      <c r="O2158" t="s">
        <v>65</v>
      </c>
      <c r="P2158">
        <f>VLOOKUP(O2158, Coordinates!$A$2:$C$6, 2, FALSE)</f>
        <v>41.878100000000003</v>
      </c>
      <c r="Q2158">
        <f>VLOOKUP(O2158, Coordinates!$A$2:$C$6, 3, FALSE)</f>
        <v>-87.629800000000003</v>
      </c>
      <c r="R2158">
        <v>18</v>
      </c>
      <c r="S2158">
        <v>212</v>
      </c>
      <c r="T2158">
        <v>3</v>
      </c>
      <c r="U2158">
        <v>29.8268732635517</v>
      </c>
      <c r="V2158" t="s">
        <v>30</v>
      </c>
      <c r="W2158">
        <v>4.9339253940827597</v>
      </c>
      <c r="X2158" t="s">
        <v>31</v>
      </c>
      <c r="Y2158" t="s">
        <v>41</v>
      </c>
      <c r="Z2158">
        <v>893.62652904691595</v>
      </c>
    </row>
    <row r="2159" spans="1:26" x14ac:dyDescent="0.3">
      <c r="A2159" t="s">
        <v>42</v>
      </c>
      <c r="B2159" t="s">
        <v>2215</v>
      </c>
      <c r="C2159">
        <v>9.4446552723180002</v>
      </c>
      <c r="D2159">
        <v>17</v>
      </c>
      <c r="E2159">
        <v>866</v>
      </c>
      <c r="F2159">
        <v>5300.8936941045704</v>
      </c>
      <c r="G2159" t="s">
        <v>26</v>
      </c>
      <c r="H2159">
        <v>3</v>
      </c>
      <c r="I2159">
        <v>23</v>
      </c>
      <c r="J2159">
        <v>49</v>
      </c>
      <c r="K2159">
        <v>4</v>
      </c>
      <c r="L2159" t="s">
        <v>36</v>
      </c>
      <c r="M2159">
        <v>7.2368010915530601</v>
      </c>
      <c r="N2159" t="s">
        <v>37</v>
      </c>
      <c r="O2159" t="s">
        <v>67</v>
      </c>
      <c r="P2159">
        <f>VLOOKUP(O2159, Coordinates!$A$2:$C$6, 2, FALSE)</f>
        <v>40.712800000000001</v>
      </c>
      <c r="Q2159">
        <f>VLOOKUP(O2159, Coordinates!$A$2:$C$6, 3, FALSE)</f>
        <v>-74.006</v>
      </c>
      <c r="R2159">
        <v>13</v>
      </c>
      <c r="S2159">
        <v>438</v>
      </c>
      <c r="T2159">
        <v>27</v>
      </c>
      <c r="U2159">
        <v>93.798893971533602</v>
      </c>
      <c r="V2159" t="s">
        <v>30</v>
      </c>
      <c r="W2159">
        <v>1.67670239034145</v>
      </c>
      <c r="X2159" t="s">
        <v>52</v>
      </c>
      <c r="Y2159" t="s">
        <v>32</v>
      </c>
      <c r="Z2159">
        <v>507.91454844223398</v>
      </c>
    </row>
    <row r="2160" spans="1:26" x14ac:dyDescent="0.3">
      <c r="A2160" t="s">
        <v>49</v>
      </c>
      <c r="B2160" t="s">
        <v>2216</v>
      </c>
      <c r="C2160">
        <v>35.3669452527459</v>
      </c>
      <c r="D2160">
        <v>19</v>
      </c>
      <c r="E2160">
        <v>591</v>
      </c>
      <c r="F2160">
        <v>3011.448828</v>
      </c>
      <c r="G2160" t="s">
        <v>26</v>
      </c>
      <c r="H2160">
        <v>68</v>
      </c>
      <c r="I2160">
        <v>10</v>
      </c>
      <c r="J2160">
        <v>22</v>
      </c>
      <c r="K2160">
        <v>8</v>
      </c>
      <c r="L2160" t="s">
        <v>36</v>
      </c>
      <c r="M2160">
        <v>8.2334483472094195</v>
      </c>
      <c r="N2160" t="s">
        <v>57</v>
      </c>
      <c r="O2160" t="s">
        <v>67</v>
      </c>
      <c r="P2160">
        <f>VLOOKUP(O2160, Coordinates!$A$2:$C$6, 2, FALSE)</f>
        <v>40.712800000000001</v>
      </c>
      <c r="Q2160">
        <f>VLOOKUP(O2160, Coordinates!$A$2:$C$6, 3, FALSE)</f>
        <v>-74.006</v>
      </c>
      <c r="R2160">
        <v>14</v>
      </c>
      <c r="S2160">
        <v>161</v>
      </c>
      <c r="T2160">
        <v>13</v>
      </c>
      <c r="U2160">
        <v>76.295916044205498</v>
      </c>
      <c r="V2160" t="s">
        <v>30</v>
      </c>
      <c r="W2160">
        <v>3.53223371822344</v>
      </c>
      <c r="X2160" t="s">
        <v>31</v>
      </c>
      <c r="Y2160" t="s">
        <v>41</v>
      </c>
      <c r="Z2160">
        <v>572.94095483177</v>
      </c>
    </row>
    <row r="2161" spans="1:26" x14ac:dyDescent="0.3">
      <c r="A2161" t="s">
        <v>49</v>
      </c>
      <c r="B2161" t="s">
        <v>2217</v>
      </c>
      <c r="C2161">
        <v>46.626788083303701</v>
      </c>
      <c r="D2161">
        <v>91</v>
      </c>
      <c r="E2161">
        <v>725</v>
      </c>
      <c r="F2161">
        <v>7350.3621079884197</v>
      </c>
      <c r="G2161" t="s">
        <v>54</v>
      </c>
      <c r="H2161">
        <v>58</v>
      </c>
      <c r="I2161">
        <v>30</v>
      </c>
      <c r="J2161">
        <v>99</v>
      </c>
      <c r="K2161">
        <v>5</v>
      </c>
      <c r="L2161" t="s">
        <v>27</v>
      </c>
      <c r="M2161">
        <v>11.0073516662884</v>
      </c>
      <c r="N2161" t="s">
        <v>51</v>
      </c>
      <c r="O2161" t="s">
        <v>38</v>
      </c>
      <c r="P2161">
        <f>VLOOKUP(O2161, Coordinates!$A$2:$C$6, 2, FALSE)</f>
        <v>25.761700000000001</v>
      </c>
      <c r="Q2161">
        <f>VLOOKUP(O2161, Coordinates!$A$2:$C$6, 3, FALSE)</f>
        <v>-80.191800000000001</v>
      </c>
      <c r="R2161">
        <v>20</v>
      </c>
      <c r="S2161">
        <v>326</v>
      </c>
      <c r="T2161">
        <v>6</v>
      </c>
      <c r="U2161">
        <v>11.7010654598275</v>
      </c>
      <c r="V2161" t="s">
        <v>30</v>
      </c>
      <c r="W2161">
        <v>4.7950885490567998</v>
      </c>
      <c r="X2161" t="s">
        <v>40</v>
      </c>
      <c r="Y2161" t="s">
        <v>60</v>
      </c>
      <c r="Z2161">
        <v>481.61134113082198</v>
      </c>
    </row>
    <row r="2162" spans="1:26" x14ac:dyDescent="0.3">
      <c r="A2162" t="s">
        <v>82</v>
      </c>
      <c r="B2162" t="s">
        <v>2218</v>
      </c>
      <c r="C2162">
        <v>90.429734097845497</v>
      </c>
      <c r="D2162">
        <v>70</v>
      </c>
      <c r="E2162">
        <v>187</v>
      </c>
      <c r="F2162">
        <v>2717.28542301676</v>
      </c>
      <c r="G2162" t="s">
        <v>35</v>
      </c>
      <c r="H2162">
        <v>45</v>
      </c>
      <c r="I2162">
        <v>30</v>
      </c>
      <c r="J2162">
        <v>89</v>
      </c>
      <c r="K2162">
        <v>3</v>
      </c>
      <c r="L2162" t="s">
        <v>27</v>
      </c>
      <c r="M2162">
        <v>10.548125978975101</v>
      </c>
      <c r="N2162" t="s">
        <v>51</v>
      </c>
      <c r="O2162" t="s">
        <v>58</v>
      </c>
      <c r="P2162">
        <f>VLOOKUP(O2162, Coordinates!$A$2:$C$6, 2, FALSE)</f>
        <v>34.052199999999999</v>
      </c>
      <c r="Q2162">
        <f>VLOOKUP(O2162, Coordinates!$A$2:$C$6, 3, FALSE)</f>
        <v>-118.2437</v>
      </c>
      <c r="R2162">
        <v>3</v>
      </c>
      <c r="S2162">
        <v>273</v>
      </c>
      <c r="T2162">
        <v>28</v>
      </c>
      <c r="U2162">
        <v>31.585883386450401</v>
      </c>
      <c r="V2162" t="s">
        <v>30</v>
      </c>
      <c r="W2162">
        <v>4.0979807340000001</v>
      </c>
      <c r="X2162" t="s">
        <v>31</v>
      </c>
      <c r="Y2162" t="s">
        <v>41</v>
      </c>
      <c r="Z2162">
        <v>766.06031789999997</v>
      </c>
    </row>
    <row r="2163" spans="1:26" x14ac:dyDescent="0.3">
      <c r="A2163" t="s">
        <v>61</v>
      </c>
      <c r="B2163" t="s">
        <v>2219</v>
      </c>
      <c r="C2163">
        <v>96.414837427869799</v>
      </c>
      <c r="D2163">
        <v>99</v>
      </c>
      <c r="E2163">
        <v>439</v>
      </c>
      <c r="F2163">
        <v>5975.5761638629101</v>
      </c>
      <c r="G2163" t="s">
        <v>35</v>
      </c>
      <c r="H2163">
        <v>33</v>
      </c>
      <c r="I2163">
        <v>19</v>
      </c>
      <c r="J2163">
        <v>98</v>
      </c>
      <c r="K2163">
        <v>8</v>
      </c>
      <c r="L2163" t="s">
        <v>44</v>
      </c>
      <c r="M2163">
        <v>6.21938791</v>
      </c>
      <c r="N2163" t="s">
        <v>28</v>
      </c>
      <c r="O2163" t="s">
        <v>67</v>
      </c>
      <c r="P2163">
        <f>VLOOKUP(O2163, Coordinates!$A$2:$C$6, 2, FALSE)</f>
        <v>40.712800000000001</v>
      </c>
      <c r="Q2163">
        <f>VLOOKUP(O2163, Coordinates!$A$2:$C$6, 3, FALSE)</f>
        <v>-74.006</v>
      </c>
      <c r="R2163">
        <v>23</v>
      </c>
      <c r="S2163">
        <v>233</v>
      </c>
      <c r="T2163">
        <v>14</v>
      </c>
      <c r="U2163">
        <v>47.168213092430101</v>
      </c>
      <c r="V2163" t="s">
        <v>39</v>
      </c>
      <c r="W2163">
        <v>2.9880190456532598</v>
      </c>
      <c r="X2163" t="s">
        <v>46</v>
      </c>
      <c r="Y2163" t="s">
        <v>41</v>
      </c>
      <c r="Z2163">
        <v>863.78368649057597</v>
      </c>
    </row>
    <row r="2164" spans="1:26" x14ac:dyDescent="0.3">
      <c r="A2164" t="s">
        <v>33</v>
      </c>
      <c r="B2164" t="s">
        <v>2220</v>
      </c>
      <c r="C2164">
        <v>47.190948417151503</v>
      </c>
      <c r="D2164">
        <v>34</v>
      </c>
      <c r="E2164">
        <v>111</v>
      </c>
      <c r="F2164">
        <v>3279.2082673622499</v>
      </c>
      <c r="G2164" t="s">
        <v>54</v>
      </c>
      <c r="H2164">
        <v>100</v>
      </c>
      <c r="I2164">
        <v>25</v>
      </c>
      <c r="J2164">
        <v>83</v>
      </c>
      <c r="K2164">
        <v>8</v>
      </c>
      <c r="L2164" t="s">
        <v>36</v>
      </c>
      <c r="M2164">
        <v>13.2861427911403</v>
      </c>
      <c r="N2164" t="s">
        <v>45</v>
      </c>
      <c r="O2164" t="s">
        <v>38</v>
      </c>
      <c r="P2164">
        <f>VLOOKUP(O2164, Coordinates!$A$2:$C$6, 2, FALSE)</f>
        <v>25.761700000000001</v>
      </c>
      <c r="Q2164">
        <f>VLOOKUP(O2164, Coordinates!$A$2:$C$6, 3, FALSE)</f>
        <v>-80.191800000000001</v>
      </c>
      <c r="R2164">
        <v>29</v>
      </c>
      <c r="S2164">
        <v>384</v>
      </c>
      <c r="T2164">
        <v>27</v>
      </c>
      <c r="U2164">
        <v>62.454020995517901</v>
      </c>
      <c r="V2164" t="s">
        <v>39</v>
      </c>
      <c r="W2164">
        <v>3.9870734983058602</v>
      </c>
      <c r="X2164" t="s">
        <v>31</v>
      </c>
      <c r="Y2164" t="s">
        <v>60</v>
      </c>
      <c r="Z2164">
        <v>162.728042427318</v>
      </c>
    </row>
    <row r="2165" spans="1:26" x14ac:dyDescent="0.3">
      <c r="A2165" t="s">
        <v>72</v>
      </c>
      <c r="B2165" t="s">
        <v>2221</v>
      </c>
      <c r="C2165">
        <v>20.724142127676402</v>
      </c>
      <c r="D2165">
        <v>84</v>
      </c>
      <c r="E2165">
        <v>192</v>
      </c>
      <c r="F2165">
        <v>3581.1317596624899</v>
      </c>
      <c r="G2165" t="s">
        <v>48</v>
      </c>
      <c r="H2165">
        <v>96</v>
      </c>
      <c r="I2165">
        <v>25</v>
      </c>
      <c r="J2165">
        <v>38</v>
      </c>
      <c r="K2165">
        <v>2</v>
      </c>
      <c r="L2165" t="s">
        <v>27</v>
      </c>
      <c r="M2165">
        <v>1.88105598627926</v>
      </c>
      <c r="N2165" t="s">
        <v>28</v>
      </c>
      <c r="O2165" t="s">
        <v>58</v>
      </c>
      <c r="P2165">
        <f>VLOOKUP(O2165, Coordinates!$A$2:$C$6, 2, FALSE)</f>
        <v>34.052199999999999</v>
      </c>
      <c r="Q2165">
        <f>VLOOKUP(O2165, Coordinates!$A$2:$C$6, 3, FALSE)</f>
        <v>-118.2437</v>
      </c>
      <c r="R2165">
        <v>27</v>
      </c>
      <c r="S2165">
        <v>886</v>
      </c>
      <c r="T2165">
        <v>1</v>
      </c>
      <c r="U2165">
        <v>78.953660816006703</v>
      </c>
      <c r="V2165" t="s">
        <v>30</v>
      </c>
      <c r="W2165">
        <v>0.87469122300000002</v>
      </c>
      <c r="X2165" t="s">
        <v>40</v>
      </c>
      <c r="Y2165" t="s">
        <v>41</v>
      </c>
      <c r="Z2165">
        <v>222.940192992173</v>
      </c>
    </row>
    <row r="2166" spans="1:26" x14ac:dyDescent="0.3">
      <c r="A2166" t="s">
        <v>24</v>
      </c>
      <c r="B2166" t="s">
        <v>2222</v>
      </c>
      <c r="C2166">
        <v>32.064669332914498</v>
      </c>
      <c r="D2166">
        <v>25</v>
      </c>
      <c r="E2166">
        <v>780</v>
      </c>
      <c r="F2166">
        <v>22509.3978717059</v>
      </c>
      <c r="G2166" t="s">
        <v>35</v>
      </c>
      <c r="H2166">
        <v>24</v>
      </c>
      <c r="I2166">
        <v>14</v>
      </c>
      <c r="J2166">
        <v>72</v>
      </c>
      <c r="K2166">
        <v>8</v>
      </c>
      <c r="L2166" t="s">
        <v>36</v>
      </c>
      <c r="M2166">
        <v>9.1831385319999992</v>
      </c>
      <c r="N2166" t="s">
        <v>37</v>
      </c>
      <c r="O2166" t="s">
        <v>67</v>
      </c>
      <c r="P2166">
        <f>VLOOKUP(O2166, Coordinates!$A$2:$C$6, 2, FALSE)</f>
        <v>40.712800000000001</v>
      </c>
      <c r="Q2166">
        <f>VLOOKUP(O2166, Coordinates!$A$2:$C$6, 3, FALSE)</f>
        <v>-74.006</v>
      </c>
      <c r="R2166">
        <v>28</v>
      </c>
      <c r="S2166">
        <v>725</v>
      </c>
      <c r="T2166">
        <v>28</v>
      </c>
      <c r="U2166">
        <v>88.876058280036304</v>
      </c>
      <c r="V2166" t="s">
        <v>55</v>
      </c>
      <c r="W2166">
        <v>2.4621154278419102</v>
      </c>
      <c r="X2166" t="s">
        <v>31</v>
      </c>
      <c r="Y2166" t="s">
        <v>41</v>
      </c>
      <c r="Z2166">
        <v>273.09199993283499</v>
      </c>
    </row>
    <row r="2167" spans="1:26" x14ac:dyDescent="0.3">
      <c r="A2167" t="s">
        <v>61</v>
      </c>
      <c r="B2167" t="s">
        <v>2223</v>
      </c>
      <c r="C2167">
        <v>56.089378800430701</v>
      </c>
      <c r="D2167">
        <v>68</v>
      </c>
      <c r="E2167">
        <v>90</v>
      </c>
      <c r="F2167">
        <v>2797.5545210011201</v>
      </c>
      <c r="G2167" t="s">
        <v>35</v>
      </c>
      <c r="H2167">
        <v>41</v>
      </c>
      <c r="I2167">
        <v>11</v>
      </c>
      <c r="J2167">
        <v>93</v>
      </c>
      <c r="K2167">
        <v>5</v>
      </c>
      <c r="L2167" t="s">
        <v>27</v>
      </c>
      <c r="M2167">
        <v>14.2955968959734</v>
      </c>
      <c r="N2167" t="s">
        <v>28</v>
      </c>
      <c r="O2167" t="s">
        <v>38</v>
      </c>
      <c r="P2167">
        <f>VLOOKUP(O2167, Coordinates!$A$2:$C$6, 2, FALSE)</f>
        <v>25.761700000000001</v>
      </c>
      <c r="Q2167">
        <f>VLOOKUP(O2167, Coordinates!$A$2:$C$6, 3, FALSE)</f>
        <v>-80.191800000000001</v>
      </c>
      <c r="R2167">
        <v>11</v>
      </c>
      <c r="S2167">
        <v>207</v>
      </c>
      <c r="T2167">
        <v>27</v>
      </c>
      <c r="U2167">
        <v>85.303046280000004</v>
      </c>
      <c r="V2167" t="s">
        <v>30</v>
      </c>
      <c r="W2167">
        <v>4.7597224793712103</v>
      </c>
      <c r="X2167" t="s">
        <v>46</v>
      </c>
      <c r="Y2167" t="s">
        <v>60</v>
      </c>
      <c r="Z2167">
        <v>703.498452763003</v>
      </c>
    </row>
    <row r="2168" spans="1:26" x14ac:dyDescent="0.3">
      <c r="A2168" t="s">
        <v>42</v>
      </c>
      <c r="B2168" t="s">
        <v>2224</v>
      </c>
      <c r="C2168">
        <v>31.419453931303799</v>
      </c>
      <c r="D2168">
        <v>74</v>
      </c>
      <c r="E2168">
        <v>840</v>
      </c>
      <c r="F2168">
        <v>3180.79545748702</v>
      </c>
      <c r="G2168" t="s">
        <v>54</v>
      </c>
      <c r="H2168">
        <v>28</v>
      </c>
      <c r="I2168">
        <v>9</v>
      </c>
      <c r="J2168">
        <v>35</v>
      </c>
      <c r="K2168">
        <v>8</v>
      </c>
      <c r="L2168" t="s">
        <v>27</v>
      </c>
      <c r="M2168">
        <v>8.6871401295544892</v>
      </c>
      <c r="N2168" t="s">
        <v>37</v>
      </c>
      <c r="O2168" t="s">
        <v>38</v>
      </c>
      <c r="P2168">
        <f>VLOOKUP(O2168, Coordinates!$A$2:$C$6, 2, FALSE)</f>
        <v>25.761700000000001</v>
      </c>
      <c r="Q2168">
        <f>VLOOKUP(O2168, Coordinates!$A$2:$C$6, 3, FALSE)</f>
        <v>-80.191800000000001</v>
      </c>
      <c r="R2168">
        <v>9</v>
      </c>
      <c r="S2168">
        <v>242</v>
      </c>
      <c r="T2168">
        <v>4</v>
      </c>
      <c r="U2168">
        <v>86.114379150023893</v>
      </c>
      <c r="V2168" t="s">
        <v>30</v>
      </c>
      <c r="W2168">
        <v>4.5224684787532698</v>
      </c>
      <c r="X2168" t="s">
        <v>31</v>
      </c>
      <c r="Y2168" t="s">
        <v>32</v>
      </c>
      <c r="Z2168">
        <v>198.82459801078701</v>
      </c>
    </row>
    <row r="2169" spans="1:26" x14ac:dyDescent="0.3">
      <c r="A2169" t="s">
        <v>49</v>
      </c>
      <c r="B2169" t="s">
        <v>2225</v>
      </c>
      <c r="C2169">
        <v>25.6108433570685</v>
      </c>
      <c r="D2169">
        <v>74</v>
      </c>
      <c r="E2169">
        <v>847</v>
      </c>
      <c r="F2169">
        <v>4726.6104319103397</v>
      </c>
      <c r="G2169" t="s">
        <v>35</v>
      </c>
      <c r="H2169">
        <v>24</v>
      </c>
      <c r="I2169">
        <v>7</v>
      </c>
      <c r="J2169">
        <v>68</v>
      </c>
      <c r="K2169">
        <v>5</v>
      </c>
      <c r="L2169" t="s">
        <v>44</v>
      </c>
      <c r="M2169">
        <v>7.3714882113799796</v>
      </c>
      <c r="N2169" t="s">
        <v>45</v>
      </c>
      <c r="O2169" t="s">
        <v>38</v>
      </c>
      <c r="P2169">
        <f>VLOOKUP(O2169, Coordinates!$A$2:$C$6, 2, FALSE)</f>
        <v>25.761700000000001</v>
      </c>
      <c r="Q2169">
        <f>VLOOKUP(O2169, Coordinates!$A$2:$C$6, 3, FALSE)</f>
        <v>-80.191800000000001</v>
      </c>
      <c r="R2169">
        <v>26</v>
      </c>
      <c r="S2169">
        <v>668</v>
      </c>
      <c r="T2169">
        <v>22</v>
      </c>
      <c r="U2169">
        <v>67.149893733451904</v>
      </c>
      <c r="V2169" t="s">
        <v>55</v>
      </c>
      <c r="W2169">
        <v>4.6776081685785504</v>
      </c>
      <c r="X2169" t="s">
        <v>52</v>
      </c>
      <c r="Y2169" t="s">
        <v>32</v>
      </c>
      <c r="Z2169">
        <v>586.73776838064703</v>
      </c>
    </row>
    <row r="2170" spans="1:26" x14ac:dyDescent="0.3">
      <c r="A2170" t="s">
        <v>82</v>
      </c>
      <c r="B2170" t="s">
        <v>2226</v>
      </c>
      <c r="C2170">
        <v>32.360507862783898</v>
      </c>
      <c r="D2170">
        <v>88</v>
      </c>
      <c r="E2170">
        <v>460</v>
      </c>
      <c r="F2170">
        <v>3094.5721768304802</v>
      </c>
      <c r="G2170" t="s">
        <v>26</v>
      </c>
      <c r="H2170">
        <v>53</v>
      </c>
      <c r="I2170">
        <v>15</v>
      </c>
      <c r="J2170">
        <v>58</v>
      </c>
      <c r="K2170">
        <v>1</v>
      </c>
      <c r="L2170" t="s">
        <v>44</v>
      </c>
      <c r="M2170">
        <v>2.8748462417499399</v>
      </c>
      <c r="N2170" t="s">
        <v>28</v>
      </c>
      <c r="O2170" t="s">
        <v>38</v>
      </c>
      <c r="P2170">
        <f>VLOOKUP(O2170, Coordinates!$A$2:$C$6, 2, FALSE)</f>
        <v>25.761700000000001</v>
      </c>
      <c r="Q2170">
        <f>VLOOKUP(O2170, Coordinates!$A$2:$C$6, 3, FALSE)</f>
        <v>-80.191800000000001</v>
      </c>
      <c r="R2170">
        <v>28</v>
      </c>
      <c r="S2170">
        <v>393</v>
      </c>
      <c r="T2170">
        <v>18</v>
      </c>
      <c r="U2170">
        <v>92.898451946412806</v>
      </c>
      <c r="V2170" t="s">
        <v>55</v>
      </c>
      <c r="W2170">
        <v>1.4385987238742</v>
      </c>
      <c r="X2170" t="s">
        <v>31</v>
      </c>
      <c r="Y2170" t="s">
        <v>32</v>
      </c>
      <c r="Z2170">
        <v>856.75147911394197</v>
      </c>
    </row>
    <row r="2171" spans="1:26" x14ac:dyDescent="0.3">
      <c r="A2171" t="s">
        <v>82</v>
      </c>
      <c r="B2171" t="s">
        <v>2227</v>
      </c>
      <c r="C2171">
        <v>57.8511606894225</v>
      </c>
      <c r="D2171">
        <v>85</v>
      </c>
      <c r="E2171">
        <v>141</v>
      </c>
      <c r="F2171">
        <v>5422.1418124190604</v>
      </c>
      <c r="G2171" t="s">
        <v>26</v>
      </c>
      <c r="H2171">
        <v>72</v>
      </c>
      <c r="I2171">
        <v>20</v>
      </c>
      <c r="J2171">
        <v>62</v>
      </c>
      <c r="K2171">
        <v>2</v>
      </c>
      <c r="L2171" t="s">
        <v>44</v>
      </c>
      <c r="M2171">
        <v>12.3426473338025</v>
      </c>
      <c r="N2171" t="s">
        <v>51</v>
      </c>
      <c r="O2171" t="s">
        <v>65</v>
      </c>
      <c r="P2171">
        <f>VLOOKUP(O2171, Coordinates!$A$2:$C$6, 2, FALSE)</f>
        <v>41.878100000000003</v>
      </c>
      <c r="Q2171">
        <f>VLOOKUP(O2171, Coordinates!$A$2:$C$6, 3, FALSE)</f>
        <v>-87.629800000000003</v>
      </c>
      <c r="R2171">
        <v>19</v>
      </c>
      <c r="S2171">
        <v>376</v>
      </c>
      <c r="T2171">
        <v>11</v>
      </c>
      <c r="U2171">
        <v>83.168418420746903</v>
      </c>
      <c r="V2171" t="s">
        <v>30</v>
      </c>
      <c r="W2171">
        <v>2.94405657777987</v>
      </c>
      <c r="X2171" t="s">
        <v>46</v>
      </c>
      <c r="Y2171" t="s">
        <v>32</v>
      </c>
      <c r="Z2171">
        <v>952.76307102286898</v>
      </c>
    </row>
    <row r="2172" spans="1:26" x14ac:dyDescent="0.3">
      <c r="A2172" t="s">
        <v>33</v>
      </c>
      <c r="B2172" t="s">
        <v>2228</v>
      </c>
      <c r="C2172">
        <v>7.7697426720984497</v>
      </c>
      <c r="D2172">
        <v>11</v>
      </c>
      <c r="E2172">
        <v>862</v>
      </c>
      <c r="F2172">
        <v>8852.1897090000002</v>
      </c>
      <c r="G2172" t="s">
        <v>35</v>
      </c>
      <c r="H2172">
        <v>66</v>
      </c>
      <c r="I2172">
        <v>17</v>
      </c>
      <c r="J2172">
        <v>97</v>
      </c>
      <c r="K2172">
        <v>6</v>
      </c>
      <c r="L2172" t="s">
        <v>27</v>
      </c>
      <c r="M2172">
        <v>6.2331284605727602</v>
      </c>
      <c r="N2172" t="s">
        <v>37</v>
      </c>
      <c r="O2172" t="s">
        <v>38</v>
      </c>
      <c r="P2172">
        <f>VLOOKUP(O2172, Coordinates!$A$2:$C$6, 2, FALSE)</f>
        <v>25.761700000000001</v>
      </c>
      <c r="Q2172">
        <f>VLOOKUP(O2172, Coordinates!$A$2:$C$6, 3, FALSE)</f>
        <v>-80.191800000000001</v>
      </c>
      <c r="R2172">
        <v>7</v>
      </c>
      <c r="S2172">
        <v>591</v>
      </c>
      <c r="T2172">
        <v>11</v>
      </c>
      <c r="U2172">
        <v>29.946129336418601</v>
      </c>
      <c r="V2172" t="s">
        <v>30</v>
      </c>
      <c r="W2172">
        <v>2.3871524612648201</v>
      </c>
      <c r="X2172" t="s">
        <v>46</v>
      </c>
      <c r="Y2172" t="s">
        <v>32</v>
      </c>
      <c r="Z2172">
        <v>485.40894180970201</v>
      </c>
    </row>
    <row r="2173" spans="1:26" x14ac:dyDescent="0.3">
      <c r="A2173" t="s">
        <v>61</v>
      </c>
      <c r="B2173" t="s">
        <v>2229</v>
      </c>
      <c r="C2173">
        <v>91.188649713858496</v>
      </c>
      <c r="D2173">
        <v>91</v>
      </c>
      <c r="E2173">
        <v>902</v>
      </c>
      <c r="F2173">
        <v>7408.5707926825298</v>
      </c>
      <c r="G2173" t="s">
        <v>26</v>
      </c>
      <c r="H2173">
        <v>14</v>
      </c>
      <c r="I2173">
        <v>3</v>
      </c>
      <c r="J2173">
        <v>40</v>
      </c>
      <c r="K2173">
        <v>3</v>
      </c>
      <c r="L2173" t="s">
        <v>44</v>
      </c>
      <c r="M2173">
        <v>10.817442732785601</v>
      </c>
      <c r="N2173" t="s">
        <v>37</v>
      </c>
      <c r="O2173" t="s">
        <v>29</v>
      </c>
      <c r="P2173">
        <f>VLOOKUP(O2173, Coordinates!$A$2:$C$6, 2, FALSE)</f>
        <v>29.760400000000001</v>
      </c>
      <c r="Q2173">
        <f>VLOOKUP(O2173, Coordinates!$A$2:$C$6, 3, FALSE)</f>
        <v>-95.369799999999998</v>
      </c>
      <c r="R2173">
        <v>22</v>
      </c>
      <c r="S2173">
        <v>662</v>
      </c>
      <c r="T2173">
        <v>8</v>
      </c>
      <c r="U2173">
        <v>81.880917967932405</v>
      </c>
      <c r="V2173" t="s">
        <v>30</v>
      </c>
      <c r="W2173">
        <v>0.59681404688256101</v>
      </c>
      <c r="X2173" t="s">
        <v>46</v>
      </c>
      <c r="Y2173" t="s">
        <v>60</v>
      </c>
      <c r="Z2173">
        <v>580.08661783355797</v>
      </c>
    </row>
    <row r="2174" spans="1:26" x14ac:dyDescent="0.3">
      <c r="A2174" t="s">
        <v>24</v>
      </c>
      <c r="B2174" t="s">
        <v>2230</v>
      </c>
      <c r="C2174">
        <v>31.766440996660901</v>
      </c>
      <c r="D2174">
        <v>16</v>
      </c>
      <c r="E2174">
        <v>340</v>
      </c>
      <c r="F2174">
        <v>9720.5309449782399</v>
      </c>
      <c r="G2174" t="s">
        <v>48</v>
      </c>
      <c r="H2174">
        <v>3</v>
      </c>
      <c r="I2174">
        <v>15</v>
      </c>
      <c r="J2174">
        <v>21</v>
      </c>
      <c r="K2174">
        <v>8</v>
      </c>
      <c r="L2174" t="s">
        <v>27</v>
      </c>
      <c r="M2174">
        <v>3.7656563256987901</v>
      </c>
      <c r="N2174" t="s">
        <v>51</v>
      </c>
      <c r="O2174" t="s">
        <v>38</v>
      </c>
      <c r="P2174">
        <f>VLOOKUP(O2174, Coordinates!$A$2:$C$6, 2, FALSE)</f>
        <v>25.761700000000001</v>
      </c>
      <c r="Q2174">
        <f>VLOOKUP(O2174, Coordinates!$A$2:$C$6, 3, FALSE)</f>
        <v>-80.191800000000001</v>
      </c>
      <c r="R2174">
        <v>21</v>
      </c>
      <c r="S2174">
        <v>570</v>
      </c>
      <c r="T2174">
        <v>4</v>
      </c>
      <c r="U2174">
        <v>75.186221905285194</v>
      </c>
      <c r="V2174" t="s">
        <v>55</v>
      </c>
      <c r="W2174">
        <v>1.84653593499159</v>
      </c>
      <c r="X2174" t="s">
        <v>52</v>
      </c>
      <c r="Y2174" t="s">
        <v>60</v>
      </c>
      <c r="Z2174">
        <v>848.37522986505905</v>
      </c>
    </row>
    <row r="2175" spans="1:26" x14ac:dyDescent="0.3">
      <c r="A2175" t="s">
        <v>33</v>
      </c>
      <c r="B2175" t="s">
        <v>2231</v>
      </c>
      <c r="C2175">
        <v>25.9084243027817</v>
      </c>
      <c r="D2175">
        <v>90</v>
      </c>
      <c r="E2175">
        <v>869</v>
      </c>
      <c r="F2175">
        <v>1801.02860184411</v>
      </c>
      <c r="G2175" t="s">
        <v>35</v>
      </c>
      <c r="H2175">
        <v>3</v>
      </c>
      <c r="I2175">
        <v>26</v>
      </c>
      <c r="J2175">
        <v>67</v>
      </c>
      <c r="K2175">
        <v>5</v>
      </c>
      <c r="L2175" t="s">
        <v>36</v>
      </c>
      <c r="M2175">
        <v>1.5860848410500801</v>
      </c>
      <c r="N2175" t="s">
        <v>28</v>
      </c>
      <c r="O2175" t="s">
        <v>67</v>
      </c>
      <c r="P2175">
        <f>VLOOKUP(O2175, Coordinates!$A$2:$C$6, 2, FALSE)</f>
        <v>40.712800000000001</v>
      </c>
      <c r="Q2175">
        <f>VLOOKUP(O2175, Coordinates!$A$2:$C$6, 3, FALSE)</f>
        <v>-74.006</v>
      </c>
      <c r="R2175">
        <v>10</v>
      </c>
      <c r="S2175">
        <v>375</v>
      </c>
      <c r="T2175">
        <v>2</v>
      </c>
      <c r="U2175">
        <v>22.384580231658699</v>
      </c>
      <c r="V2175" t="s">
        <v>30</v>
      </c>
      <c r="W2175">
        <v>4.7735718382764798</v>
      </c>
      <c r="X2175" t="s">
        <v>31</v>
      </c>
      <c r="Y2175" t="s">
        <v>41</v>
      </c>
      <c r="Z2175">
        <v>942.16760991651995</v>
      </c>
    </row>
    <row r="2176" spans="1:26" x14ac:dyDescent="0.3">
      <c r="A2176" t="s">
        <v>49</v>
      </c>
      <c r="B2176" t="s">
        <v>2232</v>
      </c>
      <c r="C2176">
        <v>54.236236759999997</v>
      </c>
      <c r="D2176">
        <v>61</v>
      </c>
      <c r="E2176">
        <v>842</v>
      </c>
      <c r="F2176">
        <v>7245.9289755034797</v>
      </c>
      <c r="G2176" t="s">
        <v>54</v>
      </c>
      <c r="H2176">
        <v>19</v>
      </c>
      <c r="I2176">
        <v>8</v>
      </c>
      <c r="J2176">
        <v>45</v>
      </c>
      <c r="K2176">
        <v>3</v>
      </c>
      <c r="L2176" t="s">
        <v>36</v>
      </c>
      <c r="M2176">
        <v>5.2765443353919999</v>
      </c>
      <c r="N2176" t="s">
        <v>45</v>
      </c>
      <c r="O2176" t="s">
        <v>38</v>
      </c>
      <c r="P2176">
        <f>VLOOKUP(O2176, Coordinates!$A$2:$C$6, 2, FALSE)</f>
        <v>25.761700000000001</v>
      </c>
      <c r="Q2176">
        <f>VLOOKUP(O2176, Coordinates!$A$2:$C$6, 3, FALSE)</f>
        <v>-80.191800000000001</v>
      </c>
      <c r="R2176">
        <v>26</v>
      </c>
      <c r="S2176">
        <v>333</v>
      </c>
      <c r="T2176">
        <v>1</v>
      </c>
      <c r="U2176">
        <v>98.082809631192603</v>
      </c>
      <c r="V2176" t="s">
        <v>39</v>
      </c>
      <c r="W2176">
        <v>4.60490198147843</v>
      </c>
      <c r="X2176" t="s">
        <v>46</v>
      </c>
      <c r="Y2176" t="s">
        <v>32</v>
      </c>
      <c r="Z2176">
        <v>450.87528156213602</v>
      </c>
    </row>
    <row r="2177" spans="1:26" x14ac:dyDescent="0.3">
      <c r="A2177" t="s">
        <v>33</v>
      </c>
      <c r="B2177" t="s">
        <v>2233</v>
      </c>
      <c r="C2177">
        <v>72.460902802041502</v>
      </c>
      <c r="D2177">
        <v>94</v>
      </c>
      <c r="E2177">
        <v>966</v>
      </c>
      <c r="F2177">
        <v>2497.7285587984502</v>
      </c>
      <c r="G2177" t="s">
        <v>26</v>
      </c>
      <c r="H2177">
        <v>4</v>
      </c>
      <c r="I2177">
        <v>23</v>
      </c>
      <c r="J2177">
        <v>19</v>
      </c>
      <c r="K2177">
        <v>10</v>
      </c>
      <c r="L2177" t="s">
        <v>27</v>
      </c>
      <c r="M2177">
        <v>4.9397940603964701</v>
      </c>
      <c r="N2177" t="s">
        <v>57</v>
      </c>
      <c r="O2177" t="s">
        <v>67</v>
      </c>
      <c r="P2177">
        <f>VLOOKUP(O2177, Coordinates!$A$2:$C$6, 2, FALSE)</f>
        <v>40.712800000000001</v>
      </c>
      <c r="Q2177">
        <f>VLOOKUP(O2177, Coordinates!$A$2:$C$6, 3, FALSE)</f>
        <v>-74.006</v>
      </c>
      <c r="R2177">
        <v>5</v>
      </c>
      <c r="S2177">
        <v>341</v>
      </c>
      <c r="T2177">
        <v>24</v>
      </c>
      <c r="U2177">
        <v>12.249351709308099</v>
      </c>
      <c r="V2177" t="s">
        <v>55</v>
      </c>
      <c r="W2177">
        <v>2.7971294051329498</v>
      </c>
      <c r="X2177" t="s">
        <v>52</v>
      </c>
      <c r="Y2177" t="s">
        <v>60</v>
      </c>
      <c r="Z2177">
        <v>417.754466536221</v>
      </c>
    </row>
    <row r="2178" spans="1:26" x14ac:dyDescent="0.3">
      <c r="A2178" t="s">
        <v>72</v>
      </c>
      <c r="B2178" t="s">
        <v>2234</v>
      </c>
      <c r="C2178">
        <v>23.793447575476002</v>
      </c>
      <c r="D2178">
        <v>80</v>
      </c>
      <c r="E2178">
        <v>473</v>
      </c>
      <c r="F2178">
        <v>10128.8706328801</v>
      </c>
      <c r="G2178" t="s">
        <v>48</v>
      </c>
      <c r="H2178">
        <v>36</v>
      </c>
      <c r="I2178">
        <v>26</v>
      </c>
      <c r="J2178">
        <v>15</v>
      </c>
      <c r="K2178">
        <v>7</v>
      </c>
      <c r="L2178" t="s">
        <v>44</v>
      </c>
      <c r="M2178">
        <v>13.2286535493818</v>
      </c>
      <c r="N2178" t="s">
        <v>28</v>
      </c>
      <c r="O2178" t="s">
        <v>58</v>
      </c>
      <c r="P2178">
        <f>VLOOKUP(O2178, Coordinates!$A$2:$C$6, 2, FALSE)</f>
        <v>34.052199999999999</v>
      </c>
      <c r="Q2178">
        <f>VLOOKUP(O2178, Coordinates!$A$2:$C$6, 3, FALSE)</f>
        <v>-118.2437</v>
      </c>
      <c r="R2178">
        <v>25</v>
      </c>
      <c r="S2178">
        <v>357</v>
      </c>
      <c r="T2178">
        <v>10</v>
      </c>
      <c r="U2178">
        <v>83.364057305137806</v>
      </c>
      <c r="V2178" t="s">
        <v>39</v>
      </c>
      <c r="W2178">
        <v>3.1763065233861298</v>
      </c>
      <c r="X2178" t="s">
        <v>52</v>
      </c>
      <c r="Y2178" t="s">
        <v>60</v>
      </c>
      <c r="Z2178">
        <v>505.760177976666</v>
      </c>
    </row>
    <row r="2179" spans="1:26" x14ac:dyDescent="0.3">
      <c r="A2179" t="s">
        <v>82</v>
      </c>
      <c r="B2179" t="s">
        <v>2235</v>
      </c>
      <c r="C2179">
        <v>35.180996266980401</v>
      </c>
      <c r="D2179">
        <v>7</v>
      </c>
      <c r="E2179">
        <v>606</v>
      </c>
      <c r="F2179">
        <v>3250.51082659137</v>
      </c>
      <c r="G2179" t="s">
        <v>48</v>
      </c>
      <c r="H2179">
        <v>61</v>
      </c>
      <c r="I2179">
        <v>10</v>
      </c>
      <c r="J2179">
        <v>16</v>
      </c>
      <c r="K2179">
        <v>8</v>
      </c>
      <c r="L2179" t="s">
        <v>44</v>
      </c>
      <c r="M2179">
        <v>13.1054329001865</v>
      </c>
      <c r="N2179" t="s">
        <v>28</v>
      </c>
      <c r="O2179" t="s">
        <v>65</v>
      </c>
      <c r="P2179">
        <f>VLOOKUP(O2179, Coordinates!$A$2:$C$6, 2, FALSE)</f>
        <v>41.878100000000003</v>
      </c>
      <c r="Q2179">
        <f>VLOOKUP(O2179, Coordinates!$A$2:$C$6, 3, FALSE)</f>
        <v>-87.629800000000003</v>
      </c>
      <c r="R2179">
        <v>28</v>
      </c>
      <c r="S2179">
        <v>848</v>
      </c>
      <c r="T2179">
        <v>17</v>
      </c>
      <c r="U2179">
        <v>79.650382508063501</v>
      </c>
      <c r="V2179" t="s">
        <v>55</v>
      </c>
      <c r="W2179">
        <v>1.1095314042947799</v>
      </c>
      <c r="X2179" t="s">
        <v>46</v>
      </c>
      <c r="Y2179" t="s">
        <v>32</v>
      </c>
      <c r="Z2179">
        <v>328.424248077063</v>
      </c>
    </row>
    <row r="2180" spans="1:26" x14ac:dyDescent="0.3">
      <c r="A2180" t="s">
        <v>82</v>
      </c>
      <c r="B2180" t="s">
        <v>2236</v>
      </c>
      <c r="C2180">
        <v>97.0240875295639</v>
      </c>
      <c r="D2180">
        <v>16</v>
      </c>
      <c r="E2180">
        <v>575</v>
      </c>
      <c r="F2180">
        <v>4753.4385548881</v>
      </c>
      <c r="G2180" t="s">
        <v>26</v>
      </c>
      <c r="H2180">
        <v>7</v>
      </c>
      <c r="I2180">
        <v>2</v>
      </c>
      <c r="J2180">
        <v>40</v>
      </c>
      <c r="K2180">
        <v>4</v>
      </c>
      <c r="L2180" t="s">
        <v>36</v>
      </c>
      <c r="M2180">
        <v>8.4745191159999997</v>
      </c>
      <c r="N2180" t="s">
        <v>37</v>
      </c>
      <c r="O2180" t="s">
        <v>58</v>
      </c>
      <c r="P2180">
        <f>VLOOKUP(O2180, Coordinates!$A$2:$C$6, 2, FALSE)</f>
        <v>34.052199999999999</v>
      </c>
      <c r="Q2180">
        <f>VLOOKUP(O2180, Coordinates!$A$2:$C$6, 3, FALSE)</f>
        <v>-118.2437</v>
      </c>
      <c r="R2180">
        <v>4</v>
      </c>
      <c r="S2180">
        <v>131</v>
      </c>
      <c r="T2180">
        <v>7</v>
      </c>
      <c r="U2180">
        <v>81.139429229162801</v>
      </c>
      <c r="V2180" t="s">
        <v>55</v>
      </c>
      <c r="W2180">
        <v>3.70976363210315</v>
      </c>
      <c r="X2180" t="s">
        <v>40</v>
      </c>
      <c r="Y2180" t="s">
        <v>60</v>
      </c>
      <c r="Z2180">
        <v>873.69787589999999</v>
      </c>
    </row>
    <row r="2181" spans="1:26" x14ac:dyDescent="0.3">
      <c r="A2181" t="s">
        <v>42</v>
      </c>
      <c r="B2181" t="s">
        <v>2237</v>
      </c>
      <c r="C2181">
        <v>29.9225818441898</v>
      </c>
      <c r="D2181">
        <v>99</v>
      </c>
      <c r="E2181">
        <v>407</v>
      </c>
      <c r="F2181">
        <v>4154.2318208613497</v>
      </c>
      <c r="G2181" t="s">
        <v>48</v>
      </c>
      <c r="H2181">
        <v>36</v>
      </c>
      <c r="I2181">
        <v>14</v>
      </c>
      <c r="J2181">
        <v>100</v>
      </c>
      <c r="K2181">
        <v>9</v>
      </c>
      <c r="L2181" t="s">
        <v>27</v>
      </c>
      <c r="M2181">
        <v>1.2659852380107099</v>
      </c>
      <c r="N2181" t="s">
        <v>37</v>
      </c>
      <c r="O2181" t="s">
        <v>29</v>
      </c>
      <c r="P2181">
        <f>VLOOKUP(O2181, Coordinates!$A$2:$C$6, 2, FALSE)</f>
        <v>29.760400000000001</v>
      </c>
      <c r="Q2181">
        <f>VLOOKUP(O2181, Coordinates!$A$2:$C$6, 3, FALSE)</f>
        <v>-95.369799999999998</v>
      </c>
      <c r="R2181">
        <v>17</v>
      </c>
      <c r="S2181">
        <v>466</v>
      </c>
      <c r="T2181">
        <v>7</v>
      </c>
      <c r="U2181">
        <v>76.120531223164093</v>
      </c>
      <c r="V2181" t="s">
        <v>30</v>
      </c>
      <c r="W2181">
        <v>0.262480935674406</v>
      </c>
      <c r="X2181" t="s">
        <v>31</v>
      </c>
      <c r="Y2181" t="s">
        <v>41</v>
      </c>
      <c r="Z2181">
        <v>386.37795493464</v>
      </c>
    </row>
    <row r="2182" spans="1:26" x14ac:dyDescent="0.3">
      <c r="A2182" t="s">
        <v>42</v>
      </c>
      <c r="B2182" t="s">
        <v>2238</v>
      </c>
      <c r="C2182">
        <v>34.739763780998899</v>
      </c>
      <c r="D2182">
        <v>16</v>
      </c>
      <c r="E2182">
        <v>544</v>
      </c>
      <c r="F2182">
        <v>8729.3252320737101</v>
      </c>
      <c r="G2182" t="s">
        <v>35</v>
      </c>
      <c r="H2182">
        <v>44</v>
      </c>
      <c r="I2182">
        <v>8</v>
      </c>
      <c r="J2182">
        <v>81</v>
      </c>
      <c r="K2182">
        <v>6</v>
      </c>
      <c r="L2182" t="s">
        <v>27</v>
      </c>
      <c r="M2182">
        <v>4.1965452808866601</v>
      </c>
      <c r="N2182" t="s">
        <v>45</v>
      </c>
      <c r="O2182" t="s">
        <v>38</v>
      </c>
      <c r="P2182">
        <f>VLOOKUP(O2182, Coordinates!$A$2:$C$6, 2, FALSE)</f>
        <v>25.761700000000001</v>
      </c>
      <c r="Q2182">
        <f>VLOOKUP(O2182, Coordinates!$A$2:$C$6, 3, FALSE)</f>
        <v>-80.191800000000001</v>
      </c>
      <c r="R2182">
        <v>29</v>
      </c>
      <c r="S2182">
        <v>447</v>
      </c>
      <c r="T2182">
        <v>13</v>
      </c>
      <c r="U2182">
        <v>57.641623547784498</v>
      </c>
      <c r="V2182" t="s">
        <v>39</v>
      </c>
      <c r="W2182">
        <v>4.6077515204599804</v>
      </c>
      <c r="X2182" t="s">
        <v>46</v>
      </c>
      <c r="Y2182" t="s">
        <v>41</v>
      </c>
      <c r="Z2182">
        <v>504.51158383165398</v>
      </c>
    </row>
    <row r="2183" spans="1:26" x14ac:dyDescent="0.3">
      <c r="A2183" t="s">
        <v>24</v>
      </c>
      <c r="B2183" t="s">
        <v>2239</v>
      </c>
      <c r="C2183">
        <v>31.384454603961501</v>
      </c>
      <c r="D2183">
        <v>40</v>
      </c>
      <c r="E2183">
        <v>76</v>
      </c>
      <c r="F2183">
        <v>2146.6966949109601</v>
      </c>
      <c r="G2183" t="s">
        <v>48</v>
      </c>
      <c r="H2183">
        <v>96</v>
      </c>
      <c r="I2183">
        <v>23</v>
      </c>
      <c r="J2183">
        <v>12</v>
      </c>
      <c r="K2183">
        <v>1</v>
      </c>
      <c r="L2183" t="s">
        <v>27</v>
      </c>
      <c r="M2183">
        <v>9.9461763189880603</v>
      </c>
      <c r="N2183" t="s">
        <v>45</v>
      </c>
      <c r="O2183" t="s">
        <v>38</v>
      </c>
      <c r="P2183">
        <f>VLOOKUP(O2183, Coordinates!$A$2:$C$6, 2, FALSE)</f>
        <v>25.761700000000001</v>
      </c>
      <c r="Q2183">
        <f>VLOOKUP(O2183, Coordinates!$A$2:$C$6, 3, FALSE)</f>
        <v>-80.191800000000001</v>
      </c>
      <c r="R2183">
        <v>26</v>
      </c>
      <c r="S2183">
        <v>859</v>
      </c>
      <c r="T2183">
        <v>22</v>
      </c>
      <c r="U2183">
        <v>82.008141126760407</v>
      </c>
      <c r="V2183" t="s">
        <v>55</v>
      </c>
      <c r="W2183">
        <v>4.6023842691738102</v>
      </c>
      <c r="X2183" t="s">
        <v>31</v>
      </c>
      <c r="Y2183" t="s">
        <v>32</v>
      </c>
      <c r="Z2183">
        <v>387.966940486189</v>
      </c>
    </row>
    <row r="2184" spans="1:26" x14ac:dyDescent="0.3">
      <c r="A2184" t="s">
        <v>49</v>
      </c>
      <c r="B2184" t="s">
        <v>2240</v>
      </c>
      <c r="D2184">
        <v>12</v>
      </c>
      <c r="E2184">
        <v>786</v>
      </c>
      <c r="F2184">
        <v>6090.8039414630903</v>
      </c>
      <c r="G2184" t="s">
        <v>26</v>
      </c>
      <c r="H2184">
        <v>32</v>
      </c>
      <c r="I2184">
        <v>27</v>
      </c>
      <c r="J2184">
        <v>56</v>
      </c>
      <c r="K2184">
        <v>5</v>
      </c>
      <c r="L2184" t="s">
        <v>36</v>
      </c>
      <c r="M2184">
        <v>2.41971762002514</v>
      </c>
      <c r="N2184" t="s">
        <v>45</v>
      </c>
      <c r="O2184" t="s">
        <v>38</v>
      </c>
      <c r="P2184">
        <f>VLOOKUP(O2184, Coordinates!$A$2:$C$6, 2, FALSE)</f>
        <v>25.761700000000001</v>
      </c>
      <c r="Q2184">
        <f>VLOOKUP(O2184, Coordinates!$A$2:$C$6, 3, FALSE)</f>
        <v>-80.191800000000001</v>
      </c>
      <c r="R2184">
        <v>28</v>
      </c>
      <c r="S2184">
        <v>231</v>
      </c>
      <c r="T2184">
        <v>24</v>
      </c>
      <c r="U2184">
        <v>72.993896708780198</v>
      </c>
      <c r="V2184" t="s">
        <v>55</v>
      </c>
      <c r="W2184">
        <v>3.82781584071759</v>
      </c>
      <c r="X2184" t="s">
        <v>52</v>
      </c>
      <c r="Y2184" t="s">
        <v>32</v>
      </c>
      <c r="Z2184">
        <v>207.02894695274799</v>
      </c>
    </row>
    <row r="2185" spans="1:26" x14ac:dyDescent="0.3">
      <c r="A2185" t="s">
        <v>72</v>
      </c>
      <c r="B2185" t="s">
        <v>2241</v>
      </c>
      <c r="C2185">
        <v>28.189005090162102</v>
      </c>
      <c r="D2185">
        <v>35</v>
      </c>
      <c r="E2185">
        <v>28</v>
      </c>
      <c r="F2185">
        <v>710.36292827208501</v>
      </c>
      <c r="G2185" t="s">
        <v>48</v>
      </c>
      <c r="H2185">
        <v>6</v>
      </c>
      <c r="I2185">
        <v>10</v>
      </c>
      <c r="J2185">
        <v>94</v>
      </c>
      <c r="K2185">
        <v>5</v>
      </c>
      <c r="L2185" t="s">
        <v>36</v>
      </c>
      <c r="M2185">
        <v>10.8087117060722</v>
      </c>
      <c r="N2185" t="s">
        <v>51</v>
      </c>
      <c r="O2185" t="s">
        <v>67</v>
      </c>
      <c r="P2185">
        <f>VLOOKUP(O2185, Coordinates!$A$2:$C$6, 2, FALSE)</f>
        <v>40.712800000000001</v>
      </c>
      <c r="Q2185">
        <f>VLOOKUP(O2185, Coordinates!$A$2:$C$6, 3, FALSE)</f>
        <v>-74.006</v>
      </c>
      <c r="R2185">
        <v>17</v>
      </c>
      <c r="S2185">
        <v>874</v>
      </c>
      <c r="T2185">
        <v>26</v>
      </c>
      <c r="U2185">
        <v>93.6562749923349</v>
      </c>
      <c r="V2185" t="s">
        <v>30</v>
      </c>
      <c r="W2185">
        <v>4.2513059935104502</v>
      </c>
      <c r="X2185" t="s">
        <v>31</v>
      </c>
      <c r="Y2185" t="s">
        <v>32</v>
      </c>
      <c r="Z2185">
        <v>645.982650794645</v>
      </c>
    </row>
    <row r="2186" spans="1:26" x14ac:dyDescent="0.3">
      <c r="A2186" t="s">
        <v>61</v>
      </c>
      <c r="B2186" t="s">
        <v>2242</v>
      </c>
      <c r="C2186">
        <v>41.063592622908601</v>
      </c>
      <c r="D2186">
        <v>21</v>
      </c>
      <c r="E2186">
        <v>628</v>
      </c>
      <c r="F2186">
        <v>7343.1625249999997</v>
      </c>
      <c r="H2186">
        <v>21</v>
      </c>
      <c r="I2186">
        <v>25</v>
      </c>
      <c r="J2186">
        <v>10</v>
      </c>
      <c r="K2186">
        <v>7</v>
      </c>
      <c r="L2186" t="s">
        <v>44</v>
      </c>
      <c r="M2186">
        <v>1.1674716814224</v>
      </c>
      <c r="N2186" t="s">
        <v>57</v>
      </c>
      <c r="O2186" t="s">
        <v>38</v>
      </c>
      <c r="P2186">
        <f>VLOOKUP(O2186, Coordinates!$A$2:$C$6, 2, FALSE)</f>
        <v>25.761700000000001</v>
      </c>
      <c r="Q2186">
        <f>VLOOKUP(O2186, Coordinates!$A$2:$C$6, 3, FALSE)</f>
        <v>-80.191800000000001</v>
      </c>
      <c r="R2186">
        <v>28</v>
      </c>
      <c r="S2186">
        <v>870</v>
      </c>
      <c r="T2186">
        <v>1</v>
      </c>
      <c r="U2186">
        <v>63.6116477621173</v>
      </c>
      <c r="V2186" t="s">
        <v>55</v>
      </c>
      <c r="W2186">
        <v>4.9125323855498397</v>
      </c>
      <c r="X2186" t="s">
        <v>40</v>
      </c>
      <c r="Y2186" t="s">
        <v>41</v>
      </c>
      <c r="Z2186">
        <v>628.84948365502396</v>
      </c>
    </row>
    <row r="2187" spans="1:26" x14ac:dyDescent="0.3">
      <c r="A2187" t="s">
        <v>33</v>
      </c>
      <c r="B2187" t="s">
        <v>2243</v>
      </c>
      <c r="C2187">
        <v>35.075742191321801</v>
      </c>
      <c r="D2187">
        <v>50</v>
      </c>
      <c r="E2187">
        <v>816</v>
      </c>
      <c r="F2187">
        <v>9145.7031499999994</v>
      </c>
      <c r="H2187">
        <v>4</v>
      </c>
      <c r="I2187">
        <v>18</v>
      </c>
      <c r="J2187">
        <v>54</v>
      </c>
      <c r="K2187">
        <v>7</v>
      </c>
      <c r="L2187" t="s">
        <v>27</v>
      </c>
      <c r="M2187">
        <v>10.555514855169699</v>
      </c>
      <c r="N2187" t="s">
        <v>57</v>
      </c>
      <c r="O2187" t="s">
        <v>65</v>
      </c>
      <c r="P2187">
        <f>VLOOKUP(O2187, Coordinates!$A$2:$C$6, 2, FALSE)</f>
        <v>41.878100000000003</v>
      </c>
      <c r="Q2187">
        <f>VLOOKUP(O2187, Coordinates!$A$2:$C$6, 3, FALSE)</f>
        <v>-87.629800000000003</v>
      </c>
      <c r="R2187">
        <v>29</v>
      </c>
      <c r="S2187">
        <v>892</v>
      </c>
      <c r="T2187">
        <v>28</v>
      </c>
      <c r="U2187">
        <v>86.173124811181495</v>
      </c>
      <c r="V2187" t="s">
        <v>30</v>
      </c>
      <c r="W2187">
        <v>3.3387798769027799</v>
      </c>
      <c r="X2187" t="s">
        <v>31</v>
      </c>
      <c r="Y2187" t="s">
        <v>60</v>
      </c>
      <c r="Z2187">
        <v>365.41012906249898</v>
      </c>
    </row>
    <row r="2188" spans="1:26" x14ac:dyDescent="0.3">
      <c r="A2188" t="s">
        <v>24</v>
      </c>
      <c r="B2188" t="s">
        <v>2244</v>
      </c>
      <c r="C2188">
        <v>29.576580389434302</v>
      </c>
      <c r="D2188">
        <v>43</v>
      </c>
      <c r="E2188">
        <v>489</v>
      </c>
      <c r="F2188">
        <v>13016.65302939</v>
      </c>
      <c r="G2188" t="s">
        <v>48</v>
      </c>
      <c r="H2188">
        <v>14</v>
      </c>
      <c r="I2188">
        <v>15</v>
      </c>
      <c r="J2188">
        <v>63</v>
      </c>
      <c r="K2188">
        <v>6</v>
      </c>
      <c r="L2188" t="s">
        <v>27</v>
      </c>
      <c r="M2188">
        <v>12.8235494000313</v>
      </c>
      <c r="N2188" t="s">
        <v>45</v>
      </c>
      <c r="O2188" t="s">
        <v>38</v>
      </c>
      <c r="P2188">
        <f>VLOOKUP(O2188, Coordinates!$A$2:$C$6, 2, FALSE)</f>
        <v>25.761700000000001</v>
      </c>
      <c r="Q2188">
        <f>VLOOKUP(O2188, Coordinates!$A$2:$C$6, 3, FALSE)</f>
        <v>-80.191800000000001</v>
      </c>
      <c r="R2188">
        <v>26</v>
      </c>
      <c r="S2188">
        <v>467</v>
      </c>
      <c r="T2188">
        <v>1</v>
      </c>
      <c r="U2188">
        <v>94.720502406403298</v>
      </c>
      <c r="V2188" t="s">
        <v>55</v>
      </c>
      <c r="W2188">
        <v>3.66878418262724</v>
      </c>
      <c r="X2188" t="s">
        <v>46</v>
      </c>
      <c r="Y2188" t="s">
        <v>41</v>
      </c>
      <c r="Z2188">
        <v>128.258352136334</v>
      </c>
    </row>
    <row r="2189" spans="1:26" x14ac:dyDescent="0.3">
      <c r="A2189" t="s">
        <v>49</v>
      </c>
      <c r="B2189" t="s">
        <v>2245</v>
      </c>
      <c r="C2189">
        <v>13.6805399617388</v>
      </c>
      <c r="D2189">
        <v>100</v>
      </c>
      <c r="E2189">
        <v>60</v>
      </c>
      <c r="F2189">
        <v>5392.8303423847801</v>
      </c>
      <c r="G2189" t="s">
        <v>26</v>
      </c>
      <c r="H2189">
        <v>20</v>
      </c>
      <c r="I2189">
        <v>5</v>
      </c>
      <c r="J2189">
        <v>59</v>
      </c>
      <c r="K2189">
        <v>8</v>
      </c>
      <c r="L2189" t="s">
        <v>27</v>
      </c>
      <c r="M2189">
        <v>7.5690480750456199</v>
      </c>
      <c r="N2189" t="s">
        <v>37</v>
      </c>
      <c r="O2189" t="s">
        <v>65</v>
      </c>
      <c r="P2189">
        <f>VLOOKUP(O2189, Coordinates!$A$2:$C$6, 2, FALSE)</f>
        <v>41.878100000000003</v>
      </c>
      <c r="Q2189">
        <f>VLOOKUP(O2189, Coordinates!$A$2:$C$6, 3, FALSE)</f>
        <v>-87.629800000000003</v>
      </c>
      <c r="R2189">
        <v>17</v>
      </c>
      <c r="S2189">
        <v>861</v>
      </c>
      <c r="T2189">
        <v>13</v>
      </c>
      <c r="U2189">
        <v>57.0885694271769</v>
      </c>
      <c r="V2189" t="s">
        <v>30</v>
      </c>
      <c r="W2189">
        <v>1.3137478910747</v>
      </c>
      <c r="X2189" t="s">
        <v>46</v>
      </c>
      <c r="Y2189" t="s">
        <v>32</v>
      </c>
      <c r="Z2189">
        <v>943.07198647875703</v>
      </c>
    </row>
    <row r="2190" spans="1:26" x14ac:dyDescent="0.3">
      <c r="A2190" t="s">
        <v>42</v>
      </c>
      <c r="B2190" t="s">
        <v>2246</v>
      </c>
      <c r="C2190">
        <v>34.908453788406597</v>
      </c>
      <c r="D2190">
        <v>17</v>
      </c>
      <c r="E2190">
        <v>970</v>
      </c>
      <c r="F2190">
        <v>9346.8055280000008</v>
      </c>
      <c r="G2190" t="s">
        <v>26</v>
      </c>
      <c r="H2190">
        <v>6</v>
      </c>
      <c r="I2190">
        <v>23</v>
      </c>
      <c r="J2190">
        <v>88</v>
      </c>
      <c r="K2190">
        <v>2</v>
      </c>
      <c r="L2190" t="s">
        <v>27</v>
      </c>
      <c r="M2190">
        <v>12.6071338615405</v>
      </c>
      <c r="N2190" t="s">
        <v>57</v>
      </c>
      <c r="O2190" t="s">
        <v>67</v>
      </c>
      <c r="P2190">
        <f>VLOOKUP(O2190, Coordinates!$A$2:$C$6, 2, FALSE)</f>
        <v>40.712800000000001</v>
      </c>
      <c r="Q2190">
        <f>VLOOKUP(O2190, Coordinates!$A$2:$C$6, 3, FALSE)</f>
        <v>-74.006</v>
      </c>
      <c r="R2190">
        <v>1</v>
      </c>
      <c r="S2190">
        <v>364</v>
      </c>
      <c r="T2190">
        <v>1</v>
      </c>
      <c r="U2190">
        <v>10.7631748922957</v>
      </c>
      <c r="V2190" t="s">
        <v>39</v>
      </c>
      <c r="W2190">
        <v>2.60166346744407</v>
      </c>
      <c r="X2190" t="s">
        <v>46</v>
      </c>
      <c r="Y2190" t="s">
        <v>60</v>
      </c>
      <c r="Z2190">
        <v>419.99251532011402</v>
      </c>
    </row>
    <row r="2191" spans="1:26" x14ac:dyDescent="0.3">
      <c r="A2191" t="s">
        <v>33</v>
      </c>
      <c r="B2191" t="s">
        <v>2247</v>
      </c>
      <c r="C2191">
        <v>9.0899782579885091</v>
      </c>
      <c r="D2191">
        <v>32</v>
      </c>
      <c r="E2191">
        <v>227</v>
      </c>
      <c r="F2191">
        <v>5688.9224978442098</v>
      </c>
      <c r="G2191" t="s">
        <v>54</v>
      </c>
      <c r="H2191">
        <v>16</v>
      </c>
      <c r="I2191">
        <v>13</v>
      </c>
      <c r="J2191">
        <v>16</v>
      </c>
      <c r="K2191">
        <v>7</v>
      </c>
      <c r="L2191" t="s">
        <v>36</v>
      </c>
      <c r="M2191">
        <v>11.941388265414099</v>
      </c>
      <c r="N2191" t="s">
        <v>28</v>
      </c>
      <c r="O2191" t="s">
        <v>65</v>
      </c>
      <c r="P2191">
        <f>VLOOKUP(O2191, Coordinates!$A$2:$C$6, 2, FALSE)</f>
        <v>41.878100000000003</v>
      </c>
      <c r="Q2191">
        <f>VLOOKUP(O2191, Coordinates!$A$2:$C$6, 3, FALSE)</f>
        <v>-87.629800000000003</v>
      </c>
      <c r="R2191">
        <v>24</v>
      </c>
      <c r="S2191">
        <v>314</v>
      </c>
      <c r="T2191">
        <v>6</v>
      </c>
      <c r="U2191">
        <v>71.869275979911293</v>
      </c>
      <c r="V2191" t="s">
        <v>30</v>
      </c>
      <c r="W2191">
        <v>3.6828894941268202</v>
      </c>
      <c r="X2191" t="s">
        <v>31</v>
      </c>
      <c r="Y2191" t="s">
        <v>41</v>
      </c>
      <c r="Z2191">
        <v>584.87927025843601</v>
      </c>
    </row>
    <row r="2192" spans="1:26" x14ac:dyDescent="0.3">
      <c r="A2192" t="s">
        <v>42</v>
      </c>
      <c r="B2192" t="s">
        <v>2248</v>
      </c>
      <c r="C2192">
        <v>79.191567046221294</v>
      </c>
      <c r="D2192">
        <v>41</v>
      </c>
      <c r="E2192">
        <v>636</v>
      </c>
      <c r="F2192">
        <v>5388.3859424460397</v>
      </c>
      <c r="G2192" t="s">
        <v>35</v>
      </c>
      <c r="H2192">
        <v>55</v>
      </c>
      <c r="I2192">
        <v>18</v>
      </c>
      <c r="J2192">
        <v>72</v>
      </c>
      <c r="K2192">
        <v>10</v>
      </c>
      <c r="L2192" t="s">
        <v>44</v>
      </c>
      <c r="M2192">
        <v>10.3998681023474</v>
      </c>
      <c r="N2192" t="s">
        <v>51</v>
      </c>
      <c r="O2192" t="s">
        <v>65</v>
      </c>
      <c r="P2192">
        <f>VLOOKUP(O2192, Coordinates!$A$2:$C$6, 2, FALSE)</f>
        <v>41.878100000000003</v>
      </c>
      <c r="Q2192">
        <f>VLOOKUP(O2192, Coordinates!$A$2:$C$6, 3, FALSE)</f>
        <v>-87.629800000000003</v>
      </c>
      <c r="R2192">
        <v>2</v>
      </c>
      <c r="S2192">
        <v>314</v>
      </c>
      <c r="T2192">
        <v>23</v>
      </c>
      <c r="U2192">
        <v>27.584691815335699</v>
      </c>
      <c r="V2192" t="s">
        <v>30</v>
      </c>
      <c r="W2192">
        <v>2.4863791298338902</v>
      </c>
      <c r="X2192" t="s">
        <v>46</v>
      </c>
      <c r="Y2192" t="s">
        <v>32</v>
      </c>
      <c r="Z2192">
        <v>229.37385752625701</v>
      </c>
    </row>
    <row r="2193" spans="1:26" x14ac:dyDescent="0.3">
      <c r="A2193" t="s">
        <v>33</v>
      </c>
      <c r="B2193" t="s">
        <v>2249</v>
      </c>
      <c r="C2193">
        <v>42.831640426011099</v>
      </c>
      <c r="D2193">
        <v>6</v>
      </c>
      <c r="E2193">
        <v>183</v>
      </c>
      <c r="F2193">
        <v>6204.9619243387297</v>
      </c>
      <c r="G2193" t="s">
        <v>26</v>
      </c>
      <c r="H2193">
        <v>49</v>
      </c>
      <c r="I2193">
        <v>2</v>
      </c>
      <c r="J2193">
        <v>24</v>
      </c>
      <c r="K2193">
        <v>7</v>
      </c>
      <c r="L2193" t="s">
        <v>36</v>
      </c>
      <c r="M2193">
        <v>7.2320899399999998</v>
      </c>
      <c r="N2193" t="s">
        <v>37</v>
      </c>
      <c r="O2193" t="s">
        <v>65</v>
      </c>
      <c r="P2193">
        <f>VLOOKUP(O2193, Coordinates!$A$2:$C$6, 2, FALSE)</f>
        <v>41.878100000000003</v>
      </c>
      <c r="Q2193">
        <f>VLOOKUP(O2193, Coordinates!$A$2:$C$6, 3, FALSE)</f>
        <v>-87.629800000000003</v>
      </c>
      <c r="R2193">
        <v>25</v>
      </c>
      <c r="S2193">
        <v>381</v>
      </c>
      <c r="T2193">
        <v>26</v>
      </c>
      <c r="U2193">
        <v>53.290112829999998</v>
      </c>
      <c r="V2193" t="s">
        <v>30</v>
      </c>
      <c r="W2193">
        <v>0.44273196057022901</v>
      </c>
      <c r="X2193" t="s">
        <v>31</v>
      </c>
      <c r="Y2193" t="s">
        <v>32</v>
      </c>
      <c r="Z2193">
        <v>326.05126522844</v>
      </c>
    </row>
    <row r="2194" spans="1:26" x14ac:dyDescent="0.3">
      <c r="A2194" t="s">
        <v>61</v>
      </c>
      <c r="B2194" t="s">
        <v>2250</v>
      </c>
      <c r="C2194">
        <v>47.17086407</v>
      </c>
      <c r="D2194">
        <v>88</v>
      </c>
      <c r="E2194">
        <v>804</v>
      </c>
      <c r="F2194">
        <v>7203.0676272665596</v>
      </c>
      <c r="G2194" t="s">
        <v>35</v>
      </c>
      <c r="H2194">
        <v>6</v>
      </c>
      <c r="I2194">
        <v>13</v>
      </c>
      <c r="J2194">
        <v>98</v>
      </c>
      <c r="K2194">
        <v>4</v>
      </c>
      <c r="L2194" t="s">
        <v>44</v>
      </c>
      <c r="M2194">
        <v>4.8066566216209097</v>
      </c>
      <c r="N2194" t="s">
        <v>51</v>
      </c>
      <c r="O2194" t="s">
        <v>65</v>
      </c>
      <c r="P2194">
        <f>VLOOKUP(O2194, Coordinates!$A$2:$C$6, 2, FALSE)</f>
        <v>41.878100000000003</v>
      </c>
      <c r="Q2194">
        <f>VLOOKUP(O2194, Coordinates!$A$2:$C$6, 3, FALSE)</f>
        <v>-87.629800000000003</v>
      </c>
      <c r="R2194">
        <v>23</v>
      </c>
      <c r="S2194">
        <v>931</v>
      </c>
      <c r="T2194">
        <v>25</v>
      </c>
      <c r="U2194">
        <v>28.918469465241301</v>
      </c>
      <c r="V2194" t="s">
        <v>30</v>
      </c>
      <c r="W2194">
        <v>3.7043209658215401</v>
      </c>
      <c r="X2194" t="s">
        <v>31</v>
      </c>
      <c r="Y2194" t="s">
        <v>60</v>
      </c>
      <c r="Z2194">
        <v>491.727495937225</v>
      </c>
    </row>
    <row r="2195" spans="1:26" x14ac:dyDescent="0.3">
      <c r="A2195" t="s">
        <v>49</v>
      </c>
      <c r="B2195" t="s">
        <v>2251</v>
      </c>
      <c r="C2195">
        <v>89.891485709999998</v>
      </c>
      <c r="D2195">
        <v>27</v>
      </c>
      <c r="E2195">
        <v>438</v>
      </c>
      <c r="F2195">
        <v>1961.9503757832799</v>
      </c>
      <c r="G2195" t="s">
        <v>54</v>
      </c>
      <c r="H2195">
        <v>49</v>
      </c>
      <c r="I2195">
        <v>30</v>
      </c>
      <c r="J2195">
        <v>76</v>
      </c>
      <c r="K2195">
        <v>10</v>
      </c>
      <c r="L2195" t="s">
        <v>27</v>
      </c>
      <c r="M2195">
        <v>13.052095470364099</v>
      </c>
      <c r="N2195" t="s">
        <v>28</v>
      </c>
      <c r="O2195" t="s">
        <v>65</v>
      </c>
      <c r="P2195">
        <f>VLOOKUP(O2195, Coordinates!$A$2:$C$6, 2, FALSE)</f>
        <v>41.878100000000003</v>
      </c>
      <c r="Q2195">
        <f>VLOOKUP(O2195, Coordinates!$A$2:$C$6, 3, FALSE)</f>
        <v>-87.629800000000003</v>
      </c>
      <c r="R2195">
        <v>30</v>
      </c>
      <c r="S2195">
        <v>629</v>
      </c>
      <c r="T2195">
        <v>10</v>
      </c>
      <c r="U2195">
        <v>12.118034312064299</v>
      </c>
      <c r="V2195" t="s">
        <v>39</v>
      </c>
      <c r="W2195">
        <v>1.0978219593737499</v>
      </c>
      <c r="X2195" t="s">
        <v>46</v>
      </c>
      <c r="Y2195" t="s">
        <v>41</v>
      </c>
      <c r="Z2195">
        <v>606.01994489441904</v>
      </c>
    </row>
    <row r="2196" spans="1:26" x14ac:dyDescent="0.3">
      <c r="A2196" t="s">
        <v>33</v>
      </c>
      <c r="B2196" t="s">
        <v>2252</v>
      </c>
      <c r="C2196">
        <v>67.515223466815897</v>
      </c>
      <c r="D2196">
        <v>20</v>
      </c>
      <c r="E2196">
        <v>941</v>
      </c>
      <c r="F2196">
        <v>8389.9947496736404</v>
      </c>
      <c r="G2196" t="s">
        <v>54</v>
      </c>
      <c r="H2196">
        <v>59</v>
      </c>
      <c r="I2196">
        <v>14</v>
      </c>
      <c r="J2196">
        <v>39</v>
      </c>
      <c r="K2196">
        <v>2</v>
      </c>
      <c r="L2196" t="s">
        <v>27</v>
      </c>
      <c r="M2196">
        <v>10.080265315281199</v>
      </c>
      <c r="N2196" t="s">
        <v>57</v>
      </c>
      <c r="O2196" t="s">
        <v>58</v>
      </c>
      <c r="P2196">
        <f>VLOOKUP(O2196, Coordinates!$A$2:$C$6, 2, FALSE)</f>
        <v>34.052199999999999</v>
      </c>
      <c r="Q2196">
        <f>VLOOKUP(O2196, Coordinates!$A$2:$C$6, 3, FALSE)</f>
        <v>-118.2437</v>
      </c>
      <c r="R2196">
        <v>27</v>
      </c>
      <c r="S2196">
        <v>958</v>
      </c>
      <c r="T2196">
        <v>21</v>
      </c>
      <c r="U2196">
        <v>53.489849652821398</v>
      </c>
      <c r="V2196" t="s">
        <v>30</v>
      </c>
      <c r="W2196">
        <v>0.48848835499999999</v>
      </c>
      <c r="X2196" t="s">
        <v>40</v>
      </c>
      <c r="Y2196" t="s">
        <v>60</v>
      </c>
      <c r="Z2196">
        <v>868.61275087832405</v>
      </c>
    </row>
    <row r="2197" spans="1:26" x14ac:dyDescent="0.3">
      <c r="A2197" t="s">
        <v>72</v>
      </c>
      <c r="B2197" t="s">
        <v>2253</v>
      </c>
      <c r="C2197">
        <v>26.508129893912901</v>
      </c>
      <c r="D2197">
        <v>25</v>
      </c>
      <c r="E2197">
        <v>454</v>
      </c>
      <c r="F2197">
        <v>10831.2218746528</v>
      </c>
      <c r="G2197" t="s">
        <v>54</v>
      </c>
      <c r="H2197">
        <v>82</v>
      </c>
      <c r="I2197">
        <v>10</v>
      </c>
      <c r="J2197">
        <v>87</v>
      </c>
      <c r="K2197">
        <v>4</v>
      </c>
      <c r="L2197" t="s">
        <v>27</v>
      </c>
      <c r="M2197">
        <v>12.172235693508</v>
      </c>
      <c r="N2197" t="s">
        <v>51</v>
      </c>
      <c r="O2197" t="s">
        <v>65</v>
      </c>
      <c r="P2197">
        <f>VLOOKUP(O2197, Coordinates!$A$2:$C$6, 2, FALSE)</f>
        <v>41.878100000000003</v>
      </c>
      <c r="Q2197">
        <f>VLOOKUP(O2197, Coordinates!$A$2:$C$6, 3, FALSE)</f>
        <v>-87.629800000000003</v>
      </c>
      <c r="R2197">
        <v>19</v>
      </c>
      <c r="S2197">
        <v>101</v>
      </c>
      <c r="T2197">
        <v>1</v>
      </c>
      <c r="U2197">
        <v>80.758751671769502</v>
      </c>
      <c r="V2197" t="s">
        <v>30</v>
      </c>
      <c r="W2197">
        <v>2.3902897439999999</v>
      </c>
      <c r="X2197" t="s">
        <v>46</v>
      </c>
      <c r="Y2197" t="s">
        <v>60</v>
      </c>
      <c r="Z2197">
        <v>361.37193442385598</v>
      </c>
    </row>
    <row r="2198" spans="1:26" x14ac:dyDescent="0.3">
      <c r="A2198" t="s">
        <v>24</v>
      </c>
      <c r="B2198" t="s">
        <v>2254</v>
      </c>
      <c r="C2198">
        <v>36.206892549999999</v>
      </c>
      <c r="D2198">
        <v>66</v>
      </c>
      <c r="E2198">
        <v>797</v>
      </c>
      <c r="F2198">
        <v>25971.204027236599</v>
      </c>
      <c r="G2198" t="s">
        <v>54</v>
      </c>
      <c r="H2198">
        <v>6</v>
      </c>
      <c r="I2198">
        <v>30</v>
      </c>
      <c r="J2198">
        <v>77</v>
      </c>
      <c r="K2198">
        <v>4</v>
      </c>
      <c r="L2198" t="s">
        <v>27</v>
      </c>
      <c r="M2198">
        <v>8.7275369882044807</v>
      </c>
      <c r="N2198" t="s">
        <v>51</v>
      </c>
      <c r="O2198" t="s">
        <v>65</v>
      </c>
      <c r="P2198">
        <f>VLOOKUP(O2198, Coordinates!$A$2:$C$6, 2, FALSE)</f>
        <v>41.878100000000003</v>
      </c>
      <c r="Q2198">
        <f>VLOOKUP(O2198, Coordinates!$A$2:$C$6, 3, FALSE)</f>
        <v>-87.629800000000003</v>
      </c>
      <c r="R2198">
        <v>9</v>
      </c>
      <c r="S2198">
        <v>612</v>
      </c>
      <c r="T2198">
        <v>25</v>
      </c>
      <c r="U2198">
        <v>87.2000670632778</v>
      </c>
      <c r="V2198" t="s">
        <v>39</v>
      </c>
      <c r="W2198">
        <v>0.373045388998065</v>
      </c>
      <c r="X2198" t="s">
        <v>52</v>
      </c>
      <c r="Y2198" t="s">
        <v>41</v>
      </c>
      <c r="Z2198">
        <v>884.60269316534004</v>
      </c>
    </row>
    <row r="2199" spans="1:26" x14ac:dyDescent="0.3">
      <c r="A2199" t="s">
        <v>82</v>
      </c>
      <c r="B2199" t="s">
        <v>2255</v>
      </c>
      <c r="C2199">
        <v>27.528724267882499</v>
      </c>
      <c r="D2199">
        <v>9</v>
      </c>
      <c r="E2199">
        <v>888</v>
      </c>
      <c r="F2199">
        <v>8075.6440227839103</v>
      </c>
      <c r="G2199" t="s">
        <v>35</v>
      </c>
      <c r="H2199">
        <v>39</v>
      </c>
      <c r="I2199">
        <v>4</v>
      </c>
      <c r="J2199">
        <v>45</v>
      </c>
      <c r="K2199">
        <v>6</v>
      </c>
      <c r="L2199" t="s">
        <v>27</v>
      </c>
      <c r="M2199">
        <v>3.4061300829149399</v>
      </c>
      <c r="N2199" t="s">
        <v>51</v>
      </c>
      <c r="O2199" t="s">
        <v>38</v>
      </c>
      <c r="P2199">
        <f>VLOOKUP(O2199, Coordinates!$A$2:$C$6, 2, FALSE)</f>
        <v>25.761700000000001</v>
      </c>
      <c r="Q2199">
        <f>VLOOKUP(O2199, Coordinates!$A$2:$C$6, 3, FALSE)</f>
        <v>-80.191800000000001</v>
      </c>
      <c r="R2199">
        <v>20</v>
      </c>
      <c r="S2199">
        <v>915</v>
      </c>
      <c r="T2199">
        <v>5</v>
      </c>
      <c r="U2199">
        <v>28.792554393598301</v>
      </c>
      <c r="V2199" t="s">
        <v>55</v>
      </c>
      <c r="W2199">
        <v>3.1472183349082599</v>
      </c>
      <c r="X2199" t="s">
        <v>52</v>
      </c>
      <c r="Y2199" t="s">
        <v>41</v>
      </c>
      <c r="Z2199">
        <v>512.59948597190998</v>
      </c>
    </row>
    <row r="2200" spans="1:26" x14ac:dyDescent="0.3">
      <c r="A2200" t="s">
        <v>72</v>
      </c>
      <c r="B2200" t="s">
        <v>2256</v>
      </c>
      <c r="C2200">
        <v>27.3130536654506</v>
      </c>
      <c r="D2200">
        <v>92</v>
      </c>
      <c r="E2200">
        <v>496</v>
      </c>
      <c r="F2200">
        <v>12192.5471562571</v>
      </c>
      <c r="G2200" t="s">
        <v>48</v>
      </c>
      <c r="H2200">
        <v>44</v>
      </c>
      <c r="I2200">
        <v>15</v>
      </c>
      <c r="J2200">
        <v>76</v>
      </c>
      <c r="K2200">
        <v>7</v>
      </c>
      <c r="L2200" t="s">
        <v>36</v>
      </c>
      <c r="M2200">
        <v>14.7121311531895</v>
      </c>
      <c r="N2200" t="s">
        <v>28</v>
      </c>
      <c r="O2200" t="s">
        <v>38</v>
      </c>
      <c r="P2200">
        <f>VLOOKUP(O2200, Coordinates!$A$2:$C$6, 2, FALSE)</f>
        <v>25.761700000000001</v>
      </c>
      <c r="Q2200">
        <f>VLOOKUP(O2200, Coordinates!$A$2:$C$6, 3, FALSE)</f>
        <v>-80.191800000000001</v>
      </c>
      <c r="R2200">
        <v>23</v>
      </c>
      <c r="S2200">
        <v>563</v>
      </c>
      <c r="T2200">
        <v>22</v>
      </c>
      <c r="U2200">
        <v>89.904388165316803</v>
      </c>
      <c r="V2200" t="s">
        <v>39</v>
      </c>
      <c r="W2200">
        <v>3.2023662515662199</v>
      </c>
      <c r="X2200" t="s">
        <v>40</v>
      </c>
      <c r="Y2200" t="s">
        <v>41</v>
      </c>
      <c r="Z2200">
        <v>489.40918145680399</v>
      </c>
    </row>
    <row r="2201" spans="1:26" x14ac:dyDescent="0.3">
      <c r="A2201" t="s">
        <v>72</v>
      </c>
      <c r="B2201" t="s">
        <v>2257</v>
      </c>
      <c r="C2201">
        <v>35.816200811674598</v>
      </c>
      <c r="D2201">
        <v>53</v>
      </c>
      <c r="E2201">
        <v>193</v>
      </c>
      <c r="F2201">
        <v>6221.2740809878896</v>
      </c>
      <c r="G2201" t="s">
        <v>48</v>
      </c>
      <c r="H2201">
        <v>58</v>
      </c>
      <c r="I2201">
        <v>8</v>
      </c>
      <c r="J2201">
        <v>14</v>
      </c>
      <c r="K2201">
        <v>3</v>
      </c>
      <c r="L2201" t="s">
        <v>44</v>
      </c>
      <c r="M2201">
        <v>3.5583425204069199</v>
      </c>
      <c r="N2201" t="s">
        <v>37</v>
      </c>
      <c r="O2201" t="s">
        <v>38</v>
      </c>
      <c r="P2201">
        <f>VLOOKUP(O2201, Coordinates!$A$2:$C$6, 2, FALSE)</f>
        <v>25.761700000000001</v>
      </c>
      <c r="Q2201">
        <f>VLOOKUP(O2201, Coordinates!$A$2:$C$6, 3, FALSE)</f>
        <v>-80.191800000000001</v>
      </c>
      <c r="R2201">
        <v>15</v>
      </c>
      <c r="S2201">
        <v>546</v>
      </c>
      <c r="T2201">
        <v>25</v>
      </c>
      <c r="U2201">
        <v>78.822032019999995</v>
      </c>
      <c r="V2201" t="s">
        <v>55</v>
      </c>
      <c r="W2201">
        <v>1.2835098656650401</v>
      </c>
      <c r="X2201" t="s">
        <v>52</v>
      </c>
      <c r="Y2201" t="s">
        <v>60</v>
      </c>
      <c r="Z2201">
        <v>456.77338391446301</v>
      </c>
    </row>
    <row r="2202" spans="1:26" x14ac:dyDescent="0.3">
      <c r="A2202" t="s">
        <v>24</v>
      </c>
      <c r="B2202" t="s">
        <v>2258</v>
      </c>
      <c r="C2202">
        <v>21.531461052972201</v>
      </c>
      <c r="D2202">
        <v>61</v>
      </c>
      <c r="E2202">
        <v>582</v>
      </c>
      <c r="F2202">
        <v>11278.1792995468</v>
      </c>
      <c r="G2202" t="s">
        <v>35</v>
      </c>
      <c r="H2202">
        <v>87</v>
      </c>
      <c r="I2202">
        <v>15</v>
      </c>
      <c r="J2202">
        <v>34</v>
      </c>
      <c r="K2202">
        <v>10</v>
      </c>
      <c r="L2202" t="s">
        <v>36</v>
      </c>
      <c r="M2202">
        <v>13.757381014348599</v>
      </c>
      <c r="N2202" t="s">
        <v>37</v>
      </c>
      <c r="O2202" t="s">
        <v>65</v>
      </c>
      <c r="P2202">
        <f>VLOOKUP(O2202, Coordinates!$A$2:$C$6, 2, FALSE)</f>
        <v>41.878100000000003</v>
      </c>
      <c r="Q2202">
        <f>VLOOKUP(O2202, Coordinates!$A$2:$C$6, 3, FALSE)</f>
        <v>-87.629800000000003</v>
      </c>
      <c r="R2202">
        <v>19</v>
      </c>
      <c r="S2202">
        <v>462</v>
      </c>
      <c r="T2202">
        <v>2</v>
      </c>
      <c r="U2202">
        <v>88.732209713988894</v>
      </c>
      <c r="V2202" t="s">
        <v>30</v>
      </c>
      <c r="W2202">
        <v>4.8226721090379598</v>
      </c>
      <c r="X2202" t="s">
        <v>40</v>
      </c>
      <c r="Y2202" t="s">
        <v>60</v>
      </c>
      <c r="Z2202">
        <v>897.56032310000001</v>
      </c>
    </row>
    <row r="2203" spans="1:26" x14ac:dyDescent="0.3">
      <c r="A2203" t="s">
        <v>82</v>
      </c>
      <c r="B2203" t="s">
        <v>2259</v>
      </c>
      <c r="C2203">
        <v>46.208203771711602</v>
      </c>
      <c r="D2203">
        <v>38</v>
      </c>
      <c r="E2203">
        <v>814</v>
      </c>
      <c r="F2203">
        <v>8921.1821809027697</v>
      </c>
      <c r="G2203" t="s">
        <v>26</v>
      </c>
      <c r="H2203">
        <v>74</v>
      </c>
      <c r="I2203">
        <v>14</v>
      </c>
      <c r="J2203">
        <v>20</v>
      </c>
      <c r="K2203">
        <v>1</v>
      </c>
      <c r="L2203" t="s">
        <v>27</v>
      </c>
      <c r="M2203">
        <v>3.9139410446296301</v>
      </c>
      <c r="N2203" t="s">
        <v>28</v>
      </c>
      <c r="O2203" t="s">
        <v>38</v>
      </c>
      <c r="P2203">
        <f>VLOOKUP(O2203, Coordinates!$A$2:$C$6, 2, FALSE)</f>
        <v>25.761700000000001</v>
      </c>
      <c r="Q2203">
        <f>VLOOKUP(O2203, Coordinates!$A$2:$C$6, 3, FALSE)</f>
        <v>-80.191800000000001</v>
      </c>
      <c r="R2203">
        <v>5</v>
      </c>
      <c r="S2203">
        <v>315</v>
      </c>
      <c r="T2203">
        <v>30</v>
      </c>
      <c r="U2203">
        <v>76.321173082553301</v>
      </c>
      <c r="V2203" t="s">
        <v>55</v>
      </c>
      <c r="W2203">
        <v>4.1222579340000003</v>
      </c>
      <c r="X2203" t="s">
        <v>31</v>
      </c>
      <c r="Y2203" t="s">
        <v>41</v>
      </c>
      <c r="Z2203">
        <v>325.91544267332699</v>
      </c>
    </row>
    <row r="2204" spans="1:26" x14ac:dyDescent="0.3">
      <c r="A2204" t="s">
        <v>72</v>
      </c>
      <c r="B2204" t="s">
        <v>2260</v>
      </c>
      <c r="C2204">
        <v>25.571576258038998</v>
      </c>
      <c r="D2204">
        <v>3</v>
      </c>
      <c r="E2204">
        <v>965</v>
      </c>
      <c r="F2204">
        <v>22208.9139801069</v>
      </c>
      <c r="G2204" t="s">
        <v>35</v>
      </c>
      <c r="H2204">
        <v>54</v>
      </c>
      <c r="I2204">
        <v>29</v>
      </c>
      <c r="J2204">
        <v>81</v>
      </c>
      <c r="K2204">
        <v>3</v>
      </c>
      <c r="L2204" t="s">
        <v>44</v>
      </c>
      <c r="M2204">
        <v>6.2324921844501002</v>
      </c>
      <c r="N2204" t="s">
        <v>51</v>
      </c>
      <c r="O2204" t="s">
        <v>58</v>
      </c>
      <c r="P2204">
        <f>VLOOKUP(O2204, Coordinates!$A$2:$C$6, 2, FALSE)</f>
        <v>34.052199999999999</v>
      </c>
      <c r="Q2204">
        <f>VLOOKUP(O2204, Coordinates!$A$2:$C$6, 3, FALSE)</f>
        <v>-118.2437</v>
      </c>
      <c r="R2204">
        <v>13</v>
      </c>
      <c r="S2204">
        <v>263</v>
      </c>
      <c r="T2204">
        <v>3</v>
      </c>
      <c r="U2204">
        <v>80.154010559479403</v>
      </c>
      <c r="V2204" t="s">
        <v>39</v>
      </c>
      <c r="W2204">
        <v>0.54793478949863705</v>
      </c>
      <c r="X2204" t="s">
        <v>52</v>
      </c>
      <c r="Y2204" t="s">
        <v>41</v>
      </c>
      <c r="Z2204">
        <v>871.62775490000001</v>
      </c>
    </row>
    <row r="2205" spans="1:26" x14ac:dyDescent="0.3">
      <c r="A2205" t="s">
        <v>33</v>
      </c>
      <c r="B2205" t="s">
        <v>2261</v>
      </c>
      <c r="C2205">
        <v>57.009791536920197</v>
      </c>
      <c r="D2205">
        <v>84</v>
      </c>
      <c r="E2205">
        <v>966</v>
      </c>
      <c r="F2205">
        <v>9618.9712732807493</v>
      </c>
      <c r="G2205" t="s">
        <v>26</v>
      </c>
      <c r="H2205">
        <v>4</v>
      </c>
      <c r="I2205">
        <v>25</v>
      </c>
      <c r="J2205">
        <v>99</v>
      </c>
      <c r="K2205">
        <v>9</v>
      </c>
      <c r="L2205" t="s">
        <v>44</v>
      </c>
      <c r="M2205">
        <v>7.16116822352397</v>
      </c>
      <c r="N2205" t="s">
        <v>51</v>
      </c>
      <c r="O2205" t="s">
        <v>67</v>
      </c>
      <c r="P2205">
        <f>VLOOKUP(O2205, Coordinates!$A$2:$C$6, 2, FALSE)</f>
        <v>40.712800000000001</v>
      </c>
      <c r="Q2205">
        <f>VLOOKUP(O2205, Coordinates!$A$2:$C$6, 3, FALSE)</f>
        <v>-74.006</v>
      </c>
      <c r="R2205">
        <v>4</v>
      </c>
      <c r="S2205">
        <v>802</v>
      </c>
      <c r="T2205">
        <v>30</v>
      </c>
      <c r="U2205">
        <v>52.497278767319898</v>
      </c>
      <c r="V2205" t="s">
        <v>39</v>
      </c>
      <c r="W2205">
        <v>3.7425606366954698</v>
      </c>
      <c r="X2205" t="s">
        <v>40</v>
      </c>
      <c r="Y2205" t="s">
        <v>60</v>
      </c>
      <c r="Z2205">
        <v>180.19313883025399</v>
      </c>
    </row>
    <row r="2206" spans="1:26" x14ac:dyDescent="0.3">
      <c r="A2206" t="s">
        <v>33</v>
      </c>
      <c r="B2206" t="s">
        <v>2262</v>
      </c>
      <c r="C2206">
        <v>31.0665374942458</v>
      </c>
      <c r="D2206">
        <v>70</v>
      </c>
      <c r="E2206">
        <v>253</v>
      </c>
      <c r="F2206">
        <v>8809.3491379001898</v>
      </c>
      <c r="G2206" t="s">
        <v>26</v>
      </c>
      <c r="H2206">
        <v>64</v>
      </c>
      <c r="I2206">
        <v>21</v>
      </c>
      <c r="J2206">
        <v>75</v>
      </c>
      <c r="K2206">
        <v>1</v>
      </c>
      <c r="L2206" t="s">
        <v>27</v>
      </c>
      <c r="M2206">
        <v>13.899263853394</v>
      </c>
      <c r="N2206" t="s">
        <v>45</v>
      </c>
      <c r="O2206" t="s">
        <v>38</v>
      </c>
      <c r="P2206">
        <f>VLOOKUP(O2206, Coordinates!$A$2:$C$6, 2, FALSE)</f>
        <v>25.761700000000001</v>
      </c>
      <c r="Q2206">
        <f>VLOOKUP(O2206, Coordinates!$A$2:$C$6, 3, FALSE)</f>
        <v>-80.191800000000001</v>
      </c>
      <c r="R2206">
        <v>26</v>
      </c>
      <c r="S2206">
        <v>686</v>
      </c>
      <c r="T2206">
        <v>23</v>
      </c>
      <c r="U2206">
        <v>98.996507335744496</v>
      </c>
      <c r="V2206" t="s">
        <v>39</v>
      </c>
      <c r="W2206">
        <v>3.9661313702875098</v>
      </c>
      <c r="X2206" t="s">
        <v>46</v>
      </c>
      <c r="Y2206" t="s">
        <v>41</v>
      </c>
      <c r="Z2206">
        <v>959.79523315377196</v>
      </c>
    </row>
    <row r="2207" spans="1:26" x14ac:dyDescent="0.3">
      <c r="A2207" t="s">
        <v>33</v>
      </c>
      <c r="B2207" t="s">
        <v>2263</v>
      </c>
      <c r="C2207">
        <v>90.650385502271405</v>
      </c>
      <c r="D2207">
        <v>97</v>
      </c>
      <c r="E2207">
        <v>592</v>
      </c>
      <c r="F2207">
        <v>1019.26827410927</v>
      </c>
      <c r="G2207" t="s">
        <v>48</v>
      </c>
      <c r="H2207">
        <v>53</v>
      </c>
      <c r="I2207">
        <v>9</v>
      </c>
      <c r="J2207">
        <v>37</v>
      </c>
      <c r="K2207">
        <v>8</v>
      </c>
      <c r="L2207" t="s">
        <v>44</v>
      </c>
      <c r="M2207">
        <v>13.434779992782801</v>
      </c>
      <c r="N2207" t="s">
        <v>57</v>
      </c>
      <c r="O2207" t="s">
        <v>38</v>
      </c>
      <c r="P2207">
        <f>VLOOKUP(O2207, Coordinates!$A$2:$C$6, 2, FALSE)</f>
        <v>25.761700000000001</v>
      </c>
      <c r="Q2207">
        <f>VLOOKUP(O2207, Coordinates!$A$2:$C$6, 3, FALSE)</f>
        <v>-80.191800000000001</v>
      </c>
      <c r="R2207">
        <v>6</v>
      </c>
      <c r="S2207">
        <v>637</v>
      </c>
      <c r="T2207">
        <v>3</v>
      </c>
      <c r="U2207">
        <v>67.9328413285876</v>
      </c>
      <c r="V2207" t="s">
        <v>30</v>
      </c>
      <c r="W2207">
        <v>3.75144260824479</v>
      </c>
      <c r="X2207" t="s">
        <v>52</v>
      </c>
      <c r="Y2207" t="s">
        <v>32</v>
      </c>
      <c r="Z2207">
        <v>552.714180262691</v>
      </c>
    </row>
    <row r="2208" spans="1:26" x14ac:dyDescent="0.3">
      <c r="A2208" t="s">
        <v>82</v>
      </c>
      <c r="B2208" t="s">
        <v>2264</v>
      </c>
      <c r="C2208">
        <v>25.444425574653302</v>
      </c>
      <c r="D2208">
        <v>55</v>
      </c>
      <c r="E2208">
        <v>653</v>
      </c>
      <c r="F2208">
        <v>4422.17049772051</v>
      </c>
      <c r="G2208" t="s">
        <v>54</v>
      </c>
      <c r="H2208">
        <v>95</v>
      </c>
      <c r="I2208">
        <v>20</v>
      </c>
      <c r="J2208">
        <v>69</v>
      </c>
      <c r="K2208">
        <v>2</v>
      </c>
      <c r="L2208" t="s">
        <v>36</v>
      </c>
      <c r="M2208">
        <v>12.525093691334099</v>
      </c>
      <c r="N2208" t="s">
        <v>57</v>
      </c>
      <c r="O2208" t="s">
        <v>58</v>
      </c>
      <c r="P2208">
        <f>VLOOKUP(O2208, Coordinates!$A$2:$C$6, 2, FALSE)</f>
        <v>34.052199999999999</v>
      </c>
      <c r="Q2208">
        <f>VLOOKUP(O2208, Coordinates!$A$2:$C$6, 3, FALSE)</f>
        <v>-118.2437</v>
      </c>
      <c r="R2208">
        <v>12</v>
      </c>
      <c r="S2208">
        <v>610</v>
      </c>
      <c r="T2208">
        <v>18</v>
      </c>
      <c r="U2208">
        <v>21.463905143680002</v>
      </c>
      <c r="V2208" t="s">
        <v>30</v>
      </c>
      <c r="W2208">
        <v>4.0039739617630401</v>
      </c>
      <c r="X2208" t="s">
        <v>52</v>
      </c>
      <c r="Y2208" t="s">
        <v>41</v>
      </c>
      <c r="Z2208">
        <v>999.01468440249403</v>
      </c>
    </row>
    <row r="2209" spans="1:26" x14ac:dyDescent="0.3">
      <c r="A2209" t="s">
        <v>72</v>
      </c>
      <c r="B2209" t="s">
        <v>2265</v>
      </c>
      <c r="C2209">
        <v>28.0534004309389</v>
      </c>
      <c r="D2209">
        <v>1</v>
      </c>
      <c r="E2209">
        <v>168</v>
      </c>
      <c r="F2209">
        <v>4241.6741451579701</v>
      </c>
      <c r="G2209" t="s">
        <v>48</v>
      </c>
      <c r="H2209">
        <v>39</v>
      </c>
      <c r="I2209">
        <v>3</v>
      </c>
      <c r="J2209">
        <v>19</v>
      </c>
      <c r="K2209">
        <v>6</v>
      </c>
      <c r="L2209" t="s">
        <v>36</v>
      </c>
      <c r="M2209">
        <v>6.2734520649999999</v>
      </c>
      <c r="N2209" t="s">
        <v>37</v>
      </c>
      <c r="O2209" t="s">
        <v>29</v>
      </c>
      <c r="P2209">
        <f>VLOOKUP(O2209, Coordinates!$A$2:$C$6, 2, FALSE)</f>
        <v>29.760400000000001</v>
      </c>
      <c r="Q2209">
        <f>VLOOKUP(O2209, Coordinates!$A$2:$C$6, 3, FALSE)</f>
        <v>-95.369799999999998</v>
      </c>
      <c r="R2209">
        <v>29</v>
      </c>
      <c r="S2209">
        <v>873</v>
      </c>
      <c r="T2209">
        <v>23</v>
      </c>
      <c r="U2209">
        <v>78.377177990000007</v>
      </c>
      <c r="V2209" t="s">
        <v>39</v>
      </c>
      <c r="W2209">
        <v>0.75689028030230798</v>
      </c>
      <c r="X2209" t="s">
        <v>40</v>
      </c>
      <c r="Y2209" t="s">
        <v>32</v>
      </c>
      <c r="Z2209">
        <v>647.14054609199798</v>
      </c>
    </row>
    <row r="2210" spans="1:26" x14ac:dyDescent="0.3">
      <c r="A2210" t="s">
        <v>82</v>
      </c>
      <c r="B2210" t="s">
        <v>2266</v>
      </c>
      <c r="C2210">
        <v>58.143515444098902</v>
      </c>
      <c r="D2210">
        <v>70</v>
      </c>
      <c r="E2210">
        <v>749</v>
      </c>
      <c r="F2210">
        <v>4296.2770539862604</v>
      </c>
      <c r="G2210" t="s">
        <v>48</v>
      </c>
      <c r="H2210">
        <v>52</v>
      </c>
      <c r="I2210">
        <v>26</v>
      </c>
      <c r="J2210">
        <v>59</v>
      </c>
      <c r="K2210">
        <v>3</v>
      </c>
      <c r="L2210" t="s">
        <v>36</v>
      </c>
      <c r="M2210">
        <v>1.06290545560488</v>
      </c>
      <c r="N2210" t="s">
        <v>28</v>
      </c>
      <c r="O2210" t="s">
        <v>29</v>
      </c>
      <c r="P2210">
        <f>VLOOKUP(O2210, Coordinates!$A$2:$C$6, 2, FALSE)</f>
        <v>29.760400000000001</v>
      </c>
      <c r="Q2210">
        <f>VLOOKUP(O2210, Coordinates!$A$2:$C$6, 3, FALSE)</f>
        <v>-95.369799999999998</v>
      </c>
      <c r="R2210">
        <v>9</v>
      </c>
      <c r="S2210">
        <v>893</v>
      </c>
      <c r="T2210">
        <v>8</v>
      </c>
      <c r="U2210">
        <v>52.138278691553097</v>
      </c>
      <c r="V2210" t="s">
        <v>30</v>
      </c>
      <c r="W2210">
        <v>3.3092099241895099</v>
      </c>
      <c r="X2210" t="s">
        <v>31</v>
      </c>
      <c r="Y2210" t="s">
        <v>32</v>
      </c>
      <c r="Z2210">
        <v>205.84186448649001</v>
      </c>
    </row>
    <row r="2211" spans="1:26" x14ac:dyDescent="0.3">
      <c r="A2211" t="s">
        <v>33</v>
      </c>
      <c r="B2211" t="s">
        <v>2267</v>
      </c>
      <c r="C2211">
        <v>83.706372720000005</v>
      </c>
      <c r="D2211">
        <v>45</v>
      </c>
      <c r="E2211">
        <v>259</v>
      </c>
      <c r="F2211">
        <v>6413.9365574173498</v>
      </c>
      <c r="G2211" t="s">
        <v>35</v>
      </c>
      <c r="H2211">
        <v>43</v>
      </c>
      <c r="I2211">
        <v>15</v>
      </c>
      <c r="J2211">
        <v>48</v>
      </c>
      <c r="K2211">
        <v>7</v>
      </c>
      <c r="L2211" t="s">
        <v>36</v>
      </c>
      <c r="M2211">
        <v>10.5421664815052</v>
      </c>
      <c r="N2211" t="s">
        <v>51</v>
      </c>
      <c r="O2211" t="s">
        <v>58</v>
      </c>
      <c r="P2211">
        <f>VLOOKUP(O2211, Coordinates!$A$2:$C$6, 2, FALSE)</f>
        <v>34.052199999999999</v>
      </c>
      <c r="Q2211">
        <f>VLOOKUP(O2211, Coordinates!$A$2:$C$6, 3, FALSE)</f>
        <v>-118.2437</v>
      </c>
      <c r="R2211">
        <v>15</v>
      </c>
      <c r="S2211">
        <v>320</v>
      </c>
      <c r="T2211">
        <v>9</v>
      </c>
      <c r="U2211">
        <v>82.203699959479707</v>
      </c>
      <c r="V2211" t="s">
        <v>39</v>
      </c>
      <c r="W2211">
        <v>4.3136498024465402</v>
      </c>
      <c r="X2211" t="s">
        <v>40</v>
      </c>
      <c r="Y2211" t="s">
        <v>60</v>
      </c>
      <c r="Z2211">
        <v>154.80251789032101</v>
      </c>
    </row>
    <row r="2212" spans="1:26" x14ac:dyDescent="0.3">
      <c r="A2212" t="s">
        <v>24</v>
      </c>
      <c r="B2212" t="s">
        <v>2268</v>
      </c>
      <c r="C2212">
        <v>28.091592295015101</v>
      </c>
      <c r="D2212">
        <v>98</v>
      </c>
      <c r="E2212">
        <v>480</v>
      </c>
      <c r="F2212">
        <v>12135.567871446499</v>
      </c>
      <c r="G2212" t="s">
        <v>35</v>
      </c>
      <c r="H2212">
        <v>62</v>
      </c>
      <c r="I2212">
        <v>24</v>
      </c>
      <c r="J2212">
        <v>46</v>
      </c>
      <c r="K2212">
        <v>2</v>
      </c>
      <c r="L2212" t="s">
        <v>44</v>
      </c>
      <c r="M2212">
        <v>6.7533536825128504</v>
      </c>
      <c r="N2212" t="s">
        <v>57</v>
      </c>
      <c r="O2212" t="s">
        <v>38</v>
      </c>
      <c r="P2212">
        <f>VLOOKUP(O2212, Coordinates!$A$2:$C$6, 2, FALSE)</f>
        <v>25.761700000000001</v>
      </c>
      <c r="Q2212">
        <f>VLOOKUP(O2212, Coordinates!$A$2:$C$6, 3, FALSE)</f>
        <v>-80.191800000000001</v>
      </c>
      <c r="R2212">
        <v>21</v>
      </c>
      <c r="S2212">
        <v>654</v>
      </c>
      <c r="T2212">
        <v>2</v>
      </c>
      <c r="U2212">
        <v>92.013522400078699</v>
      </c>
      <c r="V2212" t="s">
        <v>55</v>
      </c>
      <c r="W2212">
        <v>1.6168681202533599</v>
      </c>
      <c r="X2212" t="s">
        <v>40</v>
      </c>
      <c r="Y2212" t="s">
        <v>60</v>
      </c>
      <c r="Z2212">
        <v>274.07695556353701</v>
      </c>
    </row>
    <row r="2213" spans="1:26" x14ac:dyDescent="0.3">
      <c r="A2213" t="s">
        <v>72</v>
      </c>
      <c r="B2213" t="s">
        <v>2269</v>
      </c>
      <c r="C2213">
        <v>28.825893580220502</v>
      </c>
      <c r="D2213">
        <v>47</v>
      </c>
      <c r="E2213">
        <v>810</v>
      </c>
      <c r="F2213">
        <v>21014.076419980702</v>
      </c>
      <c r="G2213" t="s">
        <v>26</v>
      </c>
      <c r="H2213">
        <v>1</v>
      </c>
      <c r="I2213">
        <v>17</v>
      </c>
      <c r="J2213">
        <v>72</v>
      </c>
      <c r="K2213">
        <v>4</v>
      </c>
      <c r="L2213" t="s">
        <v>36</v>
      </c>
      <c r="M2213">
        <v>11.598814699724</v>
      </c>
      <c r="N2213" t="s">
        <v>28</v>
      </c>
      <c r="O2213" t="s">
        <v>67</v>
      </c>
      <c r="P2213">
        <f>VLOOKUP(O2213, Coordinates!$A$2:$C$6, 2, FALSE)</f>
        <v>40.712800000000001</v>
      </c>
      <c r="Q2213">
        <f>VLOOKUP(O2213, Coordinates!$A$2:$C$6, 3, FALSE)</f>
        <v>-74.006</v>
      </c>
      <c r="R2213">
        <v>15</v>
      </c>
      <c r="S2213">
        <v>733</v>
      </c>
      <c r="T2213">
        <v>29</v>
      </c>
      <c r="U2213">
        <v>85.049583039705894</v>
      </c>
      <c r="V2213" t="s">
        <v>30</v>
      </c>
      <c r="W2213">
        <v>0.40164152090482103</v>
      </c>
      <c r="X2213" t="s">
        <v>52</v>
      </c>
      <c r="Y2213" t="s">
        <v>60</v>
      </c>
      <c r="Z2213">
        <v>479.03403414012701</v>
      </c>
    </row>
    <row r="2214" spans="1:26" x14ac:dyDescent="0.3">
      <c r="A2214" t="s">
        <v>72</v>
      </c>
      <c r="B2214" t="s">
        <v>2270</v>
      </c>
      <c r="C2214">
        <v>33.047792167941303</v>
      </c>
      <c r="D2214">
        <v>79</v>
      </c>
      <c r="E2214">
        <v>421</v>
      </c>
      <c r="F2214">
        <v>12521.808452432901</v>
      </c>
      <c r="G2214" t="s">
        <v>35</v>
      </c>
      <c r="H2214">
        <v>78</v>
      </c>
      <c r="I2214">
        <v>25</v>
      </c>
      <c r="J2214">
        <v>70</v>
      </c>
      <c r="K2214">
        <v>10</v>
      </c>
      <c r="L2214" t="s">
        <v>44</v>
      </c>
      <c r="M2214">
        <v>12.1279286451697</v>
      </c>
      <c r="N2214" t="s">
        <v>28</v>
      </c>
      <c r="O2214" t="s">
        <v>38</v>
      </c>
      <c r="P2214">
        <f>VLOOKUP(O2214, Coordinates!$A$2:$C$6, 2, FALSE)</f>
        <v>25.761700000000001</v>
      </c>
      <c r="Q2214">
        <f>VLOOKUP(O2214, Coordinates!$A$2:$C$6, 3, FALSE)</f>
        <v>-80.191800000000001</v>
      </c>
      <c r="R2214">
        <v>17</v>
      </c>
      <c r="S2214">
        <v>740</v>
      </c>
      <c r="T2214">
        <v>2</v>
      </c>
      <c r="U2214">
        <v>80.939276353500702</v>
      </c>
      <c r="V2214" t="s">
        <v>30</v>
      </c>
      <c r="W2214">
        <v>0.13633739969599301</v>
      </c>
      <c r="X2214" t="s">
        <v>40</v>
      </c>
      <c r="Y2214" t="s">
        <v>41</v>
      </c>
      <c r="Z2214">
        <v>772.47068264050199</v>
      </c>
    </row>
    <row r="2215" spans="1:26" x14ac:dyDescent="0.3">
      <c r="A2215" t="s">
        <v>42</v>
      </c>
      <c r="B2215" t="s">
        <v>2271</v>
      </c>
      <c r="C2215">
        <v>27.220208489859299</v>
      </c>
      <c r="D2215">
        <v>26</v>
      </c>
      <c r="E2215">
        <v>174</v>
      </c>
      <c r="F2215">
        <v>5529.0551084750496</v>
      </c>
      <c r="G2215" t="s">
        <v>26</v>
      </c>
      <c r="H2215">
        <v>20</v>
      </c>
      <c r="I2215">
        <v>16</v>
      </c>
      <c r="J2215">
        <v>94</v>
      </c>
      <c r="K2215">
        <v>9</v>
      </c>
      <c r="L2215" t="s">
        <v>27</v>
      </c>
      <c r="M2215">
        <v>7.1561276408439296</v>
      </c>
      <c r="N2215" t="s">
        <v>51</v>
      </c>
      <c r="O2215" t="s">
        <v>58</v>
      </c>
      <c r="P2215">
        <f>VLOOKUP(O2215, Coordinates!$A$2:$C$6, 2, FALSE)</f>
        <v>34.052199999999999</v>
      </c>
      <c r="Q2215">
        <f>VLOOKUP(O2215, Coordinates!$A$2:$C$6, 3, FALSE)</f>
        <v>-118.2437</v>
      </c>
      <c r="R2215">
        <v>29</v>
      </c>
      <c r="S2215">
        <v>876</v>
      </c>
      <c r="T2215">
        <v>27</v>
      </c>
      <c r="U2215">
        <v>36.859431419660297</v>
      </c>
      <c r="V2215" t="s">
        <v>30</v>
      </c>
      <c r="W2215">
        <v>0.55000480198364199</v>
      </c>
      <c r="X2215" t="s">
        <v>46</v>
      </c>
      <c r="Y2215" t="s">
        <v>60</v>
      </c>
      <c r="Z2215">
        <v>100.643315615685</v>
      </c>
    </row>
    <row r="2216" spans="1:26" x14ac:dyDescent="0.3">
      <c r="A2216" t="s">
        <v>42</v>
      </c>
      <c r="B2216" t="s">
        <v>2272</v>
      </c>
      <c r="C2216">
        <v>25.034191629674801</v>
      </c>
      <c r="D2216">
        <v>14</v>
      </c>
      <c r="E2216">
        <v>321</v>
      </c>
      <c r="F2216">
        <v>5183.0578534374999</v>
      </c>
      <c r="G2216" t="s">
        <v>26</v>
      </c>
      <c r="H2216">
        <v>87</v>
      </c>
      <c r="I2216">
        <v>4</v>
      </c>
      <c r="J2216">
        <v>47</v>
      </c>
      <c r="K2216">
        <v>6</v>
      </c>
      <c r="L2216" t="s">
        <v>36</v>
      </c>
      <c r="M2216">
        <v>11.4734359144372</v>
      </c>
      <c r="N2216" t="s">
        <v>28</v>
      </c>
      <c r="O2216" t="s">
        <v>58</v>
      </c>
      <c r="P2216">
        <f>VLOOKUP(O2216, Coordinates!$A$2:$C$6, 2, FALSE)</f>
        <v>34.052199999999999</v>
      </c>
      <c r="Q2216">
        <f>VLOOKUP(O2216, Coordinates!$A$2:$C$6, 3, FALSE)</f>
        <v>-118.2437</v>
      </c>
      <c r="R2216">
        <v>5</v>
      </c>
      <c r="S2216">
        <v>382</v>
      </c>
      <c r="T2216">
        <v>16</v>
      </c>
      <c r="U2216">
        <v>99.644331242711601</v>
      </c>
      <c r="V2216" t="s">
        <v>30</v>
      </c>
      <c r="W2216">
        <v>2.1029606415069398E-2</v>
      </c>
      <c r="X2216" t="s">
        <v>40</v>
      </c>
      <c r="Y2216" t="s">
        <v>41</v>
      </c>
      <c r="Z2216">
        <v>331.61210033296499</v>
      </c>
    </row>
    <row r="2217" spans="1:26" x14ac:dyDescent="0.3">
      <c r="A2217" t="s">
        <v>61</v>
      </c>
      <c r="B2217" t="s">
        <v>2273</v>
      </c>
      <c r="C2217">
        <v>86.433207420660906</v>
      </c>
      <c r="D2217">
        <v>54</v>
      </c>
      <c r="E2217">
        <v>178</v>
      </c>
      <c r="F2217">
        <v>9977.6237109570593</v>
      </c>
      <c r="G2217" t="s">
        <v>54</v>
      </c>
      <c r="H2217">
        <v>49</v>
      </c>
      <c r="I2217">
        <v>11</v>
      </c>
      <c r="J2217">
        <v>42</v>
      </c>
      <c r="K2217">
        <v>4</v>
      </c>
      <c r="L2217" t="s">
        <v>27</v>
      </c>
      <c r="M2217">
        <v>12.7591219272754</v>
      </c>
      <c r="N2217" t="s">
        <v>57</v>
      </c>
      <c r="O2217" t="s">
        <v>65</v>
      </c>
      <c r="P2217">
        <f>VLOOKUP(O2217, Coordinates!$A$2:$C$6, 2, FALSE)</f>
        <v>41.878100000000003</v>
      </c>
      <c r="Q2217">
        <f>VLOOKUP(O2217, Coordinates!$A$2:$C$6, 3, FALSE)</f>
        <v>-87.629800000000003</v>
      </c>
      <c r="R2217">
        <v>5</v>
      </c>
      <c r="S2217">
        <v>170</v>
      </c>
      <c r="T2217">
        <v>7</v>
      </c>
      <c r="U2217">
        <v>60.330440502225898</v>
      </c>
      <c r="V2217" t="s">
        <v>30</v>
      </c>
      <c r="W2217">
        <v>1.63472971196414</v>
      </c>
      <c r="X2217" t="s">
        <v>46</v>
      </c>
      <c r="Y2217" t="s">
        <v>60</v>
      </c>
      <c r="Z2217">
        <v>628.812956549251</v>
      </c>
    </row>
    <row r="2218" spans="1:26" x14ac:dyDescent="0.3">
      <c r="A2218" t="s">
        <v>49</v>
      </c>
      <c r="B2218" t="s">
        <v>2274</v>
      </c>
      <c r="C2218">
        <v>82.94054792</v>
      </c>
      <c r="D2218">
        <v>71</v>
      </c>
      <c r="E2218">
        <v>474</v>
      </c>
      <c r="F2218">
        <v>5441.5032769999998</v>
      </c>
      <c r="G2218" t="s">
        <v>54</v>
      </c>
      <c r="H2218">
        <v>80</v>
      </c>
      <c r="I2218">
        <v>25</v>
      </c>
      <c r="J2218">
        <v>84</v>
      </c>
      <c r="K2218">
        <v>2</v>
      </c>
      <c r="L2218" t="s">
        <v>36</v>
      </c>
      <c r="M2218">
        <v>13.998665842421</v>
      </c>
      <c r="N2218" t="s">
        <v>45</v>
      </c>
      <c r="O2218" t="s">
        <v>38</v>
      </c>
      <c r="P2218">
        <f>VLOOKUP(O2218, Coordinates!$A$2:$C$6, 2, FALSE)</f>
        <v>25.761700000000001</v>
      </c>
      <c r="Q2218">
        <f>VLOOKUP(O2218, Coordinates!$A$2:$C$6, 3, FALSE)</f>
        <v>-80.191800000000001</v>
      </c>
      <c r="R2218">
        <v>30</v>
      </c>
      <c r="S2218">
        <v>984</v>
      </c>
      <c r="T2218">
        <v>30</v>
      </c>
      <c r="U2218">
        <v>89.184834649999999</v>
      </c>
      <c r="V2218" t="s">
        <v>39</v>
      </c>
      <c r="W2218">
        <v>4.3630688900000001</v>
      </c>
      <c r="X2218" t="s">
        <v>46</v>
      </c>
      <c r="Y2218" t="s">
        <v>32</v>
      </c>
      <c r="Z2218">
        <v>368.095026900812</v>
      </c>
    </row>
    <row r="2219" spans="1:26" x14ac:dyDescent="0.3">
      <c r="A2219" t="s">
        <v>42</v>
      </c>
      <c r="B2219" t="s">
        <v>2275</v>
      </c>
      <c r="C2219">
        <v>46.854485161169102</v>
      </c>
      <c r="D2219">
        <v>46</v>
      </c>
      <c r="E2219">
        <v>349</v>
      </c>
      <c r="F2219">
        <v>2605.5842673572201</v>
      </c>
      <c r="G2219" t="s">
        <v>48</v>
      </c>
      <c r="H2219">
        <v>51</v>
      </c>
      <c r="I2219">
        <v>8</v>
      </c>
      <c r="J2219">
        <v>54</v>
      </c>
      <c r="K2219">
        <v>10</v>
      </c>
      <c r="L2219" t="s">
        <v>27</v>
      </c>
      <c r="M2219">
        <v>9.1543746549999998</v>
      </c>
      <c r="N2219" t="s">
        <v>57</v>
      </c>
      <c r="O2219" t="s">
        <v>65</v>
      </c>
      <c r="P2219">
        <f>VLOOKUP(O2219, Coordinates!$A$2:$C$6, 2, FALSE)</f>
        <v>41.878100000000003</v>
      </c>
      <c r="Q2219">
        <f>VLOOKUP(O2219, Coordinates!$A$2:$C$6, 3, FALSE)</f>
        <v>-87.629800000000003</v>
      </c>
      <c r="R2219">
        <v>24</v>
      </c>
      <c r="S2219">
        <v>473</v>
      </c>
      <c r="T2219">
        <v>4</v>
      </c>
      <c r="U2219">
        <v>48.342956450034102</v>
      </c>
      <c r="V2219" t="s">
        <v>30</v>
      </c>
      <c r="W2219">
        <v>0.55170633843709005</v>
      </c>
      <c r="X2219" t="s">
        <v>40</v>
      </c>
      <c r="Y2219" t="s">
        <v>60</v>
      </c>
      <c r="Z2219">
        <v>421.249279054618</v>
      </c>
    </row>
    <row r="2220" spans="1:26" x14ac:dyDescent="0.3">
      <c r="A2220" t="s">
        <v>82</v>
      </c>
      <c r="B2220" t="s">
        <v>2276</v>
      </c>
      <c r="C2220">
        <v>17.578438282163098</v>
      </c>
      <c r="D2220">
        <v>31</v>
      </c>
      <c r="E2220">
        <v>449</v>
      </c>
      <c r="F2220">
        <v>5617.6248057709399</v>
      </c>
      <c r="G2220" t="s">
        <v>54</v>
      </c>
      <c r="H2220">
        <v>8</v>
      </c>
      <c r="I2220">
        <v>3</v>
      </c>
      <c r="J2220">
        <v>53</v>
      </c>
      <c r="K2220">
        <v>9</v>
      </c>
      <c r="L2220" t="s">
        <v>27</v>
      </c>
      <c r="M2220">
        <v>11.8987027668383</v>
      </c>
      <c r="N2220" t="s">
        <v>45</v>
      </c>
      <c r="O2220" t="s">
        <v>38</v>
      </c>
      <c r="P2220">
        <f>VLOOKUP(O2220, Coordinates!$A$2:$C$6, 2, FALSE)</f>
        <v>25.761700000000001</v>
      </c>
      <c r="Q2220">
        <f>VLOOKUP(O2220, Coordinates!$A$2:$C$6, 3, FALSE)</f>
        <v>-80.191800000000001</v>
      </c>
      <c r="R2220">
        <v>26</v>
      </c>
      <c r="S2220">
        <v>358</v>
      </c>
      <c r="T2220">
        <v>5</v>
      </c>
      <c r="U2220">
        <v>75.045083536804199</v>
      </c>
      <c r="V2220" t="s">
        <v>39</v>
      </c>
      <c r="W2220">
        <v>4.0992850550789397</v>
      </c>
      <c r="X2220" t="s">
        <v>31</v>
      </c>
      <c r="Y2220" t="s">
        <v>32</v>
      </c>
      <c r="Z2220">
        <v>370.6872156</v>
      </c>
    </row>
    <row r="2221" spans="1:26" x14ac:dyDescent="0.3">
      <c r="A2221" t="s">
        <v>42</v>
      </c>
      <c r="B2221" t="s">
        <v>2277</v>
      </c>
      <c r="C2221">
        <v>41.313963937858503</v>
      </c>
      <c r="D2221">
        <v>88</v>
      </c>
      <c r="E2221">
        <v>22</v>
      </c>
      <c r="F2221">
        <v>8326.1506200000003</v>
      </c>
      <c r="H2221">
        <v>98</v>
      </c>
      <c r="I2221">
        <v>19</v>
      </c>
      <c r="J2221">
        <v>10</v>
      </c>
      <c r="K2221">
        <v>4</v>
      </c>
      <c r="L2221" t="s">
        <v>27</v>
      </c>
      <c r="M2221">
        <v>7.923908183</v>
      </c>
      <c r="N2221" t="s">
        <v>28</v>
      </c>
      <c r="O2221" t="s">
        <v>65</v>
      </c>
      <c r="P2221">
        <f>VLOOKUP(O2221, Coordinates!$A$2:$C$6, 2, FALSE)</f>
        <v>41.878100000000003</v>
      </c>
      <c r="Q2221">
        <f>VLOOKUP(O2221, Coordinates!$A$2:$C$6, 3, FALSE)</f>
        <v>-87.629800000000003</v>
      </c>
      <c r="R2221">
        <v>21</v>
      </c>
      <c r="S2221">
        <v>544</v>
      </c>
      <c r="T2221">
        <v>1</v>
      </c>
      <c r="U2221">
        <v>35.792707807373098</v>
      </c>
      <c r="V2221" t="s">
        <v>30</v>
      </c>
      <c r="W2221">
        <v>4.9595317891980404</v>
      </c>
      <c r="X2221" t="s">
        <v>46</v>
      </c>
      <c r="Y2221" t="s">
        <v>41</v>
      </c>
      <c r="Z2221">
        <v>957.864627315853</v>
      </c>
    </row>
    <row r="2222" spans="1:26" x14ac:dyDescent="0.3">
      <c r="A2222" t="s">
        <v>61</v>
      </c>
      <c r="B2222" t="s">
        <v>2278</v>
      </c>
      <c r="C2222">
        <v>63.837628143006498</v>
      </c>
      <c r="D2222">
        <v>59</v>
      </c>
      <c r="E2222">
        <v>74</v>
      </c>
      <c r="F2222">
        <v>7991.7429420845301</v>
      </c>
      <c r="G2222" t="s">
        <v>35</v>
      </c>
      <c r="H2222">
        <v>19</v>
      </c>
      <c r="I2222">
        <v>14</v>
      </c>
      <c r="J2222">
        <v>62</v>
      </c>
      <c r="K2222">
        <v>9</v>
      </c>
      <c r="L2222" t="s">
        <v>27</v>
      </c>
      <c r="M2222">
        <v>1.5832820060194599</v>
      </c>
      <c r="N2222" t="s">
        <v>57</v>
      </c>
      <c r="O2222" t="s">
        <v>65</v>
      </c>
      <c r="P2222">
        <f>VLOOKUP(O2222, Coordinates!$A$2:$C$6, 2, FALSE)</f>
        <v>41.878100000000003</v>
      </c>
      <c r="Q2222">
        <f>VLOOKUP(O2222, Coordinates!$A$2:$C$6, 3, FALSE)</f>
        <v>-87.629800000000003</v>
      </c>
      <c r="R2222">
        <v>14</v>
      </c>
      <c r="S2222">
        <v>300</v>
      </c>
      <c r="T2222">
        <v>22</v>
      </c>
      <c r="U2222">
        <v>92.060742114031001</v>
      </c>
      <c r="V2222" t="s">
        <v>55</v>
      </c>
      <c r="W2222">
        <v>4.5046320742229398</v>
      </c>
      <c r="X2222" t="s">
        <v>46</v>
      </c>
      <c r="Y2222" t="s">
        <v>60</v>
      </c>
      <c r="Z2222">
        <v>159.24985905480301</v>
      </c>
    </row>
    <row r="2223" spans="1:26" x14ac:dyDescent="0.3">
      <c r="A2223" t="s">
        <v>72</v>
      </c>
      <c r="B2223" t="s">
        <v>2279</v>
      </c>
      <c r="C2223">
        <v>31.481093909816298</v>
      </c>
      <c r="D2223">
        <v>95</v>
      </c>
      <c r="E2223">
        <v>342</v>
      </c>
      <c r="F2223">
        <v>9689.8807049999996</v>
      </c>
      <c r="G2223" t="s">
        <v>54</v>
      </c>
      <c r="H2223">
        <v>82</v>
      </c>
      <c r="I2223">
        <v>9</v>
      </c>
      <c r="J2223">
        <v>56</v>
      </c>
      <c r="K2223">
        <v>2</v>
      </c>
      <c r="L2223" t="s">
        <v>27</v>
      </c>
      <c r="M2223">
        <v>3.1730999891885601</v>
      </c>
      <c r="N2223" t="s">
        <v>51</v>
      </c>
      <c r="O2223" t="s">
        <v>38</v>
      </c>
      <c r="P2223">
        <f>VLOOKUP(O2223, Coordinates!$A$2:$C$6, 2, FALSE)</f>
        <v>25.761700000000001</v>
      </c>
      <c r="Q2223">
        <f>VLOOKUP(O2223, Coordinates!$A$2:$C$6, 3, FALSE)</f>
        <v>-80.191800000000001</v>
      </c>
      <c r="R2223">
        <v>2</v>
      </c>
      <c r="S2223">
        <v>741</v>
      </c>
      <c r="T2223">
        <v>10</v>
      </c>
      <c r="U2223">
        <v>83.09392613</v>
      </c>
      <c r="V2223" t="s">
        <v>55</v>
      </c>
      <c r="W2223">
        <v>1.2642529983852699</v>
      </c>
      <c r="X2223" t="s">
        <v>46</v>
      </c>
      <c r="Y2223" t="s">
        <v>60</v>
      </c>
      <c r="Z2223">
        <v>916.76011803266397</v>
      </c>
    </row>
    <row r="2224" spans="1:26" x14ac:dyDescent="0.3">
      <c r="A2224" t="s">
        <v>61</v>
      </c>
      <c r="B2224" t="s">
        <v>2280</v>
      </c>
      <c r="C2224">
        <v>79.117980505884503</v>
      </c>
      <c r="D2224">
        <v>29</v>
      </c>
      <c r="E2224">
        <v>632</v>
      </c>
      <c r="F2224">
        <v>7372.2140559811996</v>
      </c>
      <c r="G2224" t="s">
        <v>54</v>
      </c>
      <c r="H2224">
        <v>17</v>
      </c>
      <c r="I2224">
        <v>3</v>
      </c>
      <c r="J2224">
        <v>42</v>
      </c>
      <c r="K2224">
        <v>7</v>
      </c>
      <c r="L2224" t="s">
        <v>44</v>
      </c>
      <c r="M2224">
        <v>2.7951431293553801</v>
      </c>
      <c r="N2224" t="s">
        <v>28</v>
      </c>
      <c r="O2224" t="s">
        <v>65</v>
      </c>
      <c r="P2224">
        <f>VLOOKUP(O2224, Coordinates!$A$2:$C$6, 2, FALSE)</f>
        <v>41.878100000000003</v>
      </c>
      <c r="Q2224">
        <f>VLOOKUP(O2224, Coordinates!$A$2:$C$6, 3, FALSE)</f>
        <v>-87.629800000000003</v>
      </c>
      <c r="R2224">
        <v>9</v>
      </c>
      <c r="S2224">
        <v>479</v>
      </c>
      <c r="T2224">
        <v>13</v>
      </c>
      <c r="U2224">
        <v>82.335294758447802</v>
      </c>
      <c r="V2224" t="s">
        <v>30</v>
      </c>
      <c r="W2224">
        <v>3.8499081648577298</v>
      </c>
      <c r="X2224" t="s">
        <v>31</v>
      </c>
      <c r="Y2224" t="s">
        <v>32</v>
      </c>
      <c r="Z2224">
        <v>390.91525779236599</v>
      </c>
    </row>
    <row r="2225" spans="1:26" x14ac:dyDescent="0.3">
      <c r="A2225" t="s">
        <v>72</v>
      </c>
      <c r="B2225" t="s">
        <v>2281</v>
      </c>
      <c r="C2225">
        <v>30.420953169279802</v>
      </c>
      <c r="D2225">
        <v>96</v>
      </c>
      <c r="E2225">
        <v>596</v>
      </c>
      <c r="F2225">
        <v>16317.7992800017</v>
      </c>
      <c r="G2225" t="s">
        <v>54</v>
      </c>
      <c r="H2225">
        <v>83</v>
      </c>
      <c r="I2225">
        <v>4</v>
      </c>
      <c r="J2225">
        <v>76</v>
      </c>
      <c r="K2225">
        <v>5</v>
      </c>
      <c r="L2225" t="s">
        <v>44</v>
      </c>
      <c r="M2225">
        <v>3.4047182616167002</v>
      </c>
      <c r="N2225" t="s">
        <v>51</v>
      </c>
      <c r="O2225" t="s">
        <v>29</v>
      </c>
      <c r="P2225">
        <f>VLOOKUP(O2225, Coordinates!$A$2:$C$6, 2, FALSE)</f>
        <v>29.760400000000001</v>
      </c>
      <c r="Q2225">
        <f>VLOOKUP(O2225, Coordinates!$A$2:$C$6, 3, FALSE)</f>
        <v>-95.369799999999998</v>
      </c>
      <c r="R2225">
        <v>14</v>
      </c>
      <c r="S2225">
        <v>941</v>
      </c>
      <c r="T2225">
        <v>24</v>
      </c>
      <c r="U2225">
        <v>83.263416852783806</v>
      </c>
      <c r="V2225" t="s">
        <v>30</v>
      </c>
      <c r="W2225">
        <v>4.6843163164250896</v>
      </c>
      <c r="X2225" t="s">
        <v>40</v>
      </c>
      <c r="Y2225" t="s">
        <v>60</v>
      </c>
      <c r="Z2225">
        <v>321.89197790339398</v>
      </c>
    </row>
    <row r="2226" spans="1:26" x14ac:dyDescent="0.3">
      <c r="A2226" t="s">
        <v>24</v>
      </c>
      <c r="B2226" t="s">
        <v>2282</v>
      </c>
      <c r="C2226">
        <v>36.753447696599601</v>
      </c>
      <c r="D2226">
        <v>17</v>
      </c>
      <c r="E2226">
        <v>531</v>
      </c>
      <c r="F2226">
        <v>17564.472654204899</v>
      </c>
      <c r="G2226" t="s">
        <v>54</v>
      </c>
      <c r="H2226">
        <v>29</v>
      </c>
      <c r="I2226">
        <v>25</v>
      </c>
      <c r="J2226">
        <v>99</v>
      </c>
      <c r="K2226">
        <v>8</v>
      </c>
      <c r="L2226" t="s">
        <v>36</v>
      </c>
      <c r="M2226">
        <v>1.1429784945798001</v>
      </c>
      <c r="N2226" t="s">
        <v>45</v>
      </c>
      <c r="O2226" t="s">
        <v>38</v>
      </c>
      <c r="P2226">
        <f>VLOOKUP(O2226, Coordinates!$A$2:$C$6, 2, FALSE)</f>
        <v>25.761700000000001</v>
      </c>
      <c r="Q2226">
        <f>VLOOKUP(O2226, Coordinates!$A$2:$C$6, 3, FALSE)</f>
        <v>-80.191800000000001</v>
      </c>
      <c r="R2226">
        <v>28</v>
      </c>
      <c r="S2226">
        <v>692</v>
      </c>
      <c r="T2226">
        <v>27</v>
      </c>
      <c r="U2226">
        <v>90.400687847133796</v>
      </c>
      <c r="V2226" t="s">
        <v>55</v>
      </c>
      <c r="W2226">
        <v>3.87386875440433</v>
      </c>
      <c r="X2226" t="s">
        <v>31</v>
      </c>
      <c r="Y2226" t="s">
        <v>41</v>
      </c>
      <c r="Z2226">
        <v>894.94168113412297</v>
      </c>
    </row>
    <row r="2227" spans="1:26" x14ac:dyDescent="0.3">
      <c r="A2227" t="s">
        <v>24</v>
      </c>
      <c r="B2227" t="s">
        <v>2283</v>
      </c>
      <c r="C2227">
        <v>23.9233379786433</v>
      </c>
      <c r="D2227">
        <v>14</v>
      </c>
      <c r="E2227">
        <v>692</v>
      </c>
      <c r="F2227">
        <v>14899.454893099</v>
      </c>
      <c r="G2227" t="s">
        <v>26</v>
      </c>
      <c r="H2227">
        <v>64</v>
      </c>
      <c r="I2227">
        <v>28</v>
      </c>
      <c r="J2227">
        <v>24</v>
      </c>
      <c r="K2227">
        <v>8</v>
      </c>
      <c r="L2227" t="s">
        <v>44</v>
      </c>
      <c r="M2227">
        <v>13.0218955257121</v>
      </c>
      <c r="N2227" t="s">
        <v>37</v>
      </c>
      <c r="O2227" t="s">
        <v>67</v>
      </c>
      <c r="P2227">
        <f>VLOOKUP(O2227, Coordinates!$A$2:$C$6, 2, FALSE)</f>
        <v>40.712800000000001</v>
      </c>
      <c r="Q2227">
        <f>VLOOKUP(O2227, Coordinates!$A$2:$C$6, 3, FALSE)</f>
        <v>-74.006</v>
      </c>
      <c r="R2227">
        <v>15</v>
      </c>
      <c r="S2227">
        <v>865</v>
      </c>
      <c r="T2227">
        <v>15</v>
      </c>
      <c r="U2227">
        <v>92.735161675877805</v>
      </c>
      <c r="V2227" t="s">
        <v>30</v>
      </c>
      <c r="W2227">
        <v>4.4227476065564399</v>
      </c>
      <c r="X2227" t="s">
        <v>40</v>
      </c>
      <c r="Y2227" t="s">
        <v>32</v>
      </c>
      <c r="Z2227">
        <v>358.37598350622898</v>
      </c>
    </row>
    <row r="2228" spans="1:26" x14ac:dyDescent="0.3">
      <c r="A2228" t="s">
        <v>72</v>
      </c>
      <c r="B2228" t="s">
        <v>2284</v>
      </c>
      <c r="C2228">
        <v>37.204776330131303</v>
      </c>
      <c r="D2228">
        <v>36</v>
      </c>
      <c r="E2228">
        <v>460</v>
      </c>
      <c r="F2228">
        <v>15402.7774006743</v>
      </c>
      <c r="G2228" t="s">
        <v>26</v>
      </c>
      <c r="H2228">
        <v>23</v>
      </c>
      <c r="I2228">
        <v>4</v>
      </c>
      <c r="J2228">
        <v>23</v>
      </c>
      <c r="K2228">
        <v>4</v>
      </c>
      <c r="L2228" t="s">
        <v>27</v>
      </c>
      <c r="M2228">
        <v>8.8420904792861705</v>
      </c>
      <c r="N2228" t="s">
        <v>37</v>
      </c>
      <c r="O2228" t="s">
        <v>58</v>
      </c>
      <c r="P2228">
        <f>VLOOKUP(O2228, Coordinates!$A$2:$C$6, 2, FALSE)</f>
        <v>34.052199999999999</v>
      </c>
      <c r="Q2228">
        <f>VLOOKUP(O2228, Coordinates!$A$2:$C$6, 3, FALSE)</f>
        <v>-118.2437</v>
      </c>
      <c r="R2228">
        <v>4</v>
      </c>
      <c r="S2228">
        <v>514</v>
      </c>
      <c r="T2228">
        <v>1</v>
      </c>
      <c r="U2228">
        <v>84.513256391105998</v>
      </c>
      <c r="V2228" t="s">
        <v>39</v>
      </c>
      <c r="W2228">
        <v>3.9322525608879602</v>
      </c>
      <c r="X2228" t="s">
        <v>46</v>
      </c>
      <c r="Y2228" t="s">
        <v>41</v>
      </c>
      <c r="Z2228">
        <v>988.73515854626896</v>
      </c>
    </row>
    <row r="2229" spans="1:26" x14ac:dyDescent="0.3">
      <c r="A2229" t="s">
        <v>49</v>
      </c>
      <c r="B2229" t="s">
        <v>2285</v>
      </c>
      <c r="C2229">
        <v>33.926790611150302</v>
      </c>
      <c r="D2229">
        <v>58</v>
      </c>
      <c r="E2229">
        <v>273</v>
      </c>
      <c r="F2229">
        <v>2174.10072896254</v>
      </c>
      <c r="G2229" t="s">
        <v>48</v>
      </c>
      <c r="H2229">
        <v>87</v>
      </c>
      <c r="I2229">
        <v>11</v>
      </c>
      <c r="J2229">
        <v>32</v>
      </c>
      <c r="K2229">
        <v>4</v>
      </c>
      <c r="L2229" t="s">
        <v>44</v>
      </c>
      <c r="M2229">
        <v>6.3641000421577401</v>
      </c>
      <c r="N2229" t="s">
        <v>45</v>
      </c>
      <c r="O2229" t="s">
        <v>38</v>
      </c>
      <c r="P2229">
        <f>VLOOKUP(O2229, Coordinates!$A$2:$C$6, 2, FALSE)</f>
        <v>25.761700000000001</v>
      </c>
      <c r="Q2229">
        <f>VLOOKUP(O2229, Coordinates!$A$2:$C$6, 3, FALSE)</f>
        <v>-80.191800000000001</v>
      </c>
      <c r="R2229">
        <v>27</v>
      </c>
      <c r="S2229">
        <v>164</v>
      </c>
      <c r="T2229">
        <v>18</v>
      </c>
      <c r="U2229">
        <v>47.170742838315697</v>
      </c>
      <c r="V2229" t="s">
        <v>39</v>
      </c>
      <c r="W2229">
        <v>3.5334331509698602</v>
      </c>
      <c r="X2229" t="s">
        <v>52</v>
      </c>
      <c r="Y2229" t="s">
        <v>41</v>
      </c>
      <c r="Z2229">
        <v>593.27894600000002</v>
      </c>
    </row>
    <row r="2230" spans="1:26" x14ac:dyDescent="0.3">
      <c r="A2230" t="s">
        <v>42</v>
      </c>
      <c r="B2230" t="s">
        <v>2286</v>
      </c>
      <c r="C2230">
        <v>23.819074088427499</v>
      </c>
      <c r="D2230">
        <v>24</v>
      </c>
      <c r="E2230">
        <v>635</v>
      </c>
      <c r="F2230">
        <v>9780.4447173019998</v>
      </c>
      <c r="G2230" t="s">
        <v>35</v>
      </c>
      <c r="H2230">
        <v>46</v>
      </c>
      <c r="I2230">
        <v>19</v>
      </c>
      <c r="J2230">
        <v>63</v>
      </c>
      <c r="K2230">
        <v>8</v>
      </c>
      <c r="L2230" t="s">
        <v>44</v>
      </c>
      <c r="M2230">
        <v>6.7369042020776497</v>
      </c>
      <c r="N2230" t="s">
        <v>37</v>
      </c>
      <c r="O2230" t="s">
        <v>38</v>
      </c>
      <c r="P2230">
        <f>VLOOKUP(O2230, Coordinates!$A$2:$C$6, 2, FALSE)</f>
        <v>25.761700000000001</v>
      </c>
      <c r="Q2230">
        <f>VLOOKUP(O2230, Coordinates!$A$2:$C$6, 3, FALSE)</f>
        <v>-80.191800000000001</v>
      </c>
      <c r="R2230">
        <v>26</v>
      </c>
      <c r="S2230">
        <v>477</v>
      </c>
      <c r="T2230">
        <v>23</v>
      </c>
      <c r="U2230">
        <v>59.5019477579878</v>
      </c>
      <c r="V2230" t="s">
        <v>30</v>
      </c>
      <c r="W2230">
        <v>0.41781533105396101</v>
      </c>
      <c r="X2230" t="s">
        <v>46</v>
      </c>
      <c r="Y2230" t="s">
        <v>32</v>
      </c>
      <c r="Z2230">
        <v>528.73477545578601</v>
      </c>
    </row>
    <row r="2231" spans="1:26" x14ac:dyDescent="0.3">
      <c r="A2231" t="s">
        <v>82</v>
      </c>
      <c r="B2231" t="s">
        <v>2287</v>
      </c>
      <c r="C2231">
        <v>11.2407510665176</v>
      </c>
      <c r="D2231">
        <v>63</v>
      </c>
      <c r="E2231">
        <v>815</v>
      </c>
      <c r="F2231">
        <v>8814.9156729999995</v>
      </c>
      <c r="G2231" t="s">
        <v>48</v>
      </c>
      <c r="H2231">
        <v>82</v>
      </c>
      <c r="I2231">
        <v>30</v>
      </c>
      <c r="J2231">
        <v>17</v>
      </c>
      <c r="K2231">
        <v>3</v>
      </c>
      <c r="L2231" t="s">
        <v>27</v>
      </c>
      <c r="M2231">
        <v>7.4869153120641698</v>
      </c>
      <c r="N2231" t="s">
        <v>28</v>
      </c>
      <c r="O2231" t="s">
        <v>65</v>
      </c>
      <c r="P2231">
        <f>VLOOKUP(O2231, Coordinates!$A$2:$C$6, 2, FALSE)</f>
        <v>41.878100000000003</v>
      </c>
      <c r="Q2231">
        <f>VLOOKUP(O2231, Coordinates!$A$2:$C$6, 3, FALSE)</f>
        <v>-87.629800000000003</v>
      </c>
      <c r="R2231">
        <v>6</v>
      </c>
      <c r="S2231">
        <v>757</v>
      </c>
      <c r="T2231">
        <v>14</v>
      </c>
      <c r="U2231">
        <v>23.6585452521857</v>
      </c>
      <c r="V2231" t="s">
        <v>55</v>
      </c>
      <c r="W2231">
        <v>2.4390967642297698</v>
      </c>
      <c r="X2231" t="s">
        <v>40</v>
      </c>
      <c r="Y2231" t="s">
        <v>41</v>
      </c>
      <c r="Z2231">
        <v>978.83837889999995</v>
      </c>
    </row>
    <row r="2232" spans="1:26" x14ac:dyDescent="0.3">
      <c r="A2232" t="s">
        <v>82</v>
      </c>
      <c r="B2232" t="s">
        <v>2288</v>
      </c>
      <c r="C2232">
        <v>89.276335136251305</v>
      </c>
      <c r="D2232">
        <v>91</v>
      </c>
      <c r="E2232">
        <v>192</v>
      </c>
      <c r="F2232">
        <v>9039.1253250000009</v>
      </c>
      <c r="G2232" t="s">
        <v>48</v>
      </c>
      <c r="H2232">
        <v>93</v>
      </c>
      <c r="I2232">
        <v>16</v>
      </c>
      <c r="J2232">
        <v>63</v>
      </c>
      <c r="K2232">
        <v>7</v>
      </c>
      <c r="L2232" t="s">
        <v>44</v>
      </c>
      <c r="M2232">
        <v>2.0343690058742898</v>
      </c>
      <c r="N2232" t="s">
        <v>28</v>
      </c>
      <c r="O2232" t="s">
        <v>38</v>
      </c>
      <c r="P2232">
        <f>VLOOKUP(O2232, Coordinates!$A$2:$C$6, 2, FALSE)</f>
        <v>25.761700000000001</v>
      </c>
      <c r="Q2232">
        <f>VLOOKUP(O2232, Coordinates!$A$2:$C$6, 3, FALSE)</f>
        <v>-80.191800000000001</v>
      </c>
      <c r="R2232">
        <v>14</v>
      </c>
      <c r="S2232">
        <v>745</v>
      </c>
      <c r="T2232">
        <v>18</v>
      </c>
      <c r="U2232">
        <v>26.5521794673353</v>
      </c>
      <c r="V2232" t="s">
        <v>55</v>
      </c>
      <c r="W2232">
        <v>0.27395567178168401</v>
      </c>
      <c r="X2232" t="s">
        <v>31</v>
      </c>
      <c r="Y2232" t="s">
        <v>60</v>
      </c>
      <c r="Z2232">
        <v>304.09018151980001</v>
      </c>
    </row>
    <row r="2233" spans="1:26" x14ac:dyDescent="0.3">
      <c r="A2233" t="s">
        <v>33</v>
      </c>
      <c r="B2233" t="s">
        <v>2289</v>
      </c>
      <c r="C2233">
        <v>44.8856262802001</v>
      </c>
      <c r="D2233">
        <v>25</v>
      </c>
      <c r="E2233">
        <v>573</v>
      </c>
      <c r="F2233">
        <v>8977.3874616195499</v>
      </c>
      <c r="G2233" t="s">
        <v>54</v>
      </c>
      <c r="H2233">
        <v>89</v>
      </c>
      <c r="I2233">
        <v>23</v>
      </c>
      <c r="J2233">
        <v>45</v>
      </c>
      <c r="K2233">
        <v>8</v>
      </c>
      <c r="L2233" t="s">
        <v>27</v>
      </c>
      <c r="M2233">
        <v>4.8453157621188803</v>
      </c>
      <c r="N2233" t="s">
        <v>57</v>
      </c>
      <c r="O2233" t="s">
        <v>38</v>
      </c>
      <c r="P2233">
        <f>VLOOKUP(O2233, Coordinates!$A$2:$C$6, 2, FALSE)</f>
        <v>25.761700000000001</v>
      </c>
      <c r="Q2233">
        <f>VLOOKUP(O2233, Coordinates!$A$2:$C$6, 3, FALSE)</f>
        <v>-80.191800000000001</v>
      </c>
      <c r="R2233">
        <v>5</v>
      </c>
      <c r="S2233">
        <v>201</v>
      </c>
      <c r="T2233">
        <v>25</v>
      </c>
      <c r="U2233">
        <v>51.837651849084097</v>
      </c>
      <c r="V2233" t="s">
        <v>55</v>
      </c>
      <c r="W2233">
        <v>4.9923684226751401</v>
      </c>
      <c r="X2233" t="s">
        <v>46</v>
      </c>
      <c r="Y2233" t="s">
        <v>41</v>
      </c>
      <c r="Z2233">
        <v>918.07239618195604</v>
      </c>
    </row>
    <row r="2234" spans="1:26" x14ac:dyDescent="0.3">
      <c r="A2234" t="s">
        <v>72</v>
      </c>
      <c r="B2234" t="s">
        <v>2290</v>
      </c>
      <c r="C2234">
        <v>36.228601764027097</v>
      </c>
      <c r="D2234">
        <v>59</v>
      </c>
      <c r="E2234">
        <v>715</v>
      </c>
      <c r="F2234">
        <v>23313.105235151401</v>
      </c>
      <c r="G2234" t="s">
        <v>35</v>
      </c>
      <c r="H2234">
        <v>43</v>
      </c>
      <c r="I2234">
        <v>22</v>
      </c>
      <c r="J2234">
        <v>93</v>
      </c>
      <c r="K2234">
        <v>8</v>
      </c>
      <c r="L2234" t="s">
        <v>44</v>
      </c>
      <c r="M2234">
        <v>12.922770119289099</v>
      </c>
      <c r="N2234" t="s">
        <v>28</v>
      </c>
      <c r="O2234" t="s">
        <v>58</v>
      </c>
      <c r="P2234">
        <f>VLOOKUP(O2234, Coordinates!$A$2:$C$6, 2, FALSE)</f>
        <v>34.052199999999999</v>
      </c>
      <c r="Q2234">
        <f>VLOOKUP(O2234, Coordinates!$A$2:$C$6, 3, FALSE)</f>
        <v>-118.2437</v>
      </c>
      <c r="R2234">
        <v>27</v>
      </c>
      <c r="S2234">
        <v>141</v>
      </c>
      <c r="T2234">
        <v>22</v>
      </c>
      <c r="U2234">
        <v>81.457723599999994</v>
      </c>
      <c r="V2234" t="s">
        <v>30</v>
      </c>
      <c r="W2234">
        <v>1.79154841532369</v>
      </c>
      <c r="X2234" t="s">
        <v>46</v>
      </c>
      <c r="Y2234" t="s">
        <v>60</v>
      </c>
      <c r="Z2234">
        <v>632.37214402404595</v>
      </c>
    </row>
    <row r="2235" spans="1:26" x14ac:dyDescent="0.3">
      <c r="A2235" t="s">
        <v>82</v>
      </c>
      <c r="B2235" t="s">
        <v>2291</v>
      </c>
      <c r="C2235">
        <v>92.109494580000003</v>
      </c>
      <c r="D2235">
        <v>32</v>
      </c>
      <c r="E2235">
        <v>533</v>
      </c>
      <c r="F2235">
        <v>6817.6156299921904</v>
      </c>
      <c r="G2235" t="s">
        <v>54</v>
      </c>
      <c r="H2235">
        <v>28</v>
      </c>
      <c r="I2235">
        <v>17</v>
      </c>
      <c r="J2235">
        <v>61</v>
      </c>
      <c r="K2235">
        <v>10</v>
      </c>
      <c r="L2235" t="s">
        <v>27</v>
      </c>
      <c r="M2235">
        <v>11.4114533069957</v>
      </c>
      <c r="N2235" t="s">
        <v>37</v>
      </c>
      <c r="O2235" t="s">
        <v>29</v>
      </c>
      <c r="P2235">
        <f>VLOOKUP(O2235, Coordinates!$A$2:$C$6, 2, FALSE)</f>
        <v>29.760400000000001</v>
      </c>
      <c r="Q2235">
        <f>VLOOKUP(O2235, Coordinates!$A$2:$C$6, 3, FALSE)</f>
        <v>-95.369799999999998</v>
      </c>
      <c r="R2235">
        <v>11</v>
      </c>
      <c r="S2235">
        <v>978</v>
      </c>
      <c r="T2235">
        <v>12</v>
      </c>
      <c r="U2235">
        <v>49.6666484203026</v>
      </c>
      <c r="V2235" t="s">
        <v>55</v>
      </c>
      <c r="W2235">
        <v>4.7916995919444698</v>
      </c>
      <c r="X2235" t="s">
        <v>40</v>
      </c>
      <c r="Y2235" t="s">
        <v>32</v>
      </c>
      <c r="Z2235">
        <v>779.47093989999996</v>
      </c>
    </row>
    <row r="2236" spans="1:26" x14ac:dyDescent="0.3">
      <c r="A2236" t="s">
        <v>49</v>
      </c>
      <c r="B2236" t="s">
        <v>2292</v>
      </c>
      <c r="C2236">
        <v>78.747595364014998</v>
      </c>
      <c r="D2236">
        <v>82</v>
      </c>
      <c r="E2236">
        <v>438</v>
      </c>
      <c r="F2236">
        <v>5908.2656692027704</v>
      </c>
      <c r="G2236" t="s">
        <v>26</v>
      </c>
      <c r="H2236">
        <v>76</v>
      </c>
      <c r="I2236">
        <v>30</v>
      </c>
      <c r="J2236">
        <v>15</v>
      </c>
      <c r="K2236">
        <v>4</v>
      </c>
      <c r="L2236" t="s">
        <v>36</v>
      </c>
      <c r="M2236">
        <v>8.887677536</v>
      </c>
      <c r="N2236" t="s">
        <v>51</v>
      </c>
      <c r="O2236" t="s">
        <v>29</v>
      </c>
      <c r="P2236">
        <f>VLOOKUP(O2236, Coordinates!$A$2:$C$6, 2, FALSE)</f>
        <v>29.760400000000001</v>
      </c>
      <c r="Q2236">
        <f>VLOOKUP(O2236, Coordinates!$A$2:$C$6, 3, FALSE)</f>
        <v>-95.369799999999998</v>
      </c>
      <c r="R2236">
        <v>21</v>
      </c>
      <c r="S2236">
        <v>295</v>
      </c>
      <c r="T2236">
        <v>12</v>
      </c>
      <c r="U2236">
        <v>51.474429039044999</v>
      </c>
      <c r="V2236" t="s">
        <v>39</v>
      </c>
      <c r="W2236">
        <v>3.8656049595045698</v>
      </c>
      <c r="X2236" t="s">
        <v>40</v>
      </c>
      <c r="Y2236" t="s">
        <v>60</v>
      </c>
      <c r="Z2236">
        <v>623.83086788329695</v>
      </c>
    </row>
    <row r="2237" spans="1:26" x14ac:dyDescent="0.3">
      <c r="A2237" t="s">
        <v>72</v>
      </c>
      <c r="B2237" t="s">
        <v>2293</v>
      </c>
      <c r="C2237">
        <v>23.913890659370999</v>
      </c>
      <c r="D2237">
        <v>18</v>
      </c>
      <c r="E2237">
        <v>292</v>
      </c>
      <c r="F2237">
        <v>6284.5704652826998</v>
      </c>
      <c r="G2237" t="s">
        <v>48</v>
      </c>
      <c r="H2237">
        <v>67</v>
      </c>
      <c r="I2237">
        <v>10</v>
      </c>
      <c r="J2237">
        <v>37</v>
      </c>
      <c r="K2237">
        <v>9</v>
      </c>
      <c r="L2237" t="s">
        <v>44</v>
      </c>
      <c r="M2237">
        <v>7.7298557853794803</v>
      </c>
      <c r="N2237" t="s">
        <v>57</v>
      </c>
      <c r="O2237" t="s">
        <v>65</v>
      </c>
      <c r="P2237">
        <f>VLOOKUP(O2237, Coordinates!$A$2:$C$6, 2, FALSE)</f>
        <v>41.878100000000003</v>
      </c>
      <c r="Q2237">
        <f>VLOOKUP(O2237, Coordinates!$A$2:$C$6, 3, FALSE)</f>
        <v>-87.629800000000003</v>
      </c>
      <c r="R2237">
        <v>14</v>
      </c>
      <c r="S2237">
        <v>459</v>
      </c>
      <c r="T2237">
        <v>5</v>
      </c>
      <c r="U2237">
        <v>89.545293045136205</v>
      </c>
      <c r="V2237" t="s">
        <v>39</v>
      </c>
      <c r="W2237">
        <v>2.0564547684539898</v>
      </c>
      <c r="X2237" t="s">
        <v>52</v>
      </c>
      <c r="Y2237" t="s">
        <v>41</v>
      </c>
      <c r="Z2237">
        <v>656.78361783809498</v>
      </c>
    </row>
    <row r="2238" spans="1:26" x14ac:dyDescent="0.3">
      <c r="A2238" t="s">
        <v>49</v>
      </c>
      <c r="B2238" t="s">
        <v>2294</v>
      </c>
      <c r="C2238">
        <v>58.714896922735498</v>
      </c>
      <c r="D2238">
        <v>37</v>
      </c>
      <c r="E2238">
        <v>922</v>
      </c>
      <c r="F2238">
        <v>7709.5277681749503</v>
      </c>
      <c r="G2238" t="s">
        <v>35</v>
      </c>
      <c r="H2238">
        <v>16</v>
      </c>
      <c r="I2238">
        <v>24</v>
      </c>
      <c r="J2238">
        <v>59</v>
      </c>
      <c r="K2238">
        <v>10</v>
      </c>
      <c r="L2238" t="s">
        <v>36</v>
      </c>
      <c r="M2238">
        <v>4.6256245898725901</v>
      </c>
      <c r="N2238" t="s">
        <v>51</v>
      </c>
      <c r="O2238" t="s">
        <v>38</v>
      </c>
      <c r="P2238">
        <f>VLOOKUP(O2238, Coordinates!$A$2:$C$6, 2, FALSE)</f>
        <v>25.761700000000001</v>
      </c>
      <c r="Q2238">
        <f>VLOOKUP(O2238, Coordinates!$A$2:$C$6, 3, FALSE)</f>
        <v>-80.191800000000001</v>
      </c>
      <c r="R2238">
        <v>7</v>
      </c>
      <c r="S2238">
        <v>871</v>
      </c>
      <c r="T2238">
        <v>7</v>
      </c>
      <c r="U2238">
        <v>26.307511774310299</v>
      </c>
      <c r="V2238" t="s">
        <v>55</v>
      </c>
      <c r="W2238">
        <v>0.59155706358019799</v>
      </c>
      <c r="X2238" t="s">
        <v>46</v>
      </c>
      <c r="Y2238" t="s">
        <v>60</v>
      </c>
      <c r="Z2238">
        <v>239.429257205623</v>
      </c>
    </row>
    <row r="2239" spans="1:26" x14ac:dyDescent="0.3">
      <c r="A2239" t="s">
        <v>82</v>
      </c>
      <c r="B2239" t="s">
        <v>2295</v>
      </c>
      <c r="C2239">
        <v>47.0139662693581</v>
      </c>
      <c r="D2239">
        <v>26</v>
      </c>
      <c r="E2239">
        <v>571</v>
      </c>
      <c r="F2239">
        <v>5547.9883000229202</v>
      </c>
      <c r="G2239" t="s">
        <v>26</v>
      </c>
      <c r="H2239">
        <v>96</v>
      </c>
      <c r="I2239">
        <v>17</v>
      </c>
      <c r="J2239">
        <v>47</v>
      </c>
      <c r="K2239">
        <v>4</v>
      </c>
      <c r="L2239" t="s">
        <v>27</v>
      </c>
      <c r="M2239">
        <v>7.5975695750594703</v>
      </c>
      <c r="N2239" t="s">
        <v>37</v>
      </c>
      <c r="O2239" t="s">
        <v>38</v>
      </c>
      <c r="P2239">
        <f>VLOOKUP(O2239, Coordinates!$A$2:$C$6, 2, FALSE)</f>
        <v>25.761700000000001</v>
      </c>
      <c r="Q2239">
        <f>VLOOKUP(O2239, Coordinates!$A$2:$C$6, 3, FALSE)</f>
        <v>-80.191800000000001</v>
      </c>
      <c r="R2239">
        <v>14</v>
      </c>
      <c r="S2239">
        <v>198</v>
      </c>
      <c r="T2239">
        <v>26</v>
      </c>
      <c r="U2239">
        <v>86.334885413154396</v>
      </c>
      <c r="V2239" t="s">
        <v>55</v>
      </c>
      <c r="W2239">
        <v>1.18596545172358</v>
      </c>
      <c r="X2239" t="s">
        <v>46</v>
      </c>
      <c r="Y2239" t="s">
        <v>41</v>
      </c>
      <c r="Z2239">
        <v>236.49636683518901</v>
      </c>
    </row>
    <row r="2240" spans="1:26" x14ac:dyDescent="0.3">
      <c r="A2240" t="s">
        <v>82</v>
      </c>
      <c r="B2240" t="s">
        <v>2296</v>
      </c>
      <c r="C2240">
        <v>80.735051894982405</v>
      </c>
      <c r="D2240">
        <v>9</v>
      </c>
      <c r="E2240">
        <v>503</v>
      </c>
      <c r="F2240">
        <v>6829.3816731120596</v>
      </c>
      <c r="G2240" t="s">
        <v>48</v>
      </c>
      <c r="H2240">
        <v>4</v>
      </c>
      <c r="I2240">
        <v>16</v>
      </c>
      <c r="J2240">
        <v>39</v>
      </c>
      <c r="K2240">
        <v>8</v>
      </c>
      <c r="L2240" t="s">
        <v>27</v>
      </c>
      <c r="M2240">
        <v>9.3699738649353996</v>
      </c>
      <c r="N2240" t="s">
        <v>51</v>
      </c>
      <c r="O2240" t="s">
        <v>29</v>
      </c>
      <c r="P2240">
        <f>VLOOKUP(O2240, Coordinates!$A$2:$C$6, 2, FALSE)</f>
        <v>29.760400000000001</v>
      </c>
      <c r="Q2240">
        <f>VLOOKUP(O2240, Coordinates!$A$2:$C$6, 3, FALSE)</f>
        <v>-95.369799999999998</v>
      </c>
      <c r="R2240">
        <v>13</v>
      </c>
      <c r="S2240">
        <v>487</v>
      </c>
      <c r="T2240">
        <v>24</v>
      </c>
      <c r="U2240">
        <v>24.6446820379435</v>
      </c>
      <c r="V2240" t="s">
        <v>55</v>
      </c>
      <c r="W2240">
        <v>3.3652228807470101</v>
      </c>
      <c r="X2240" t="s">
        <v>46</v>
      </c>
      <c r="Y2240" t="s">
        <v>60</v>
      </c>
      <c r="Z2240">
        <v>457.44130346632602</v>
      </c>
    </row>
    <row r="2241" spans="1:26" x14ac:dyDescent="0.3">
      <c r="A2241" t="s">
        <v>33</v>
      </c>
      <c r="B2241" t="s">
        <v>2297</v>
      </c>
      <c r="C2241">
        <v>73.802092023135103</v>
      </c>
      <c r="D2241">
        <v>99</v>
      </c>
      <c r="E2241">
        <v>445</v>
      </c>
      <c r="F2241">
        <v>5523.7582447798104</v>
      </c>
      <c r="G2241" t="s">
        <v>35</v>
      </c>
      <c r="H2241">
        <v>91</v>
      </c>
      <c r="I2241">
        <v>20</v>
      </c>
      <c r="J2241">
        <v>90</v>
      </c>
      <c r="K2241">
        <v>6</v>
      </c>
      <c r="L2241" t="s">
        <v>36</v>
      </c>
      <c r="M2241">
        <v>10.9769313200421</v>
      </c>
      <c r="N2241" t="s">
        <v>37</v>
      </c>
      <c r="O2241" t="s">
        <v>65</v>
      </c>
      <c r="P2241">
        <f>VLOOKUP(O2241, Coordinates!$A$2:$C$6, 2, FALSE)</f>
        <v>41.878100000000003</v>
      </c>
      <c r="Q2241">
        <f>VLOOKUP(O2241, Coordinates!$A$2:$C$6, 3, FALSE)</f>
        <v>-87.629800000000003</v>
      </c>
      <c r="R2241">
        <v>18</v>
      </c>
      <c r="S2241">
        <v>164</v>
      </c>
      <c r="T2241">
        <v>13</v>
      </c>
      <c r="U2241">
        <v>69.932289970743398</v>
      </c>
      <c r="V2241" t="s">
        <v>30</v>
      </c>
      <c r="W2241">
        <v>4.1496760168937703</v>
      </c>
      <c r="X2241" t="s">
        <v>52</v>
      </c>
      <c r="Y2241" t="s">
        <v>32</v>
      </c>
      <c r="Z2241">
        <v>411.75031630631901</v>
      </c>
    </row>
    <row r="2242" spans="1:26" x14ac:dyDescent="0.3">
      <c r="A2242" t="s">
        <v>82</v>
      </c>
      <c r="B2242" t="s">
        <v>2298</v>
      </c>
      <c r="C2242">
        <v>70.588543581551804</v>
      </c>
      <c r="D2242">
        <v>64</v>
      </c>
      <c r="E2242">
        <v>785</v>
      </c>
      <c r="F2242">
        <v>5426.3019009021</v>
      </c>
      <c r="G2242" t="s">
        <v>48</v>
      </c>
      <c r="H2242">
        <v>87</v>
      </c>
      <c r="I2242">
        <v>22</v>
      </c>
      <c r="J2242">
        <v>82</v>
      </c>
      <c r="K2242">
        <v>5</v>
      </c>
      <c r="L2242" t="s">
        <v>27</v>
      </c>
      <c r="M2242">
        <v>3.3329626285325298</v>
      </c>
      <c r="N2242" t="s">
        <v>28</v>
      </c>
      <c r="O2242" t="s">
        <v>38</v>
      </c>
      <c r="P2242">
        <f>VLOOKUP(O2242, Coordinates!$A$2:$C$6, 2, FALSE)</f>
        <v>25.761700000000001</v>
      </c>
      <c r="Q2242">
        <f>VLOOKUP(O2242, Coordinates!$A$2:$C$6, 3, FALSE)</f>
        <v>-80.191800000000001</v>
      </c>
      <c r="R2242">
        <v>25</v>
      </c>
      <c r="S2242">
        <v>396</v>
      </c>
      <c r="T2242">
        <v>9</v>
      </c>
      <c r="U2242">
        <v>47.667524209101202</v>
      </c>
      <c r="V2242" t="s">
        <v>30</v>
      </c>
      <c r="W2242">
        <v>4.8972024591565804</v>
      </c>
      <c r="X2242" t="s">
        <v>52</v>
      </c>
      <c r="Y2242" t="s">
        <v>32</v>
      </c>
      <c r="Z2242">
        <v>740.85440316227596</v>
      </c>
    </row>
    <row r="2243" spans="1:26" x14ac:dyDescent="0.3">
      <c r="A2243" t="s">
        <v>72</v>
      </c>
      <c r="B2243" t="s">
        <v>2299</v>
      </c>
      <c r="C2243">
        <v>32.481266532306499</v>
      </c>
      <c r="D2243">
        <v>72</v>
      </c>
      <c r="E2243">
        <v>307</v>
      </c>
      <c r="F2243">
        <v>8974.5739428762899</v>
      </c>
      <c r="G2243" t="s">
        <v>35</v>
      </c>
      <c r="H2243">
        <v>80</v>
      </c>
      <c r="I2243">
        <v>6</v>
      </c>
      <c r="J2243">
        <v>63</v>
      </c>
      <c r="K2243">
        <v>4</v>
      </c>
      <c r="L2243" t="s">
        <v>27</v>
      </c>
      <c r="M2243">
        <v>12.3835437585908</v>
      </c>
      <c r="N2243" t="s">
        <v>57</v>
      </c>
      <c r="O2243" t="s">
        <v>65</v>
      </c>
      <c r="P2243">
        <f>VLOOKUP(O2243, Coordinates!$A$2:$C$6, 2, FALSE)</f>
        <v>41.878100000000003</v>
      </c>
      <c r="Q2243">
        <f>VLOOKUP(O2243, Coordinates!$A$2:$C$6, 3, FALSE)</f>
        <v>-87.629800000000003</v>
      </c>
      <c r="R2243">
        <v>2</v>
      </c>
      <c r="S2243">
        <v>526</v>
      </c>
      <c r="T2243">
        <v>6</v>
      </c>
      <c r="U2243">
        <v>93.106225187416996</v>
      </c>
      <c r="V2243" t="s">
        <v>39</v>
      </c>
      <c r="W2243">
        <v>0.66081092006852205</v>
      </c>
      <c r="X2243" t="s">
        <v>46</v>
      </c>
      <c r="Y2243" t="s">
        <v>60</v>
      </c>
      <c r="Z2243">
        <v>750.48434034607703</v>
      </c>
    </row>
    <row r="2244" spans="1:26" x14ac:dyDescent="0.3">
      <c r="A2244" t="s">
        <v>24</v>
      </c>
      <c r="B2244" t="s">
        <v>2300</v>
      </c>
      <c r="C2244">
        <v>24.4655521082869</v>
      </c>
      <c r="D2244">
        <v>20</v>
      </c>
      <c r="E2244">
        <v>91</v>
      </c>
      <c r="F2244">
        <v>2003.7287176687</v>
      </c>
      <c r="G2244" t="s">
        <v>48</v>
      </c>
      <c r="H2244">
        <v>49</v>
      </c>
      <c r="I2244">
        <v>7</v>
      </c>
      <c r="J2244">
        <v>80</v>
      </c>
      <c r="K2244">
        <v>5</v>
      </c>
      <c r="L2244" t="s">
        <v>27</v>
      </c>
      <c r="M2244">
        <v>5.8413578784735103</v>
      </c>
      <c r="N2244" t="s">
        <v>45</v>
      </c>
      <c r="O2244" t="s">
        <v>38</v>
      </c>
      <c r="P2244">
        <f>VLOOKUP(O2244, Coordinates!$A$2:$C$6, 2, FALSE)</f>
        <v>25.761700000000001</v>
      </c>
      <c r="Q2244">
        <f>VLOOKUP(O2244, Coordinates!$A$2:$C$6, 3, FALSE)</f>
        <v>-80.191800000000001</v>
      </c>
      <c r="R2244">
        <v>25</v>
      </c>
      <c r="S2244">
        <v>322</v>
      </c>
      <c r="T2244">
        <v>21</v>
      </c>
      <c r="U2244">
        <v>77.281701567298299</v>
      </c>
      <c r="V2244" t="s">
        <v>55</v>
      </c>
      <c r="W2244">
        <v>3.6816996794843302</v>
      </c>
      <c r="X2244" t="s">
        <v>40</v>
      </c>
      <c r="Y2244" t="s">
        <v>32</v>
      </c>
      <c r="Z2244">
        <v>607.41283576852095</v>
      </c>
    </row>
    <row r="2245" spans="1:26" x14ac:dyDescent="0.3">
      <c r="A2245" t="s">
        <v>72</v>
      </c>
      <c r="B2245" t="s">
        <v>2301</v>
      </c>
      <c r="C2245">
        <v>38.856412852697503</v>
      </c>
      <c r="D2245">
        <v>54</v>
      </c>
      <c r="E2245">
        <v>834</v>
      </c>
      <c r="F2245">
        <v>29165.623487234701</v>
      </c>
      <c r="G2245" t="s">
        <v>54</v>
      </c>
      <c r="H2245">
        <v>39</v>
      </c>
      <c r="I2245">
        <v>14</v>
      </c>
      <c r="J2245">
        <v>55</v>
      </c>
      <c r="K2245">
        <v>1</v>
      </c>
      <c r="L2245" t="s">
        <v>27</v>
      </c>
      <c r="M2245">
        <v>8.0456131660649692</v>
      </c>
      <c r="N2245" t="s">
        <v>37</v>
      </c>
      <c r="O2245" t="s">
        <v>38</v>
      </c>
      <c r="P2245">
        <f>VLOOKUP(O2245, Coordinates!$A$2:$C$6, 2, FALSE)</f>
        <v>25.761700000000001</v>
      </c>
      <c r="Q2245">
        <f>VLOOKUP(O2245, Coordinates!$A$2:$C$6, 3, FALSE)</f>
        <v>-80.191800000000001</v>
      </c>
      <c r="R2245">
        <v>11</v>
      </c>
      <c r="S2245">
        <v>856</v>
      </c>
      <c r="T2245">
        <v>7</v>
      </c>
      <c r="U2245">
        <v>90.936236419552401</v>
      </c>
      <c r="V2245" t="s">
        <v>39</v>
      </c>
      <c r="W2245">
        <v>0.212197383450731</v>
      </c>
      <c r="X2245" t="s">
        <v>31</v>
      </c>
      <c r="Y2245" t="s">
        <v>60</v>
      </c>
      <c r="Z2245">
        <v>461.808281519155</v>
      </c>
    </row>
    <row r="2246" spans="1:26" x14ac:dyDescent="0.3">
      <c r="A2246" t="s">
        <v>72</v>
      </c>
      <c r="B2246" t="s">
        <v>2302</v>
      </c>
      <c r="D2246">
        <v>86</v>
      </c>
      <c r="E2246">
        <v>442</v>
      </c>
      <c r="F2246">
        <v>11877.9071927614</v>
      </c>
      <c r="G2246" t="s">
        <v>48</v>
      </c>
      <c r="H2246">
        <v>45</v>
      </c>
      <c r="I2246">
        <v>11</v>
      </c>
      <c r="J2246">
        <v>37</v>
      </c>
      <c r="K2246">
        <v>7</v>
      </c>
      <c r="L2246" t="s">
        <v>27</v>
      </c>
      <c r="M2246">
        <v>9.5106604323486508</v>
      </c>
      <c r="N2246" t="s">
        <v>28</v>
      </c>
      <c r="O2246" t="s">
        <v>38</v>
      </c>
      <c r="P2246">
        <f>VLOOKUP(O2246, Coordinates!$A$2:$C$6, 2, FALSE)</f>
        <v>25.761700000000001</v>
      </c>
      <c r="Q2246">
        <f>VLOOKUP(O2246, Coordinates!$A$2:$C$6, 3, FALSE)</f>
        <v>-80.191800000000001</v>
      </c>
      <c r="R2246">
        <v>20</v>
      </c>
      <c r="S2246">
        <v>794</v>
      </c>
      <c r="T2246">
        <v>18</v>
      </c>
      <c r="U2246">
        <v>86.143436460000004</v>
      </c>
      <c r="V2246" t="s">
        <v>30</v>
      </c>
      <c r="W2246">
        <v>1.3018226275109399</v>
      </c>
      <c r="X2246" t="s">
        <v>46</v>
      </c>
      <c r="Y2246" t="s">
        <v>41</v>
      </c>
      <c r="Z2246">
        <v>709.12862895108003</v>
      </c>
    </row>
    <row r="2247" spans="1:26" x14ac:dyDescent="0.3">
      <c r="A2247" t="s">
        <v>33</v>
      </c>
      <c r="B2247" t="s">
        <v>2303</v>
      </c>
      <c r="C2247">
        <v>36.884210932901603</v>
      </c>
      <c r="D2247">
        <v>83</v>
      </c>
      <c r="E2247">
        <v>545</v>
      </c>
      <c r="F2247">
        <v>9756.79642378274</v>
      </c>
      <c r="G2247" t="s">
        <v>48</v>
      </c>
      <c r="H2247">
        <v>50</v>
      </c>
      <c r="I2247">
        <v>12</v>
      </c>
      <c r="J2247">
        <v>26</v>
      </c>
      <c r="K2247">
        <v>8</v>
      </c>
      <c r="L2247" t="s">
        <v>27</v>
      </c>
      <c r="M2247">
        <v>7.8333321870944603</v>
      </c>
      <c r="N2247" t="s">
        <v>51</v>
      </c>
      <c r="O2247" t="s">
        <v>38</v>
      </c>
      <c r="P2247">
        <f>VLOOKUP(O2247, Coordinates!$A$2:$C$6, 2, FALSE)</f>
        <v>25.761700000000001</v>
      </c>
      <c r="Q2247">
        <f>VLOOKUP(O2247, Coordinates!$A$2:$C$6, 3, FALSE)</f>
        <v>-80.191800000000001</v>
      </c>
      <c r="R2247">
        <v>29</v>
      </c>
      <c r="S2247">
        <v>248</v>
      </c>
      <c r="T2247">
        <v>15</v>
      </c>
      <c r="U2247">
        <v>10.4817133777769</v>
      </c>
      <c r="V2247" t="s">
        <v>30</v>
      </c>
      <c r="W2247">
        <v>4.10533719405655</v>
      </c>
      <c r="X2247" t="s">
        <v>46</v>
      </c>
      <c r="Y2247" t="s">
        <v>60</v>
      </c>
      <c r="Z2247">
        <v>718.61099410889199</v>
      </c>
    </row>
    <row r="2248" spans="1:26" x14ac:dyDescent="0.3">
      <c r="A2248" t="s">
        <v>33</v>
      </c>
      <c r="B2248" t="s">
        <v>2304</v>
      </c>
      <c r="C2248">
        <v>12.2967069015817</v>
      </c>
      <c r="D2248">
        <v>30</v>
      </c>
      <c r="E2248">
        <v>26</v>
      </c>
      <c r="F2248">
        <v>2378.0210119497801</v>
      </c>
      <c r="G2248" t="s">
        <v>35</v>
      </c>
      <c r="H2248">
        <v>10</v>
      </c>
      <c r="I2248">
        <v>14</v>
      </c>
      <c r="J2248">
        <v>57</v>
      </c>
      <c r="K2248">
        <v>9</v>
      </c>
      <c r="L2248" t="s">
        <v>27</v>
      </c>
      <c r="M2248">
        <v>9.0073966581576599</v>
      </c>
      <c r="N2248" t="s">
        <v>28</v>
      </c>
      <c r="O2248" t="s">
        <v>29</v>
      </c>
      <c r="P2248">
        <f>VLOOKUP(O2248, Coordinates!$A$2:$C$6, 2, FALSE)</f>
        <v>29.760400000000001</v>
      </c>
      <c r="Q2248">
        <f>VLOOKUP(O2248, Coordinates!$A$2:$C$6, 3, FALSE)</f>
        <v>-95.369799999999998</v>
      </c>
      <c r="R2248">
        <v>26</v>
      </c>
      <c r="S2248">
        <v>608</v>
      </c>
      <c r="T2248">
        <v>8</v>
      </c>
      <c r="U2248">
        <v>33.729419704559803</v>
      </c>
      <c r="V2248" t="s">
        <v>30</v>
      </c>
      <c r="W2248">
        <v>0.99128428365453802</v>
      </c>
      <c r="X2248" t="s">
        <v>46</v>
      </c>
      <c r="Y2248" t="s">
        <v>41</v>
      </c>
      <c r="Z2248">
        <v>828.19175059999998</v>
      </c>
    </row>
    <row r="2249" spans="1:26" x14ac:dyDescent="0.3">
      <c r="A2249" t="s">
        <v>82</v>
      </c>
      <c r="B2249" t="s">
        <v>2305</v>
      </c>
      <c r="C2249">
        <v>27.32445637</v>
      </c>
      <c r="D2249">
        <v>53</v>
      </c>
      <c r="E2249">
        <v>837</v>
      </c>
      <c r="F2249">
        <v>3423.4338187468602</v>
      </c>
      <c r="G2249" t="s">
        <v>35</v>
      </c>
      <c r="H2249">
        <v>11</v>
      </c>
      <c r="I2249">
        <v>5</v>
      </c>
      <c r="J2249">
        <v>53</v>
      </c>
      <c r="K2249">
        <v>3</v>
      </c>
      <c r="L2249" t="s">
        <v>27</v>
      </c>
      <c r="M2249">
        <v>2.5613285055601902</v>
      </c>
      <c r="N2249" t="s">
        <v>51</v>
      </c>
      <c r="O2249" t="s">
        <v>29</v>
      </c>
      <c r="P2249">
        <f>VLOOKUP(O2249, Coordinates!$A$2:$C$6, 2, FALSE)</f>
        <v>29.760400000000001</v>
      </c>
      <c r="Q2249">
        <f>VLOOKUP(O2249, Coordinates!$A$2:$C$6, 3, FALSE)</f>
        <v>-95.369799999999998</v>
      </c>
      <c r="R2249">
        <v>11</v>
      </c>
      <c r="S2249">
        <v>541</v>
      </c>
      <c r="T2249">
        <v>28</v>
      </c>
      <c r="U2249">
        <v>46.692716729434203</v>
      </c>
      <c r="V2249" t="s">
        <v>55</v>
      </c>
      <c r="W2249">
        <v>2.7393237494753402</v>
      </c>
      <c r="X2249" t="s">
        <v>40</v>
      </c>
      <c r="Y2249" t="s">
        <v>60</v>
      </c>
      <c r="Z2249">
        <v>830.55718041044702</v>
      </c>
    </row>
    <row r="2250" spans="1:26" x14ac:dyDescent="0.3">
      <c r="A2250" t="s">
        <v>61</v>
      </c>
      <c r="B2250" t="s">
        <v>2306</v>
      </c>
      <c r="C2250">
        <v>83.864343384802197</v>
      </c>
      <c r="D2250">
        <v>92</v>
      </c>
      <c r="E2250">
        <v>801</v>
      </c>
      <c r="F2250">
        <v>6315.3069196472597</v>
      </c>
      <c r="G2250" t="s">
        <v>54</v>
      </c>
      <c r="H2250">
        <v>12</v>
      </c>
      <c r="I2250">
        <v>5</v>
      </c>
      <c r="J2250">
        <v>69</v>
      </c>
      <c r="K2250">
        <v>9</v>
      </c>
      <c r="L2250" t="s">
        <v>36</v>
      </c>
      <c r="M2250">
        <v>7.0501763715208901</v>
      </c>
      <c r="N2250" t="s">
        <v>51</v>
      </c>
      <c r="O2250" t="s">
        <v>38</v>
      </c>
      <c r="P2250">
        <f>VLOOKUP(O2250, Coordinates!$A$2:$C$6, 2, FALSE)</f>
        <v>25.761700000000001</v>
      </c>
      <c r="Q2250">
        <f>VLOOKUP(O2250, Coordinates!$A$2:$C$6, 3, FALSE)</f>
        <v>-80.191800000000001</v>
      </c>
      <c r="R2250">
        <v>26</v>
      </c>
      <c r="S2250">
        <v>513</v>
      </c>
      <c r="T2250">
        <v>20</v>
      </c>
      <c r="U2250">
        <v>38.2775278104032</v>
      </c>
      <c r="V2250" t="s">
        <v>30</v>
      </c>
      <c r="W2250">
        <v>2.2320359900300901</v>
      </c>
      <c r="X2250" t="s">
        <v>52</v>
      </c>
      <c r="Y2250" t="s">
        <v>41</v>
      </c>
      <c r="Z2250">
        <v>162.61044682558699</v>
      </c>
    </row>
    <row r="2251" spans="1:26" x14ac:dyDescent="0.3">
      <c r="A2251" t="s">
        <v>61</v>
      </c>
      <c r="B2251" t="s">
        <v>2307</v>
      </c>
      <c r="C2251">
        <v>95.083896090057493</v>
      </c>
      <c r="D2251">
        <v>99</v>
      </c>
      <c r="E2251">
        <v>564</v>
      </c>
      <c r="F2251">
        <v>6491.6071861297696</v>
      </c>
      <c r="G2251" t="s">
        <v>35</v>
      </c>
      <c r="H2251">
        <v>63</v>
      </c>
      <c r="I2251">
        <v>20</v>
      </c>
      <c r="J2251">
        <v>69</v>
      </c>
      <c r="K2251">
        <v>10</v>
      </c>
      <c r="L2251" t="s">
        <v>44</v>
      </c>
      <c r="M2251">
        <v>4.9265445931071596</v>
      </c>
      <c r="N2251" t="s">
        <v>51</v>
      </c>
      <c r="O2251" t="s">
        <v>38</v>
      </c>
      <c r="P2251">
        <f>VLOOKUP(O2251, Coordinates!$A$2:$C$6, 2, FALSE)</f>
        <v>25.761700000000001</v>
      </c>
      <c r="Q2251">
        <f>VLOOKUP(O2251, Coordinates!$A$2:$C$6, 3, FALSE)</f>
        <v>-80.191800000000001</v>
      </c>
      <c r="R2251">
        <v>6</v>
      </c>
      <c r="S2251">
        <v>215</v>
      </c>
      <c r="T2251">
        <v>16</v>
      </c>
      <c r="U2251">
        <v>42.620451761253896</v>
      </c>
      <c r="V2251" t="s">
        <v>39</v>
      </c>
      <c r="W2251">
        <v>1.62913121170068</v>
      </c>
      <c r="X2251" t="s">
        <v>31</v>
      </c>
      <c r="Y2251" t="s">
        <v>32</v>
      </c>
      <c r="Z2251">
        <v>436.64622857286997</v>
      </c>
    </row>
    <row r="2252" spans="1:26" x14ac:dyDescent="0.3">
      <c r="A2252" t="s">
        <v>33</v>
      </c>
      <c r="B2252" t="s">
        <v>2308</v>
      </c>
      <c r="C2252">
        <v>33.937223799999998</v>
      </c>
      <c r="D2252">
        <v>63</v>
      </c>
      <c r="E2252">
        <v>521</v>
      </c>
      <c r="F2252">
        <v>2385.7671676944601</v>
      </c>
      <c r="G2252" t="s">
        <v>48</v>
      </c>
      <c r="H2252">
        <v>7</v>
      </c>
      <c r="I2252">
        <v>22</v>
      </c>
      <c r="J2252">
        <v>14</v>
      </c>
      <c r="K2252">
        <v>5</v>
      </c>
      <c r="L2252" t="s">
        <v>27</v>
      </c>
      <c r="M2252">
        <v>2.2043661544161801</v>
      </c>
      <c r="N2252" t="s">
        <v>51</v>
      </c>
      <c r="O2252" t="s">
        <v>58</v>
      </c>
      <c r="P2252">
        <f>VLOOKUP(O2252, Coordinates!$A$2:$C$6, 2, FALSE)</f>
        <v>34.052199999999999</v>
      </c>
      <c r="Q2252">
        <f>VLOOKUP(O2252, Coordinates!$A$2:$C$6, 3, FALSE)</f>
        <v>-118.2437</v>
      </c>
      <c r="R2252">
        <v>1</v>
      </c>
      <c r="S2252">
        <v>552</v>
      </c>
      <c r="T2252">
        <v>17</v>
      </c>
      <c r="U2252">
        <v>92.5004718223461</v>
      </c>
      <c r="V2252" t="s">
        <v>55</v>
      </c>
      <c r="W2252">
        <v>3.0917320672723201</v>
      </c>
      <c r="X2252" t="s">
        <v>31</v>
      </c>
      <c r="Y2252" t="s">
        <v>60</v>
      </c>
      <c r="Z2252">
        <v>477.93627675147098</v>
      </c>
    </row>
    <row r="2253" spans="1:26" x14ac:dyDescent="0.3">
      <c r="A2253" t="s">
        <v>82</v>
      </c>
      <c r="B2253" t="s">
        <v>2309</v>
      </c>
      <c r="C2253">
        <v>30.129001378939599</v>
      </c>
      <c r="D2253">
        <v>11</v>
      </c>
      <c r="E2253">
        <v>766</v>
      </c>
      <c r="F2253">
        <v>8143.4568320669096</v>
      </c>
      <c r="G2253" t="s">
        <v>35</v>
      </c>
      <c r="H2253">
        <v>64</v>
      </c>
      <c r="I2253">
        <v>23</v>
      </c>
      <c r="J2253">
        <v>78</v>
      </c>
      <c r="K2253">
        <v>10</v>
      </c>
      <c r="L2253" t="s">
        <v>36</v>
      </c>
      <c r="M2253">
        <v>3.6830891588479102</v>
      </c>
      <c r="N2253" t="s">
        <v>57</v>
      </c>
      <c r="O2253" t="s">
        <v>58</v>
      </c>
      <c r="P2253">
        <f>VLOOKUP(O2253, Coordinates!$A$2:$C$6, 2, FALSE)</f>
        <v>34.052199999999999</v>
      </c>
      <c r="Q2253">
        <f>VLOOKUP(O2253, Coordinates!$A$2:$C$6, 3, FALSE)</f>
        <v>-118.2437</v>
      </c>
      <c r="R2253">
        <v>5</v>
      </c>
      <c r="S2253">
        <v>419</v>
      </c>
      <c r="T2253">
        <v>3</v>
      </c>
      <c r="U2253">
        <v>42.484062915309401</v>
      </c>
      <c r="V2253" t="s">
        <v>30</v>
      </c>
      <c r="W2253">
        <v>2.51162894665097</v>
      </c>
      <c r="X2253" t="s">
        <v>52</v>
      </c>
      <c r="Y2253" t="s">
        <v>32</v>
      </c>
      <c r="Z2253">
        <v>862.23254497626499</v>
      </c>
    </row>
    <row r="2254" spans="1:26" x14ac:dyDescent="0.3">
      <c r="A2254" t="s">
        <v>61</v>
      </c>
      <c r="B2254" t="s">
        <v>2310</v>
      </c>
      <c r="C2254">
        <v>31.589801963410501</v>
      </c>
      <c r="D2254">
        <v>31</v>
      </c>
      <c r="E2254">
        <v>679</v>
      </c>
      <c r="F2254">
        <v>8066.8258112154199</v>
      </c>
      <c r="G2254" t="s">
        <v>35</v>
      </c>
      <c r="H2254">
        <v>8</v>
      </c>
      <c r="I2254">
        <v>26</v>
      </c>
      <c r="J2254">
        <v>87</v>
      </c>
      <c r="K2254">
        <v>6</v>
      </c>
      <c r="L2254" t="s">
        <v>27</v>
      </c>
      <c r="M2254">
        <v>9.4342239299844106</v>
      </c>
      <c r="N2254" t="s">
        <v>51</v>
      </c>
      <c r="O2254" t="s">
        <v>65</v>
      </c>
      <c r="P2254">
        <f>VLOOKUP(O2254, Coordinates!$A$2:$C$6, 2, FALSE)</f>
        <v>41.878100000000003</v>
      </c>
      <c r="Q2254">
        <f>VLOOKUP(O2254, Coordinates!$A$2:$C$6, 3, FALSE)</f>
        <v>-87.629800000000003</v>
      </c>
      <c r="R2254">
        <v>22</v>
      </c>
      <c r="S2254">
        <v>869</v>
      </c>
      <c r="T2254">
        <v>13</v>
      </c>
      <c r="U2254">
        <v>47.694644146245899</v>
      </c>
      <c r="V2254" t="s">
        <v>55</v>
      </c>
      <c r="W2254">
        <v>1.67381586742291</v>
      </c>
      <c r="X2254" t="s">
        <v>46</v>
      </c>
      <c r="Y2254" t="s">
        <v>32</v>
      </c>
      <c r="Z2254">
        <v>551.62700817861901</v>
      </c>
    </row>
    <row r="2255" spans="1:26" x14ac:dyDescent="0.3">
      <c r="A2255" t="s">
        <v>82</v>
      </c>
      <c r="B2255" t="s">
        <v>2311</v>
      </c>
      <c r="C2255">
        <v>31.383313298330101</v>
      </c>
      <c r="D2255">
        <v>49</v>
      </c>
      <c r="E2255">
        <v>507</v>
      </c>
      <c r="F2255">
        <v>3135.8593378350101</v>
      </c>
      <c r="G2255" t="s">
        <v>35</v>
      </c>
      <c r="H2255">
        <v>91</v>
      </c>
      <c r="I2255">
        <v>15</v>
      </c>
      <c r="J2255">
        <v>79</v>
      </c>
      <c r="K2255">
        <v>9</v>
      </c>
      <c r="L2255" t="s">
        <v>44</v>
      </c>
      <c r="M2255">
        <v>3.7536096371203</v>
      </c>
      <c r="N2255" t="s">
        <v>57</v>
      </c>
      <c r="O2255" t="s">
        <v>65</v>
      </c>
      <c r="P2255">
        <f>VLOOKUP(O2255, Coordinates!$A$2:$C$6, 2, FALSE)</f>
        <v>41.878100000000003</v>
      </c>
      <c r="Q2255">
        <f>VLOOKUP(O2255, Coordinates!$A$2:$C$6, 3, FALSE)</f>
        <v>-87.629800000000003</v>
      </c>
      <c r="R2255">
        <v>25</v>
      </c>
      <c r="S2255">
        <v>982</v>
      </c>
      <c r="T2255">
        <v>9</v>
      </c>
      <c r="U2255">
        <v>78.501839822030107</v>
      </c>
      <c r="V2255" t="s">
        <v>55</v>
      </c>
      <c r="W2255">
        <v>3.44425442560002</v>
      </c>
      <c r="X2255" t="s">
        <v>46</v>
      </c>
      <c r="Y2255" t="s">
        <v>41</v>
      </c>
      <c r="Z2255">
        <v>931.14722118838301</v>
      </c>
    </row>
    <row r="2256" spans="1:26" x14ac:dyDescent="0.3">
      <c r="A2256" t="s">
        <v>82</v>
      </c>
      <c r="B2256" t="s">
        <v>2312</v>
      </c>
      <c r="C2256">
        <v>8.4133673076674302</v>
      </c>
      <c r="D2256">
        <v>100</v>
      </c>
      <c r="E2256">
        <v>718</v>
      </c>
      <c r="F2256">
        <v>3597.9967240791402</v>
      </c>
      <c r="G2256" t="s">
        <v>54</v>
      </c>
      <c r="H2256">
        <v>1</v>
      </c>
      <c r="I2256">
        <v>26</v>
      </c>
      <c r="J2256">
        <v>16</v>
      </c>
      <c r="K2256">
        <v>9</v>
      </c>
      <c r="L2256" t="s">
        <v>27</v>
      </c>
      <c r="M2256">
        <v>3.5348961416672999</v>
      </c>
      <c r="N2256" t="s">
        <v>45</v>
      </c>
      <c r="O2256" t="s">
        <v>38</v>
      </c>
      <c r="P2256">
        <f>VLOOKUP(O2256, Coordinates!$A$2:$C$6, 2, FALSE)</f>
        <v>25.761700000000001</v>
      </c>
      <c r="Q2256">
        <f>VLOOKUP(O2256, Coordinates!$A$2:$C$6, 3, FALSE)</f>
        <v>-80.191800000000001</v>
      </c>
      <c r="R2256">
        <v>29</v>
      </c>
      <c r="S2256">
        <v>550</v>
      </c>
      <c r="T2256">
        <v>20</v>
      </c>
      <c r="U2256">
        <v>81.445020917353702</v>
      </c>
      <c r="V2256" t="s">
        <v>55</v>
      </c>
      <c r="W2256">
        <v>3.6579978459039499</v>
      </c>
      <c r="X2256" t="s">
        <v>31</v>
      </c>
      <c r="Y2256" t="s">
        <v>32</v>
      </c>
      <c r="Z2256">
        <v>598.39502398037996</v>
      </c>
    </row>
    <row r="2257" spans="1:26" x14ac:dyDescent="0.3">
      <c r="A2257" t="s">
        <v>82</v>
      </c>
      <c r="B2257" t="s">
        <v>2313</v>
      </c>
      <c r="C2257">
        <v>93.057052901455194</v>
      </c>
      <c r="D2257">
        <v>94</v>
      </c>
      <c r="E2257">
        <v>471</v>
      </c>
      <c r="F2257">
        <v>9441.8907891354702</v>
      </c>
      <c r="G2257" t="s">
        <v>54</v>
      </c>
      <c r="H2257">
        <v>77</v>
      </c>
      <c r="I2257">
        <v>1</v>
      </c>
      <c r="J2257">
        <v>62</v>
      </c>
      <c r="K2257">
        <v>9</v>
      </c>
      <c r="L2257" t="s">
        <v>36</v>
      </c>
      <c r="M2257">
        <v>8.7396260534129002</v>
      </c>
      <c r="N2257" t="s">
        <v>57</v>
      </c>
      <c r="O2257" t="s">
        <v>67</v>
      </c>
      <c r="P2257">
        <f>VLOOKUP(O2257, Coordinates!$A$2:$C$6, 2, FALSE)</f>
        <v>40.712800000000001</v>
      </c>
      <c r="Q2257">
        <f>VLOOKUP(O2257, Coordinates!$A$2:$C$6, 3, FALSE)</f>
        <v>-74.006</v>
      </c>
      <c r="R2257">
        <v>25</v>
      </c>
      <c r="S2257">
        <v>995</v>
      </c>
      <c r="T2257">
        <v>15</v>
      </c>
      <c r="U2257">
        <v>17.568068660802499</v>
      </c>
      <c r="V2257" t="s">
        <v>30</v>
      </c>
      <c r="W2257">
        <v>3.2159166989724</v>
      </c>
      <c r="X2257" t="s">
        <v>31</v>
      </c>
      <c r="Y2257" t="s">
        <v>41</v>
      </c>
      <c r="Z2257">
        <v>214.49270333862401</v>
      </c>
    </row>
    <row r="2258" spans="1:26" x14ac:dyDescent="0.3">
      <c r="A2258" t="s">
        <v>42</v>
      </c>
      <c r="B2258" t="s">
        <v>2314</v>
      </c>
      <c r="C2258">
        <v>25.301323449181101</v>
      </c>
      <c r="D2258">
        <v>87</v>
      </c>
      <c r="E2258">
        <v>105</v>
      </c>
      <c r="F2258">
        <v>8431.0430138153006</v>
      </c>
      <c r="G2258" t="s">
        <v>26</v>
      </c>
      <c r="H2258">
        <v>12</v>
      </c>
      <c r="I2258">
        <v>25</v>
      </c>
      <c r="J2258">
        <v>26</v>
      </c>
      <c r="K2258">
        <v>6</v>
      </c>
      <c r="L2258" t="s">
        <v>36</v>
      </c>
      <c r="M2258">
        <v>13.6658350938977</v>
      </c>
      <c r="N2258" t="s">
        <v>51</v>
      </c>
      <c r="O2258" t="s">
        <v>58</v>
      </c>
      <c r="P2258">
        <f>VLOOKUP(O2258, Coordinates!$A$2:$C$6, 2, FALSE)</f>
        <v>34.052199999999999</v>
      </c>
      <c r="Q2258">
        <f>VLOOKUP(O2258, Coordinates!$A$2:$C$6, 3, FALSE)</f>
        <v>-118.2437</v>
      </c>
      <c r="R2258">
        <v>16</v>
      </c>
      <c r="S2258">
        <v>178</v>
      </c>
      <c r="T2258">
        <v>26</v>
      </c>
      <c r="U2258">
        <v>73.366303111030305</v>
      </c>
      <c r="V2258" t="s">
        <v>39</v>
      </c>
      <c r="W2258">
        <v>4.7862293417077497</v>
      </c>
      <c r="X2258" t="s">
        <v>46</v>
      </c>
      <c r="Y2258" t="s">
        <v>32</v>
      </c>
      <c r="Z2258">
        <v>608.76693452818802</v>
      </c>
    </row>
    <row r="2259" spans="1:26" x14ac:dyDescent="0.3">
      <c r="A2259" t="s">
        <v>72</v>
      </c>
      <c r="B2259" t="s">
        <v>2315</v>
      </c>
      <c r="C2259">
        <v>24.074447825358401</v>
      </c>
      <c r="D2259">
        <v>19</v>
      </c>
      <c r="E2259">
        <v>587</v>
      </c>
      <c r="F2259">
        <v>12718.5307861368</v>
      </c>
      <c r="G2259" t="s">
        <v>54</v>
      </c>
      <c r="H2259">
        <v>1</v>
      </c>
      <c r="I2259">
        <v>30</v>
      </c>
      <c r="J2259">
        <v>68</v>
      </c>
      <c r="K2259">
        <v>8</v>
      </c>
      <c r="L2259" t="s">
        <v>44</v>
      </c>
      <c r="M2259">
        <v>12.0416999089576</v>
      </c>
      <c r="N2259" t="s">
        <v>45</v>
      </c>
      <c r="O2259" t="s">
        <v>38</v>
      </c>
      <c r="P2259">
        <f>VLOOKUP(O2259, Coordinates!$A$2:$C$6, 2, FALSE)</f>
        <v>25.761700000000001</v>
      </c>
      <c r="Q2259">
        <f>VLOOKUP(O2259, Coordinates!$A$2:$C$6, 3, FALSE)</f>
        <v>-80.191800000000001</v>
      </c>
      <c r="R2259">
        <v>29</v>
      </c>
      <c r="S2259">
        <v>842</v>
      </c>
      <c r="T2259">
        <v>26</v>
      </c>
      <c r="U2259">
        <v>92.352102121048603</v>
      </c>
      <c r="V2259" t="s">
        <v>39</v>
      </c>
      <c r="W2259">
        <v>4.9349588417105199</v>
      </c>
      <c r="X2259" t="s">
        <v>40</v>
      </c>
      <c r="Y2259" t="s">
        <v>32</v>
      </c>
      <c r="Z2259">
        <v>596.39252157399005</v>
      </c>
    </row>
    <row r="2260" spans="1:26" x14ac:dyDescent="0.3">
      <c r="A2260" t="s">
        <v>82</v>
      </c>
      <c r="B2260" t="s">
        <v>2316</v>
      </c>
      <c r="C2260">
        <v>5.9202538603919299</v>
      </c>
      <c r="D2260">
        <v>12</v>
      </c>
      <c r="E2260">
        <v>946</v>
      </c>
      <c r="F2260">
        <v>1740.0989935954001</v>
      </c>
      <c r="G2260" t="s">
        <v>54</v>
      </c>
      <c r="H2260">
        <v>67</v>
      </c>
      <c r="I2260">
        <v>24</v>
      </c>
      <c r="J2260">
        <v>18</v>
      </c>
      <c r="K2260">
        <v>4</v>
      </c>
      <c r="L2260" t="s">
        <v>27</v>
      </c>
      <c r="M2260">
        <v>13.6712475472779</v>
      </c>
      <c r="N2260" t="s">
        <v>28</v>
      </c>
      <c r="O2260" t="s">
        <v>58</v>
      </c>
      <c r="P2260">
        <f>VLOOKUP(O2260, Coordinates!$A$2:$C$6, 2, FALSE)</f>
        <v>34.052199999999999</v>
      </c>
      <c r="Q2260">
        <f>VLOOKUP(O2260, Coordinates!$A$2:$C$6, 3, FALSE)</f>
        <v>-118.2437</v>
      </c>
      <c r="R2260">
        <v>30</v>
      </c>
      <c r="S2260">
        <v>456</v>
      </c>
      <c r="T2260">
        <v>30</v>
      </c>
      <c r="U2260">
        <v>22.046850391388901</v>
      </c>
      <c r="V2260" t="s">
        <v>39</v>
      </c>
      <c r="W2260">
        <v>2.091997798</v>
      </c>
      <c r="X2260" t="s">
        <v>46</v>
      </c>
      <c r="Y2260" t="s">
        <v>60</v>
      </c>
      <c r="Z2260">
        <v>778.98290984354401</v>
      </c>
    </row>
    <row r="2261" spans="1:26" x14ac:dyDescent="0.3">
      <c r="A2261" t="s">
        <v>42</v>
      </c>
      <c r="B2261" t="s">
        <v>2317</v>
      </c>
      <c r="C2261">
        <v>86.505733636930401</v>
      </c>
      <c r="D2261">
        <v>15</v>
      </c>
      <c r="E2261">
        <v>679</v>
      </c>
      <c r="F2261">
        <v>4764.3767281231803</v>
      </c>
      <c r="G2261" t="s">
        <v>54</v>
      </c>
      <c r="H2261">
        <v>75</v>
      </c>
      <c r="I2261">
        <v>23</v>
      </c>
      <c r="J2261">
        <v>31</v>
      </c>
      <c r="K2261">
        <v>5</v>
      </c>
      <c r="L2261" t="s">
        <v>36</v>
      </c>
      <c r="M2261">
        <v>9.1617228321512094</v>
      </c>
      <c r="N2261" t="s">
        <v>57</v>
      </c>
      <c r="O2261" t="s">
        <v>58</v>
      </c>
      <c r="P2261">
        <f>VLOOKUP(O2261, Coordinates!$A$2:$C$6, 2, FALSE)</f>
        <v>34.052199999999999</v>
      </c>
      <c r="Q2261">
        <f>VLOOKUP(O2261, Coordinates!$A$2:$C$6, 3, FALSE)</f>
        <v>-118.2437</v>
      </c>
      <c r="R2261">
        <v>19</v>
      </c>
      <c r="S2261">
        <v>218</v>
      </c>
      <c r="T2261">
        <v>27</v>
      </c>
      <c r="U2261">
        <v>33.823950755219499</v>
      </c>
      <c r="V2261" t="s">
        <v>39</v>
      </c>
      <c r="W2261">
        <v>3.73779660601262</v>
      </c>
      <c r="X2261" t="s">
        <v>40</v>
      </c>
      <c r="Y2261" t="s">
        <v>60</v>
      </c>
      <c r="Z2261">
        <v>670.73787413960395</v>
      </c>
    </row>
    <row r="2262" spans="1:26" x14ac:dyDescent="0.3">
      <c r="A2262" t="s">
        <v>33</v>
      </c>
      <c r="B2262" t="s">
        <v>2318</v>
      </c>
      <c r="C2262">
        <v>74.459947723217098</v>
      </c>
      <c r="D2262">
        <v>31</v>
      </c>
      <c r="E2262">
        <v>912</v>
      </c>
      <c r="F2262">
        <v>6033.7168486914397</v>
      </c>
      <c r="G2262" t="s">
        <v>48</v>
      </c>
      <c r="H2262">
        <v>4</v>
      </c>
      <c r="I2262">
        <v>27</v>
      </c>
      <c r="J2262">
        <v>54</v>
      </c>
      <c r="K2262">
        <v>8</v>
      </c>
      <c r="L2262" t="s">
        <v>44</v>
      </c>
      <c r="M2262">
        <v>6.7390138464204998</v>
      </c>
      <c r="N2262" t="s">
        <v>28</v>
      </c>
      <c r="O2262" t="s">
        <v>67</v>
      </c>
      <c r="P2262">
        <f>VLOOKUP(O2262, Coordinates!$A$2:$C$6, 2, FALSE)</f>
        <v>40.712800000000001</v>
      </c>
      <c r="Q2262">
        <f>VLOOKUP(O2262, Coordinates!$A$2:$C$6, 3, FALSE)</f>
        <v>-74.006</v>
      </c>
      <c r="R2262">
        <v>29</v>
      </c>
      <c r="S2262">
        <v>685</v>
      </c>
      <c r="T2262">
        <v>16</v>
      </c>
      <c r="U2262">
        <v>14.053194757586599</v>
      </c>
      <c r="V2262" t="s">
        <v>30</v>
      </c>
      <c r="W2262">
        <v>4.0462090840007496</v>
      </c>
      <c r="X2262" t="s">
        <v>46</v>
      </c>
      <c r="Y2262" t="s">
        <v>41</v>
      </c>
      <c r="Z2262">
        <v>877.67793680085697</v>
      </c>
    </row>
    <row r="2263" spans="1:26" x14ac:dyDescent="0.3">
      <c r="A2263" t="s">
        <v>61</v>
      </c>
      <c r="B2263" t="s">
        <v>2319</v>
      </c>
      <c r="C2263">
        <v>94.941823339999999</v>
      </c>
      <c r="D2263">
        <v>43</v>
      </c>
      <c r="E2263">
        <v>145</v>
      </c>
      <c r="F2263">
        <v>2686.7015918539901</v>
      </c>
      <c r="G2263" t="s">
        <v>26</v>
      </c>
      <c r="H2263">
        <v>73</v>
      </c>
      <c r="I2263">
        <v>3</v>
      </c>
      <c r="J2263">
        <v>82</v>
      </c>
      <c r="K2263">
        <v>7</v>
      </c>
      <c r="L2263" t="s">
        <v>44</v>
      </c>
      <c r="M2263">
        <v>11.2149791175872</v>
      </c>
      <c r="N2263" t="s">
        <v>45</v>
      </c>
      <c r="O2263" t="s">
        <v>38</v>
      </c>
      <c r="P2263">
        <f>VLOOKUP(O2263, Coordinates!$A$2:$C$6, 2, FALSE)</f>
        <v>25.761700000000001</v>
      </c>
      <c r="Q2263">
        <f>VLOOKUP(O2263, Coordinates!$A$2:$C$6, 3, FALSE)</f>
        <v>-80.191800000000001</v>
      </c>
      <c r="R2263">
        <v>28</v>
      </c>
      <c r="S2263">
        <v>620</v>
      </c>
      <c r="T2263">
        <v>16</v>
      </c>
      <c r="U2263">
        <v>42.4213469930651</v>
      </c>
      <c r="V2263" t="s">
        <v>55</v>
      </c>
      <c r="W2263">
        <v>4.66823744525436</v>
      </c>
      <c r="X2263" t="s">
        <v>31</v>
      </c>
      <c r="Y2263" t="s">
        <v>32</v>
      </c>
      <c r="Z2263">
        <v>172.09123420241801</v>
      </c>
    </row>
    <row r="2264" spans="1:26" x14ac:dyDescent="0.3">
      <c r="A2264" t="s">
        <v>72</v>
      </c>
      <c r="B2264" t="s">
        <v>2320</v>
      </c>
      <c r="C2264">
        <v>32.722195513675999</v>
      </c>
      <c r="D2264">
        <v>37</v>
      </c>
      <c r="E2264">
        <v>142</v>
      </c>
      <c r="F2264">
        <v>4181.8965866477902</v>
      </c>
      <c r="G2264" t="s">
        <v>48</v>
      </c>
      <c r="H2264">
        <v>2</v>
      </c>
      <c r="I2264">
        <v>26</v>
      </c>
      <c r="J2264">
        <v>68</v>
      </c>
      <c r="K2264">
        <v>7</v>
      </c>
      <c r="L2264" t="s">
        <v>27</v>
      </c>
      <c r="M2264">
        <v>4.6590963945571104</v>
      </c>
      <c r="N2264" t="s">
        <v>57</v>
      </c>
      <c r="O2264" t="s">
        <v>67</v>
      </c>
      <c r="P2264">
        <f>VLOOKUP(O2264, Coordinates!$A$2:$C$6, 2, FALSE)</f>
        <v>40.712800000000001</v>
      </c>
      <c r="Q2264">
        <f>VLOOKUP(O2264, Coordinates!$A$2:$C$6, 3, FALSE)</f>
        <v>-74.006</v>
      </c>
      <c r="R2264">
        <v>8</v>
      </c>
      <c r="S2264">
        <v>378</v>
      </c>
      <c r="T2264">
        <v>19</v>
      </c>
      <c r="U2264">
        <v>85.282098804733096</v>
      </c>
      <c r="V2264" t="s">
        <v>30</v>
      </c>
      <c r="W2264">
        <v>3.5256610782914399</v>
      </c>
      <c r="X2264" t="s">
        <v>46</v>
      </c>
      <c r="Y2264" t="s">
        <v>32</v>
      </c>
      <c r="Z2264">
        <v>794.48642037105003</v>
      </c>
    </row>
    <row r="2265" spans="1:26" x14ac:dyDescent="0.3">
      <c r="A2265" t="s">
        <v>24</v>
      </c>
      <c r="B2265" t="s">
        <v>2321</v>
      </c>
      <c r="C2265">
        <v>34.144179609957199</v>
      </c>
      <c r="D2265">
        <v>79</v>
      </c>
      <c r="E2265">
        <v>582</v>
      </c>
      <c r="G2265" t="s">
        <v>54</v>
      </c>
      <c r="H2265">
        <v>67</v>
      </c>
      <c r="I2265">
        <v>4</v>
      </c>
      <c r="J2265">
        <v>89</v>
      </c>
      <c r="K2265">
        <v>7</v>
      </c>
      <c r="L2265" t="s">
        <v>36</v>
      </c>
      <c r="M2265">
        <v>2.09275541207565</v>
      </c>
      <c r="N2265" t="s">
        <v>51</v>
      </c>
      <c r="O2265" t="s">
        <v>67</v>
      </c>
      <c r="P2265">
        <f>VLOOKUP(O2265, Coordinates!$A$2:$C$6, 2, FALSE)</f>
        <v>40.712800000000001</v>
      </c>
      <c r="Q2265">
        <f>VLOOKUP(O2265, Coordinates!$A$2:$C$6, 3, FALSE)</f>
        <v>-74.006</v>
      </c>
      <c r="R2265">
        <v>8</v>
      </c>
      <c r="S2265">
        <v>881</v>
      </c>
      <c r="T2265">
        <v>4</v>
      </c>
      <c r="U2265">
        <v>92.251515720319006</v>
      </c>
      <c r="V2265" t="s">
        <v>30</v>
      </c>
      <c r="W2265">
        <v>2.1719809803670702</v>
      </c>
      <c r="X2265" t="s">
        <v>46</v>
      </c>
      <c r="Y2265" t="s">
        <v>60</v>
      </c>
      <c r="Z2265">
        <v>776.35214683838603</v>
      </c>
    </row>
    <row r="2266" spans="1:26" x14ac:dyDescent="0.3">
      <c r="A2266" t="s">
        <v>61</v>
      </c>
      <c r="B2266" t="s">
        <v>2322</v>
      </c>
      <c r="C2266">
        <v>28.5479690792002</v>
      </c>
      <c r="D2266">
        <v>29</v>
      </c>
      <c r="E2266">
        <v>714</v>
      </c>
      <c r="F2266">
        <v>3946.3901210385902</v>
      </c>
      <c r="G2266" t="s">
        <v>54</v>
      </c>
      <c r="H2266">
        <v>5</v>
      </c>
      <c r="I2266">
        <v>16</v>
      </c>
      <c r="J2266">
        <v>22</v>
      </c>
      <c r="K2266">
        <v>5</v>
      </c>
      <c r="L2266" t="s">
        <v>27</v>
      </c>
      <c r="M2266">
        <v>5.82460709823589</v>
      </c>
      <c r="N2266" t="s">
        <v>57</v>
      </c>
      <c r="O2266" t="s">
        <v>58</v>
      </c>
      <c r="P2266">
        <f>VLOOKUP(O2266, Coordinates!$A$2:$C$6, 2, FALSE)</f>
        <v>34.052199999999999</v>
      </c>
      <c r="Q2266">
        <f>VLOOKUP(O2266, Coordinates!$A$2:$C$6, 3, FALSE)</f>
        <v>-118.2437</v>
      </c>
      <c r="R2266">
        <v>16</v>
      </c>
      <c r="S2266">
        <v>665</v>
      </c>
      <c r="T2266">
        <v>19</v>
      </c>
      <c r="U2266">
        <v>62.230649277768102</v>
      </c>
      <c r="V2266" t="s">
        <v>39</v>
      </c>
      <c r="W2266">
        <v>4.0926124089093401</v>
      </c>
      <c r="X2266" t="s">
        <v>52</v>
      </c>
      <c r="Y2266" t="s">
        <v>41</v>
      </c>
      <c r="Z2266">
        <v>342.41043969296402</v>
      </c>
    </row>
    <row r="2267" spans="1:26" x14ac:dyDescent="0.3">
      <c r="A2267" t="s">
        <v>72</v>
      </c>
      <c r="B2267" t="s">
        <v>2323</v>
      </c>
      <c r="C2267">
        <v>32.099392994600798</v>
      </c>
      <c r="D2267">
        <v>26</v>
      </c>
      <c r="E2267">
        <v>844</v>
      </c>
      <c r="F2267">
        <v>24382.698918698701</v>
      </c>
      <c r="G2267" t="s">
        <v>26</v>
      </c>
      <c r="H2267">
        <v>86</v>
      </c>
      <c r="I2267">
        <v>7</v>
      </c>
      <c r="J2267">
        <v>92</v>
      </c>
      <c r="K2267">
        <v>4</v>
      </c>
      <c r="L2267" t="s">
        <v>27</v>
      </c>
      <c r="M2267">
        <v>5.1893137648182401</v>
      </c>
      <c r="N2267" t="s">
        <v>51</v>
      </c>
      <c r="O2267" t="s">
        <v>58</v>
      </c>
      <c r="P2267">
        <f>VLOOKUP(O2267, Coordinates!$A$2:$C$6, 2, FALSE)</f>
        <v>34.052199999999999</v>
      </c>
      <c r="Q2267">
        <f>VLOOKUP(O2267, Coordinates!$A$2:$C$6, 3, FALSE)</f>
        <v>-118.2437</v>
      </c>
      <c r="R2267">
        <v>18</v>
      </c>
      <c r="S2267">
        <v>991</v>
      </c>
      <c r="T2267">
        <v>19</v>
      </c>
      <c r="U2267">
        <v>86.089680210280207</v>
      </c>
      <c r="V2267" t="s">
        <v>39</v>
      </c>
      <c r="W2267">
        <v>1.4768879758768001</v>
      </c>
      <c r="X2267" t="s">
        <v>46</v>
      </c>
      <c r="Y2267" t="s">
        <v>60</v>
      </c>
      <c r="Z2267">
        <v>728.69524317661001</v>
      </c>
    </row>
    <row r="2268" spans="1:26" x14ac:dyDescent="0.3">
      <c r="A2268" t="s">
        <v>24</v>
      </c>
      <c r="B2268" t="s">
        <v>2324</v>
      </c>
      <c r="C2268">
        <v>24.8337392353171</v>
      </c>
      <c r="D2268">
        <v>2</v>
      </c>
      <c r="E2268">
        <v>232</v>
      </c>
      <c r="F2268">
        <v>5185.2847523342098</v>
      </c>
      <c r="G2268" t="s">
        <v>26</v>
      </c>
      <c r="H2268">
        <v>4</v>
      </c>
      <c r="I2268">
        <v>22</v>
      </c>
      <c r="J2268">
        <v>21</v>
      </c>
      <c r="K2268">
        <v>8</v>
      </c>
      <c r="L2268" t="s">
        <v>27</v>
      </c>
      <c r="M2268">
        <v>10.457544989439899</v>
      </c>
      <c r="N2268" t="s">
        <v>37</v>
      </c>
      <c r="O2268" t="s">
        <v>65</v>
      </c>
      <c r="P2268">
        <f>VLOOKUP(O2268, Coordinates!$A$2:$C$6, 2, FALSE)</f>
        <v>41.878100000000003</v>
      </c>
      <c r="Q2268">
        <f>VLOOKUP(O2268, Coordinates!$A$2:$C$6, 3, FALSE)</f>
        <v>-87.629800000000003</v>
      </c>
      <c r="R2268">
        <v>8</v>
      </c>
      <c r="S2268">
        <v>144</v>
      </c>
      <c r="T2268">
        <v>2</v>
      </c>
      <c r="U2268">
        <v>77.897645241787998</v>
      </c>
      <c r="V2268" t="s">
        <v>30</v>
      </c>
      <c r="W2268">
        <v>4.68879835012216</v>
      </c>
      <c r="X2268" t="s">
        <v>46</v>
      </c>
      <c r="Y2268" t="s">
        <v>32</v>
      </c>
      <c r="Z2268">
        <v>693.38912301677306</v>
      </c>
    </row>
    <row r="2269" spans="1:26" x14ac:dyDescent="0.3">
      <c r="A2269" t="s">
        <v>61</v>
      </c>
      <c r="B2269" t="s">
        <v>2325</v>
      </c>
      <c r="C2269">
        <v>58.790426496498497</v>
      </c>
      <c r="D2269">
        <v>84</v>
      </c>
      <c r="E2269">
        <v>285</v>
      </c>
      <c r="F2269">
        <v>3912.4852249066298</v>
      </c>
      <c r="G2269" t="s">
        <v>35</v>
      </c>
      <c r="H2269">
        <v>2</v>
      </c>
      <c r="I2269">
        <v>14</v>
      </c>
      <c r="J2269">
        <v>45</v>
      </c>
      <c r="K2269">
        <v>1</v>
      </c>
      <c r="L2269" t="s">
        <v>36</v>
      </c>
      <c r="M2269">
        <v>8.7190775033653996</v>
      </c>
      <c r="N2269" t="s">
        <v>57</v>
      </c>
      <c r="O2269" t="s">
        <v>58</v>
      </c>
      <c r="P2269">
        <f>VLOOKUP(O2269, Coordinates!$A$2:$C$6, 2, FALSE)</f>
        <v>34.052199999999999</v>
      </c>
      <c r="Q2269">
        <f>VLOOKUP(O2269, Coordinates!$A$2:$C$6, 3, FALSE)</f>
        <v>-118.2437</v>
      </c>
      <c r="R2269">
        <v>23</v>
      </c>
      <c r="S2269">
        <v>324</v>
      </c>
      <c r="T2269">
        <v>6</v>
      </c>
      <c r="U2269">
        <v>71.0539572033951</v>
      </c>
      <c r="V2269" t="s">
        <v>55</v>
      </c>
      <c r="W2269">
        <v>2.8739346863198598</v>
      </c>
      <c r="X2269" t="s">
        <v>46</v>
      </c>
      <c r="Y2269" t="s">
        <v>41</v>
      </c>
      <c r="Z2269">
        <v>368.83527810805299</v>
      </c>
    </row>
    <row r="2270" spans="1:26" x14ac:dyDescent="0.3">
      <c r="A2270" t="s">
        <v>72</v>
      </c>
      <c r="B2270" t="s">
        <v>2326</v>
      </c>
      <c r="C2270">
        <v>34.704288900000002</v>
      </c>
      <c r="D2270">
        <v>15</v>
      </c>
      <c r="E2270">
        <v>688</v>
      </c>
      <c r="F2270">
        <v>21488.8956843591</v>
      </c>
      <c r="G2270" t="s">
        <v>54</v>
      </c>
      <c r="H2270">
        <v>9</v>
      </c>
      <c r="I2270">
        <v>16</v>
      </c>
      <c r="J2270">
        <v>19</v>
      </c>
      <c r="K2270">
        <v>1</v>
      </c>
      <c r="L2270" t="s">
        <v>44</v>
      </c>
      <c r="M2270">
        <v>2.93568177678099</v>
      </c>
      <c r="N2270" t="s">
        <v>57</v>
      </c>
      <c r="O2270" t="s">
        <v>58</v>
      </c>
      <c r="P2270">
        <f>VLOOKUP(O2270, Coordinates!$A$2:$C$6, 2, FALSE)</f>
        <v>34.052199999999999</v>
      </c>
      <c r="Q2270">
        <f>VLOOKUP(O2270, Coordinates!$A$2:$C$6, 3, FALSE)</f>
        <v>-118.2437</v>
      </c>
      <c r="R2270">
        <v>9</v>
      </c>
      <c r="S2270">
        <v>627</v>
      </c>
      <c r="T2270">
        <v>13</v>
      </c>
      <c r="U2270">
        <v>75.098915418583402</v>
      </c>
      <c r="V2270" t="s">
        <v>30</v>
      </c>
      <c r="W2270">
        <v>1.7665165696785701</v>
      </c>
      <c r="X2270" t="s">
        <v>31</v>
      </c>
      <c r="Y2270" t="s">
        <v>32</v>
      </c>
      <c r="Z2270">
        <v>751.40425348417705</v>
      </c>
    </row>
    <row r="2271" spans="1:26" x14ac:dyDescent="0.3">
      <c r="A2271" t="s">
        <v>61</v>
      </c>
      <c r="B2271" t="s">
        <v>2327</v>
      </c>
      <c r="C2271">
        <v>10.8791416596451</v>
      </c>
      <c r="D2271">
        <v>4</v>
      </c>
      <c r="E2271">
        <v>832</v>
      </c>
      <c r="F2271">
        <v>1932.1890949271301</v>
      </c>
      <c r="G2271" t="s">
        <v>54</v>
      </c>
      <c r="H2271">
        <v>42</v>
      </c>
      <c r="I2271">
        <v>29</v>
      </c>
      <c r="J2271">
        <v>25</v>
      </c>
      <c r="K2271">
        <v>6</v>
      </c>
      <c r="L2271" t="s">
        <v>27</v>
      </c>
      <c r="M2271">
        <v>13.7190585167865</v>
      </c>
      <c r="N2271" t="s">
        <v>28</v>
      </c>
      <c r="O2271" t="s">
        <v>58</v>
      </c>
      <c r="P2271">
        <f>VLOOKUP(O2271, Coordinates!$A$2:$C$6, 2, FALSE)</f>
        <v>34.052199999999999</v>
      </c>
      <c r="Q2271">
        <f>VLOOKUP(O2271, Coordinates!$A$2:$C$6, 3, FALSE)</f>
        <v>-118.2437</v>
      </c>
      <c r="R2271">
        <v>5</v>
      </c>
      <c r="S2271">
        <v>823</v>
      </c>
      <c r="T2271">
        <v>15</v>
      </c>
      <c r="U2271">
        <v>88.644199911535907</v>
      </c>
      <c r="V2271" t="s">
        <v>55</v>
      </c>
      <c r="W2271">
        <v>2.0968563435591099</v>
      </c>
      <c r="X2271" t="s">
        <v>46</v>
      </c>
      <c r="Y2271" t="s">
        <v>60</v>
      </c>
      <c r="Z2271">
        <v>937.58710821325701</v>
      </c>
    </row>
    <row r="2272" spans="1:26" x14ac:dyDescent="0.3">
      <c r="A2272" t="s">
        <v>61</v>
      </c>
      <c r="B2272" t="s">
        <v>2328</v>
      </c>
      <c r="C2272">
        <v>55.859954412256798</v>
      </c>
      <c r="D2272">
        <v>86</v>
      </c>
      <c r="E2272">
        <v>435</v>
      </c>
      <c r="F2272">
        <v>8539.5618876039007</v>
      </c>
      <c r="G2272" t="s">
        <v>48</v>
      </c>
      <c r="H2272">
        <v>18</v>
      </c>
      <c r="I2272">
        <v>18</v>
      </c>
      <c r="J2272">
        <v>28</v>
      </c>
      <c r="K2272">
        <v>2</v>
      </c>
      <c r="L2272" t="s">
        <v>27</v>
      </c>
      <c r="M2272">
        <v>9.3067451670672501</v>
      </c>
      <c r="N2272" t="s">
        <v>28</v>
      </c>
      <c r="O2272" t="s">
        <v>65</v>
      </c>
      <c r="P2272">
        <f>VLOOKUP(O2272, Coordinates!$A$2:$C$6, 2, FALSE)</f>
        <v>41.878100000000003</v>
      </c>
      <c r="Q2272">
        <f>VLOOKUP(O2272, Coordinates!$A$2:$C$6, 3, FALSE)</f>
        <v>-87.629800000000003</v>
      </c>
      <c r="R2272">
        <v>2</v>
      </c>
      <c r="S2272">
        <v>811</v>
      </c>
      <c r="T2272">
        <v>10</v>
      </c>
      <c r="U2272">
        <v>87.464741352325603</v>
      </c>
      <c r="V2272" t="s">
        <v>30</v>
      </c>
      <c r="W2272">
        <v>1.7389930665701601</v>
      </c>
      <c r="X2272" t="s">
        <v>40</v>
      </c>
      <c r="Y2272" t="s">
        <v>41</v>
      </c>
      <c r="Z2272">
        <v>374.69710346003097</v>
      </c>
    </row>
    <row r="2273" spans="1:26" x14ac:dyDescent="0.3">
      <c r="A2273" t="s">
        <v>24</v>
      </c>
      <c r="B2273" t="s">
        <v>2329</v>
      </c>
      <c r="C2273">
        <v>38.591255165355399</v>
      </c>
      <c r="D2273">
        <v>50</v>
      </c>
      <c r="E2273">
        <v>44</v>
      </c>
      <c r="F2273">
        <v>1528.2137045480699</v>
      </c>
      <c r="G2273" t="s">
        <v>35</v>
      </c>
      <c r="H2273">
        <v>13</v>
      </c>
      <c r="I2273">
        <v>16</v>
      </c>
      <c r="J2273">
        <v>15</v>
      </c>
      <c r="K2273">
        <v>3</v>
      </c>
      <c r="L2273" t="s">
        <v>36</v>
      </c>
      <c r="M2273">
        <v>7.4075791559328703</v>
      </c>
      <c r="N2273" t="s">
        <v>45</v>
      </c>
      <c r="O2273" t="s">
        <v>38</v>
      </c>
      <c r="P2273">
        <f>VLOOKUP(O2273, Coordinates!$A$2:$C$6, 2, FALSE)</f>
        <v>25.761700000000001</v>
      </c>
      <c r="Q2273">
        <f>VLOOKUP(O2273, Coordinates!$A$2:$C$6, 3, FALSE)</f>
        <v>-80.191800000000001</v>
      </c>
      <c r="R2273">
        <v>25</v>
      </c>
      <c r="S2273">
        <v>340</v>
      </c>
      <c r="T2273">
        <v>22</v>
      </c>
      <c r="U2273">
        <v>87.400274753928599</v>
      </c>
      <c r="V2273" t="s">
        <v>39</v>
      </c>
      <c r="W2273">
        <v>3.6841277911575898</v>
      </c>
      <c r="X2273" t="s">
        <v>40</v>
      </c>
      <c r="Y2273" t="s">
        <v>60</v>
      </c>
      <c r="Z2273">
        <v>982.074366212634</v>
      </c>
    </row>
    <row r="2274" spans="1:26" x14ac:dyDescent="0.3">
      <c r="A2274" t="s">
        <v>61</v>
      </c>
      <c r="B2274" t="s">
        <v>2330</v>
      </c>
      <c r="C2274">
        <v>76.388029723637601</v>
      </c>
      <c r="D2274">
        <v>38</v>
      </c>
      <c r="E2274">
        <v>523</v>
      </c>
      <c r="F2274">
        <v>1746.34437258753</v>
      </c>
      <c r="G2274" t="s">
        <v>54</v>
      </c>
      <c r="H2274">
        <v>20</v>
      </c>
      <c r="I2274">
        <v>16</v>
      </c>
      <c r="J2274">
        <v>13</v>
      </c>
      <c r="K2274">
        <v>4</v>
      </c>
      <c r="L2274" t="s">
        <v>27</v>
      </c>
      <c r="M2274">
        <v>14.1207289796611</v>
      </c>
      <c r="N2274" t="s">
        <v>51</v>
      </c>
      <c r="O2274" t="s">
        <v>65</v>
      </c>
      <c r="P2274">
        <f>VLOOKUP(O2274, Coordinates!$A$2:$C$6, 2, FALSE)</f>
        <v>41.878100000000003</v>
      </c>
      <c r="Q2274">
        <f>VLOOKUP(O2274, Coordinates!$A$2:$C$6, 3, FALSE)</f>
        <v>-87.629800000000003</v>
      </c>
      <c r="R2274">
        <v>14</v>
      </c>
      <c r="S2274">
        <v>713</v>
      </c>
      <c r="T2274">
        <v>10</v>
      </c>
      <c r="U2274">
        <v>32.596222023427998</v>
      </c>
      <c r="V2274" t="s">
        <v>55</v>
      </c>
      <c r="W2274">
        <v>0.34246198443734599</v>
      </c>
      <c r="X2274" t="s">
        <v>46</v>
      </c>
      <c r="Y2274" t="s">
        <v>32</v>
      </c>
      <c r="Z2274">
        <v>301.85811375378103</v>
      </c>
    </row>
    <row r="2275" spans="1:26" x14ac:dyDescent="0.3">
      <c r="A2275" t="s">
        <v>61</v>
      </c>
      <c r="B2275" t="s">
        <v>2331</v>
      </c>
      <c r="C2275">
        <v>17.536705364276301</v>
      </c>
      <c r="D2275">
        <v>23</v>
      </c>
      <c r="E2275">
        <v>690</v>
      </c>
      <c r="F2275">
        <v>6775.9786399691002</v>
      </c>
      <c r="G2275" t="s">
        <v>48</v>
      </c>
      <c r="H2275">
        <v>42</v>
      </c>
      <c r="I2275">
        <v>2</v>
      </c>
      <c r="J2275">
        <v>39</v>
      </c>
      <c r="K2275">
        <v>2</v>
      </c>
      <c r="L2275" t="s">
        <v>44</v>
      </c>
      <c r="M2275">
        <v>2.36222588317061</v>
      </c>
      <c r="N2275" t="s">
        <v>28</v>
      </c>
      <c r="O2275" t="s">
        <v>58</v>
      </c>
      <c r="P2275">
        <f>VLOOKUP(O2275, Coordinates!$A$2:$C$6, 2, FALSE)</f>
        <v>34.052199999999999</v>
      </c>
      <c r="Q2275">
        <f>VLOOKUP(O2275, Coordinates!$A$2:$C$6, 3, FALSE)</f>
        <v>-118.2437</v>
      </c>
      <c r="R2275">
        <v>18</v>
      </c>
      <c r="S2275">
        <v>581</v>
      </c>
      <c r="T2275">
        <v>4</v>
      </c>
      <c r="U2275">
        <v>55.209277443481398</v>
      </c>
      <c r="V2275" t="s">
        <v>39</v>
      </c>
      <c r="W2275">
        <v>1.6088934756913</v>
      </c>
      <c r="X2275" t="s">
        <v>31</v>
      </c>
      <c r="Y2275" t="s">
        <v>32</v>
      </c>
      <c r="Z2275">
        <v>221.17753913601501</v>
      </c>
    </row>
    <row r="2276" spans="1:26" x14ac:dyDescent="0.3">
      <c r="A2276" t="s">
        <v>24</v>
      </c>
      <c r="B2276" t="s">
        <v>2332</v>
      </c>
      <c r="C2276">
        <v>39.042696460000002</v>
      </c>
      <c r="D2276">
        <v>59</v>
      </c>
      <c r="E2276">
        <v>667</v>
      </c>
      <c r="F2276">
        <v>23437.330683611501</v>
      </c>
      <c r="G2276" t="s">
        <v>26</v>
      </c>
      <c r="H2276">
        <v>27</v>
      </c>
      <c r="I2276">
        <v>10</v>
      </c>
      <c r="J2276">
        <v>55</v>
      </c>
      <c r="K2276">
        <v>10</v>
      </c>
      <c r="L2276" t="s">
        <v>27</v>
      </c>
      <c r="M2276">
        <v>12.054301133956001</v>
      </c>
      <c r="N2276" t="s">
        <v>45</v>
      </c>
      <c r="O2276" t="s">
        <v>38</v>
      </c>
      <c r="P2276">
        <f>VLOOKUP(O2276, Coordinates!$A$2:$C$6, 2, FALSE)</f>
        <v>25.761700000000001</v>
      </c>
      <c r="Q2276">
        <f>VLOOKUP(O2276, Coordinates!$A$2:$C$6, 3, FALSE)</f>
        <v>-80.191800000000001</v>
      </c>
      <c r="R2276">
        <v>26</v>
      </c>
      <c r="S2276">
        <v>194</v>
      </c>
      <c r="T2276">
        <v>14</v>
      </c>
      <c r="U2276">
        <v>86.842228832239201</v>
      </c>
      <c r="V2276" t="s">
        <v>39</v>
      </c>
      <c r="W2276">
        <v>4.2008159586888301</v>
      </c>
      <c r="X2276" t="s">
        <v>40</v>
      </c>
      <c r="Y2276" t="s">
        <v>60</v>
      </c>
      <c r="Z2276">
        <v>169.34531346698299</v>
      </c>
    </row>
    <row r="2277" spans="1:26" x14ac:dyDescent="0.3">
      <c r="A2277" t="s">
        <v>33</v>
      </c>
      <c r="B2277" t="s">
        <v>2333</v>
      </c>
      <c r="C2277">
        <v>23.472526221010401</v>
      </c>
      <c r="D2277">
        <v>90</v>
      </c>
      <c r="E2277">
        <v>215</v>
      </c>
      <c r="F2277">
        <v>9171.0154037154898</v>
      </c>
      <c r="G2277" t="s">
        <v>48</v>
      </c>
      <c r="H2277">
        <v>20</v>
      </c>
      <c r="I2277">
        <v>7</v>
      </c>
      <c r="J2277">
        <v>36</v>
      </c>
      <c r="K2277">
        <v>7</v>
      </c>
      <c r="L2277" t="s">
        <v>44</v>
      </c>
      <c r="M2277">
        <v>6.1053170799999998</v>
      </c>
      <c r="N2277" t="s">
        <v>51</v>
      </c>
      <c r="O2277" t="s">
        <v>58</v>
      </c>
      <c r="P2277">
        <f>VLOOKUP(O2277, Coordinates!$A$2:$C$6, 2, FALSE)</f>
        <v>34.052199999999999</v>
      </c>
      <c r="Q2277">
        <f>VLOOKUP(O2277, Coordinates!$A$2:$C$6, 3, FALSE)</f>
        <v>-118.2437</v>
      </c>
      <c r="R2277">
        <v>12</v>
      </c>
      <c r="S2277">
        <v>464</v>
      </c>
      <c r="T2277">
        <v>8</v>
      </c>
      <c r="U2277">
        <v>21.850207145196599</v>
      </c>
      <c r="V2277" t="s">
        <v>30</v>
      </c>
      <c r="W2277">
        <v>1.80908469718009</v>
      </c>
      <c r="X2277" t="s">
        <v>46</v>
      </c>
      <c r="Y2277" t="s">
        <v>32</v>
      </c>
      <c r="Z2277">
        <v>292.31502052567402</v>
      </c>
    </row>
    <row r="2278" spans="1:26" x14ac:dyDescent="0.3">
      <c r="A2278" t="s">
        <v>82</v>
      </c>
      <c r="B2278" t="s">
        <v>2334</v>
      </c>
      <c r="C2278">
        <v>13.8536313584559</v>
      </c>
      <c r="D2278">
        <v>75</v>
      </c>
      <c r="E2278">
        <v>306</v>
      </c>
      <c r="G2278" t="s">
        <v>54</v>
      </c>
      <c r="H2278">
        <v>35</v>
      </c>
      <c r="I2278">
        <v>25</v>
      </c>
      <c r="J2278">
        <v>54</v>
      </c>
      <c r="K2278">
        <v>10</v>
      </c>
      <c r="L2278" t="s">
        <v>27</v>
      </c>
      <c r="M2278">
        <v>10.735456512935601</v>
      </c>
      <c r="N2278" t="s">
        <v>51</v>
      </c>
      <c r="O2278" t="s">
        <v>65</v>
      </c>
      <c r="P2278">
        <f>VLOOKUP(O2278, Coordinates!$A$2:$C$6, 2, FALSE)</f>
        <v>41.878100000000003</v>
      </c>
      <c r="Q2278">
        <f>VLOOKUP(O2278, Coordinates!$A$2:$C$6, 3, FALSE)</f>
        <v>-87.629800000000003</v>
      </c>
      <c r="R2278">
        <v>15</v>
      </c>
      <c r="S2278">
        <v>284</v>
      </c>
      <c r="T2278">
        <v>6</v>
      </c>
      <c r="U2278">
        <v>35.897521114508599</v>
      </c>
      <c r="V2278" t="s">
        <v>30</v>
      </c>
      <c r="W2278">
        <v>6.9597517999999997E-2</v>
      </c>
      <c r="X2278" t="s">
        <v>46</v>
      </c>
      <c r="Y2278" t="s">
        <v>60</v>
      </c>
      <c r="Z2278">
        <v>408.26045627019897</v>
      </c>
    </row>
    <row r="2279" spans="1:26" x14ac:dyDescent="0.3">
      <c r="A2279" t="s">
        <v>49</v>
      </c>
      <c r="B2279" t="s">
        <v>2335</v>
      </c>
      <c r="C2279">
        <v>43.9971004357526</v>
      </c>
      <c r="D2279">
        <v>28</v>
      </c>
      <c r="E2279">
        <v>90</v>
      </c>
      <c r="F2279">
        <v>3584.37037093865</v>
      </c>
      <c r="G2279" t="s">
        <v>48</v>
      </c>
      <c r="H2279">
        <v>23</v>
      </c>
      <c r="I2279">
        <v>27</v>
      </c>
      <c r="J2279">
        <v>94</v>
      </c>
      <c r="K2279">
        <v>1</v>
      </c>
      <c r="L2279" t="s">
        <v>27</v>
      </c>
      <c r="M2279">
        <v>14.030155990000001</v>
      </c>
      <c r="N2279" t="s">
        <v>51</v>
      </c>
      <c r="O2279" t="s">
        <v>65</v>
      </c>
      <c r="P2279">
        <f>VLOOKUP(O2279, Coordinates!$A$2:$C$6, 2, FALSE)</f>
        <v>41.878100000000003</v>
      </c>
      <c r="Q2279">
        <f>VLOOKUP(O2279, Coordinates!$A$2:$C$6, 3, FALSE)</f>
        <v>-87.629800000000003</v>
      </c>
      <c r="R2279">
        <v>21</v>
      </c>
      <c r="S2279">
        <v>235</v>
      </c>
      <c r="T2279">
        <v>12</v>
      </c>
      <c r="U2279">
        <v>97.788588549907502</v>
      </c>
      <c r="V2279" t="s">
        <v>30</v>
      </c>
      <c r="W2279">
        <v>2.8950312297623899</v>
      </c>
      <c r="X2279" t="s">
        <v>40</v>
      </c>
      <c r="Y2279" t="s">
        <v>60</v>
      </c>
      <c r="Z2279">
        <v>759.843579559766</v>
      </c>
    </row>
    <row r="2280" spans="1:26" x14ac:dyDescent="0.3">
      <c r="A2280" t="s">
        <v>42</v>
      </c>
      <c r="B2280" t="s">
        <v>2336</v>
      </c>
      <c r="C2280">
        <v>20.516981568460402</v>
      </c>
      <c r="D2280">
        <v>66</v>
      </c>
      <c r="E2280">
        <v>401</v>
      </c>
      <c r="F2280">
        <v>5506.6141552977797</v>
      </c>
      <c r="G2280" t="s">
        <v>48</v>
      </c>
      <c r="H2280">
        <v>53</v>
      </c>
      <c r="I2280">
        <v>15</v>
      </c>
      <c r="J2280">
        <v>46</v>
      </c>
      <c r="K2280">
        <v>3</v>
      </c>
      <c r="L2280" t="s">
        <v>27</v>
      </c>
      <c r="M2280">
        <v>8.2479831267958392</v>
      </c>
      <c r="N2280" t="s">
        <v>37</v>
      </c>
      <c r="O2280" t="s">
        <v>29</v>
      </c>
      <c r="P2280">
        <f>VLOOKUP(O2280, Coordinates!$A$2:$C$6, 2, FALSE)</f>
        <v>29.760400000000001</v>
      </c>
      <c r="Q2280">
        <f>VLOOKUP(O2280, Coordinates!$A$2:$C$6, 3, FALSE)</f>
        <v>-95.369799999999998</v>
      </c>
      <c r="R2280">
        <v>15</v>
      </c>
      <c r="S2280">
        <v>124</v>
      </c>
      <c r="T2280">
        <v>8</v>
      </c>
      <c r="U2280">
        <v>41.223407994688202</v>
      </c>
      <c r="V2280" t="s">
        <v>30</v>
      </c>
      <c r="W2280">
        <v>0.72408239945470299</v>
      </c>
      <c r="X2280" t="s">
        <v>31</v>
      </c>
      <c r="Y2280" t="s">
        <v>41</v>
      </c>
      <c r="Z2280">
        <v>164.809880668033</v>
      </c>
    </row>
    <row r="2281" spans="1:26" x14ac:dyDescent="0.3">
      <c r="A2281" t="s">
        <v>49</v>
      </c>
      <c r="B2281" t="s">
        <v>2337</v>
      </c>
      <c r="C2281">
        <v>26.069287928270199</v>
      </c>
      <c r="D2281">
        <v>8</v>
      </c>
      <c r="E2281">
        <v>257</v>
      </c>
      <c r="F2281">
        <v>5103.5156719179504</v>
      </c>
      <c r="G2281" t="s">
        <v>35</v>
      </c>
      <c r="H2281">
        <v>37</v>
      </c>
      <c r="I2281">
        <v>28</v>
      </c>
      <c r="J2281">
        <v>18</v>
      </c>
      <c r="K2281">
        <v>2</v>
      </c>
      <c r="L2281" t="s">
        <v>44</v>
      </c>
      <c r="M2281">
        <v>1.31694352800246</v>
      </c>
      <c r="N2281" t="s">
        <v>51</v>
      </c>
      <c r="O2281" t="s">
        <v>38</v>
      </c>
      <c r="P2281">
        <f>VLOOKUP(O2281, Coordinates!$A$2:$C$6, 2, FALSE)</f>
        <v>25.761700000000001</v>
      </c>
      <c r="Q2281">
        <f>VLOOKUP(O2281, Coordinates!$A$2:$C$6, 3, FALSE)</f>
        <v>-80.191800000000001</v>
      </c>
      <c r="R2281">
        <v>29</v>
      </c>
      <c r="S2281">
        <v>417</v>
      </c>
      <c r="T2281">
        <v>6</v>
      </c>
      <c r="U2281">
        <v>47.702266146636497</v>
      </c>
      <c r="V2281" t="s">
        <v>39</v>
      </c>
      <c r="W2281">
        <v>1.0550263929999999</v>
      </c>
      <c r="X2281" t="s">
        <v>31</v>
      </c>
      <c r="Y2281" t="s">
        <v>32</v>
      </c>
      <c r="Z2281">
        <v>556.53864547442004</v>
      </c>
    </row>
    <row r="2282" spans="1:26" x14ac:dyDescent="0.3">
      <c r="A2282" t="s">
        <v>49</v>
      </c>
      <c r="B2282" t="s">
        <v>2338</v>
      </c>
      <c r="C2282">
        <v>35.167685087602599</v>
      </c>
      <c r="D2282">
        <v>29</v>
      </c>
      <c r="E2282">
        <v>537</v>
      </c>
      <c r="F2282">
        <v>4099.8524159546896</v>
      </c>
      <c r="G2282" t="s">
        <v>35</v>
      </c>
      <c r="H2282">
        <v>16</v>
      </c>
      <c r="I2282">
        <v>9</v>
      </c>
      <c r="J2282">
        <v>70</v>
      </c>
      <c r="K2282">
        <v>9</v>
      </c>
      <c r="L2282" t="s">
        <v>27</v>
      </c>
      <c r="M2282">
        <v>1.40387522241273</v>
      </c>
      <c r="N2282" t="s">
        <v>45</v>
      </c>
      <c r="O2282" t="s">
        <v>38</v>
      </c>
      <c r="P2282">
        <f>VLOOKUP(O2282, Coordinates!$A$2:$C$6, 2, FALSE)</f>
        <v>25.761700000000001</v>
      </c>
      <c r="Q2282">
        <f>VLOOKUP(O2282, Coordinates!$A$2:$C$6, 3, FALSE)</f>
        <v>-80.191800000000001</v>
      </c>
      <c r="R2282">
        <v>30</v>
      </c>
      <c r="S2282">
        <v>432</v>
      </c>
      <c r="T2282">
        <v>15</v>
      </c>
      <c r="U2282">
        <v>10.576127967156699</v>
      </c>
      <c r="V2282" t="s">
        <v>55</v>
      </c>
      <c r="W2282">
        <v>4.4817291044980303</v>
      </c>
      <c r="X2282" t="s">
        <v>40</v>
      </c>
      <c r="Y2282" t="s">
        <v>32</v>
      </c>
      <c r="Z2282">
        <v>566.86841245650601</v>
      </c>
    </row>
    <row r="2283" spans="1:26" x14ac:dyDescent="0.3">
      <c r="A2283" t="s">
        <v>72</v>
      </c>
      <c r="B2283" t="s">
        <v>2339</v>
      </c>
      <c r="C2283">
        <v>33.589593635657998</v>
      </c>
      <c r="D2283">
        <v>11</v>
      </c>
      <c r="E2283">
        <v>773</v>
      </c>
      <c r="F2283">
        <v>23368.280292327301</v>
      </c>
      <c r="G2283" t="s">
        <v>26</v>
      </c>
      <c r="H2283">
        <v>21</v>
      </c>
      <c r="I2283">
        <v>7</v>
      </c>
      <c r="J2283">
        <v>44</v>
      </c>
      <c r="K2283">
        <v>8</v>
      </c>
      <c r="L2283" t="s">
        <v>27</v>
      </c>
      <c r="M2283">
        <v>5.6278514671952697</v>
      </c>
      <c r="N2283" t="s">
        <v>51</v>
      </c>
      <c r="O2283" t="s">
        <v>67</v>
      </c>
      <c r="P2283">
        <f>VLOOKUP(O2283, Coordinates!$A$2:$C$6, 2, FALSE)</f>
        <v>40.712800000000001</v>
      </c>
      <c r="Q2283">
        <f>VLOOKUP(O2283, Coordinates!$A$2:$C$6, 3, FALSE)</f>
        <v>-74.006</v>
      </c>
      <c r="R2283">
        <v>23</v>
      </c>
      <c r="S2283">
        <v>661</v>
      </c>
      <c r="T2283">
        <v>29</v>
      </c>
      <c r="U2283">
        <v>79.204477158739493</v>
      </c>
      <c r="V2283" t="s">
        <v>55</v>
      </c>
      <c r="W2283">
        <v>2.6021636501425802</v>
      </c>
      <c r="X2283" t="s">
        <v>46</v>
      </c>
      <c r="Y2283" t="s">
        <v>60</v>
      </c>
      <c r="Z2283">
        <v>305.14873255169903</v>
      </c>
    </row>
    <row r="2284" spans="1:26" x14ac:dyDescent="0.3">
      <c r="A2284" t="s">
        <v>82</v>
      </c>
      <c r="B2284" t="s">
        <v>2340</v>
      </c>
      <c r="C2284">
        <v>13.321173253564901</v>
      </c>
      <c r="D2284">
        <v>18</v>
      </c>
      <c r="E2284">
        <v>895</v>
      </c>
      <c r="F2284">
        <v>7836.0565052251704</v>
      </c>
      <c r="G2284" t="s">
        <v>35</v>
      </c>
      <c r="H2284">
        <v>82</v>
      </c>
      <c r="I2284">
        <v>27</v>
      </c>
      <c r="J2284">
        <v>56</v>
      </c>
      <c r="K2284">
        <v>3</v>
      </c>
      <c r="L2284" t="s">
        <v>27</v>
      </c>
      <c r="M2284">
        <v>11.943215071530799</v>
      </c>
      <c r="N2284" t="s">
        <v>51</v>
      </c>
      <c r="O2284" t="s">
        <v>58</v>
      </c>
      <c r="P2284">
        <f>VLOOKUP(O2284, Coordinates!$A$2:$C$6, 2, FALSE)</f>
        <v>34.052199999999999</v>
      </c>
      <c r="Q2284">
        <f>VLOOKUP(O2284, Coordinates!$A$2:$C$6, 3, FALSE)</f>
        <v>-118.2437</v>
      </c>
      <c r="R2284">
        <v>23</v>
      </c>
      <c r="S2284">
        <v>780</v>
      </c>
      <c r="T2284">
        <v>25</v>
      </c>
      <c r="U2284">
        <v>47.219505899084098</v>
      </c>
      <c r="V2284" t="s">
        <v>30</v>
      </c>
      <c r="W2284">
        <v>0.47579646207010001</v>
      </c>
      <c r="X2284" t="s">
        <v>31</v>
      </c>
      <c r="Y2284" t="s">
        <v>41</v>
      </c>
      <c r="Z2284">
        <v>140.91099300803899</v>
      </c>
    </row>
    <row r="2285" spans="1:26" x14ac:dyDescent="0.3">
      <c r="A2285" t="s">
        <v>72</v>
      </c>
      <c r="B2285" t="s">
        <v>2341</v>
      </c>
      <c r="C2285">
        <v>36.8049053051407</v>
      </c>
      <c r="D2285">
        <v>55</v>
      </c>
      <c r="E2285">
        <v>919</v>
      </c>
      <c r="F2285">
        <v>30441.337177881898</v>
      </c>
      <c r="G2285" t="s">
        <v>48</v>
      </c>
      <c r="H2285">
        <v>44</v>
      </c>
      <c r="I2285">
        <v>24</v>
      </c>
      <c r="J2285">
        <v>30</v>
      </c>
      <c r="K2285">
        <v>5</v>
      </c>
      <c r="L2285" t="s">
        <v>44</v>
      </c>
      <c r="M2285">
        <v>5.0356588030301497</v>
      </c>
      <c r="N2285" t="s">
        <v>45</v>
      </c>
      <c r="O2285" t="s">
        <v>38</v>
      </c>
      <c r="P2285">
        <f>VLOOKUP(O2285, Coordinates!$A$2:$C$6, 2, FALSE)</f>
        <v>25.761700000000001</v>
      </c>
      <c r="Q2285">
        <f>VLOOKUP(O2285, Coordinates!$A$2:$C$6, 3, FALSE)</f>
        <v>-80.191800000000001</v>
      </c>
      <c r="R2285">
        <v>29</v>
      </c>
      <c r="S2285">
        <v>901</v>
      </c>
      <c r="T2285">
        <v>19</v>
      </c>
      <c r="U2285">
        <v>92.012631941179293</v>
      </c>
      <c r="V2285" t="s">
        <v>39</v>
      </c>
      <c r="W2285">
        <v>4.9415501820859404</v>
      </c>
      <c r="X2285" t="s">
        <v>52</v>
      </c>
      <c r="Y2285" t="s">
        <v>60</v>
      </c>
      <c r="Z2285">
        <v>302.60711987694901</v>
      </c>
    </row>
    <row r="2286" spans="1:26" x14ac:dyDescent="0.3">
      <c r="A2286" t="s">
        <v>82</v>
      </c>
      <c r="B2286" t="s">
        <v>2342</v>
      </c>
      <c r="C2286">
        <v>23.358694447245899</v>
      </c>
      <c r="D2286">
        <v>50</v>
      </c>
      <c r="E2286">
        <v>385</v>
      </c>
      <c r="F2286">
        <v>9755.7094423930794</v>
      </c>
      <c r="G2286" t="s">
        <v>35</v>
      </c>
      <c r="H2286">
        <v>73</v>
      </c>
      <c r="I2286">
        <v>16</v>
      </c>
      <c r="J2286">
        <v>26</v>
      </c>
      <c r="K2286">
        <v>3</v>
      </c>
      <c r="L2286" t="s">
        <v>27</v>
      </c>
      <c r="M2286">
        <v>5.6825604124070397</v>
      </c>
      <c r="N2286" t="s">
        <v>57</v>
      </c>
      <c r="O2286" t="s">
        <v>65</v>
      </c>
      <c r="P2286">
        <f>VLOOKUP(O2286, Coordinates!$A$2:$C$6, 2, FALSE)</f>
        <v>41.878100000000003</v>
      </c>
      <c r="Q2286">
        <f>VLOOKUP(O2286, Coordinates!$A$2:$C$6, 3, FALSE)</f>
        <v>-87.629800000000003</v>
      </c>
      <c r="R2286">
        <v>25</v>
      </c>
      <c r="S2286">
        <v>199</v>
      </c>
      <c r="T2286">
        <v>14</v>
      </c>
      <c r="U2286">
        <v>97.170106447420395</v>
      </c>
      <c r="V2286" t="s">
        <v>30</v>
      </c>
      <c r="W2286">
        <v>2.2585435880999598</v>
      </c>
      <c r="X2286" t="s">
        <v>46</v>
      </c>
      <c r="Y2286" t="s">
        <v>32</v>
      </c>
      <c r="Z2286">
        <v>307.35056301350198</v>
      </c>
    </row>
    <row r="2287" spans="1:26" x14ac:dyDescent="0.3">
      <c r="A2287" t="s">
        <v>24</v>
      </c>
      <c r="B2287" t="s">
        <v>2343</v>
      </c>
      <c r="C2287">
        <v>39.5726362093367</v>
      </c>
      <c r="D2287">
        <v>14</v>
      </c>
      <c r="E2287">
        <v>448</v>
      </c>
      <c r="F2287">
        <v>15955.686919604501</v>
      </c>
      <c r="G2287" t="s">
        <v>54</v>
      </c>
      <c r="H2287">
        <v>60</v>
      </c>
      <c r="I2287">
        <v>26</v>
      </c>
      <c r="J2287">
        <v>64</v>
      </c>
      <c r="K2287">
        <v>6</v>
      </c>
      <c r="L2287" t="s">
        <v>36</v>
      </c>
      <c r="M2287">
        <v>11.9824499847659</v>
      </c>
      <c r="N2287" t="s">
        <v>51</v>
      </c>
      <c r="O2287" t="s">
        <v>65</v>
      </c>
      <c r="P2287">
        <f>VLOOKUP(O2287, Coordinates!$A$2:$C$6, 2, FALSE)</f>
        <v>41.878100000000003</v>
      </c>
      <c r="Q2287">
        <f>VLOOKUP(O2287, Coordinates!$A$2:$C$6, 3, FALSE)</f>
        <v>-87.629800000000003</v>
      </c>
      <c r="R2287">
        <v>22</v>
      </c>
      <c r="S2287">
        <v>469</v>
      </c>
      <c r="T2287">
        <v>3</v>
      </c>
      <c r="U2287">
        <v>92.355205139705404</v>
      </c>
      <c r="V2287" t="s">
        <v>30</v>
      </c>
      <c r="W2287">
        <v>0.83854442585935596</v>
      </c>
      <c r="X2287" t="s">
        <v>31</v>
      </c>
      <c r="Y2287" t="s">
        <v>41</v>
      </c>
      <c r="Z2287">
        <v>719.22137746029603</v>
      </c>
    </row>
    <row r="2288" spans="1:26" x14ac:dyDescent="0.3">
      <c r="A2288" t="s">
        <v>24</v>
      </c>
      <c r="B2288" t="s">
        <v>2344</v>
      </c>
      <c r="C2288">
        <v>20.867616064541899</v>
      </c>
      <c r="D2288">
        <v>74</v>
      </c>
      <c r="E2288">
        <v>37</v>
      </c>
      <c r="F2288">
        <v>694.89161494924701</v>
      </c>
      <c r="G2288" t="s">
        <v>48</v>
      </c>
      <c r="H2288">
        <v>10</v>
      </c>
      <c r="I2288">
        <v>3</v>
      </c>
      <c r="J2288">
        <v>97</v>
      </c>
      <c r="K2288">
        <v>10</v>
      </c>
      <c r="L2288" t="s">
        <v>44</v>
      </c>
      <c r="M2288">
        <v>2.6266484348699302</v>
      </c>
      <c r="N2288" t="s">
        <v>45</v>
      </c>
      <c r="O2288" t="s">
        <v>38</v>
      </c>
      <c r="P2288">
        <f>VLOOKUP(O2288, Coordinates!$A$2:$C$6, 2, FALSE)</f>
        <v>25.761700000000001</v>
      </c>
      <c r="Q2288">
        <f>VLOOKUP(O2288, Coordinates!$A$2:$C$6, 3, FALSE)</f>
        <v>-80.191800000000001</v>
      </c>
      <c r="R2288">
        <v>26</v>
      </c>
      <c r="S2288">
        <v>692</v>
      </c>
      <c r="T2288">
        <v>18</v>
      </c>
      <c r="U2288">
        <v>91.0835708588844</v>
      </c>
      <c r="V2288" t="s">
        <v>39</v>
      </c>
      <c r="W2288">
        <v>3.9034458742117102</v>
      </c>
      <c r="X2288" t="s">
        <v>46</v>
      </c>
      <c r="Y2288" t="s">
        <v>41</v>
      </c>
      <c r="Z2288">
        <v>912.044005041383</v>
      </c>
    </row>
    <row r="2289" spans="1:26" x14ac:dyDescent="0.3">
      <c r="A2289" t="s">
        <v>82</v>
      </c>
      <c r="B2289" t="s">
        <v>2345</v>
      </c>
      <c r="C2289">
        <v>32.296038068345602</v>
      </c>
      <c r="D2289">
        <v>99</v>
      </c>
      <c r="E2289">
        <v>264</v>
      </c>
      <c r="F2289">
        <v>4548.3241194617003</v>
      </c>
      <c r="G2289" t="s">
        <v>48</v>
      </c>
      <c r="H2289">
        <v>60</v>
      </c>
      <c r="I2289">
        <v>17</v>
      </c>
      <c r="J2289">
        <v>15</v>
      </c>
      <c r="K2289">
        <v>2</v>
      </c>
      <c r="L2289" t="s">
        <v>36</v>
      </c>
      <c r="M2289">
        <v>12.855381467480299</v>
      </c>
      <c r="N2289" t="s">
        <v>28</v>
      </c>
      <c r="O2289" t="s">
        <v>67</v>
      </c>
      <c r="P2289">
        <f>VLOOKUP(O2289, Coordinates!$A$2:$C$6, 2, FALSE)</f>
        <v>40.712800000000001</v>
      </c>
      <c r="Q2289">
        <f>VLOOKUP(O2289, Coordinates!$A$2:$C$6, 3, FALSE)</f>
        <v>-74.006</v>
      </c>
      <c r="R2289">
        <v>13</v>
      </c>
      <c r="S2289">
        <v>111</v>
      </c>
      <c r="T2289">
        <v>10</v>
      </c>
      <c r="U2289">
        <v>96.208510135750203</v>
      </c>
      <c r="V2289" t="s">
        <v>30</v>
      </c>
      <c r="W2289">
        <v>1.7136756285869501</v>
      </c>
      <c r="X2289" t="s">
        <v>52</v>
      </c>
      <c r="Y2289" t="s">
        <v>60</v>
      </c>
      <c r="Z2289">
        <v>406.23777348678902</v>
      </c>
    </row>
    <row r="2290" spans="1:26" x14ac:dyDescent="0.3">
      <c r="A2290" t="s">
        <v>61</v>
      </c>
      <c r="B2290" t="s">
        <v>2346</v>
      </c>
      <c r="C2290">
        <v>31.575866938061701</v>
      </c>
      <c r="D2290">
        <v>9</v>
      </c>
      <c r="E2290">
        <v>238</v>
      </c>
      <c r="F2290">
        <v>7093.7377475599696</v>
      </c>
      <c r="G2290" t="s">
        <v>48</v>
      </c>
      <c r="H2290">
        <v>37</v>
      </c>
      <c r="I2290">
        <v>23</v>
      </c>
      <c r="J2290">
        <v>44</v>
      </c>
      <c r="K2290">
        <v>10</v>
      </c>
      <c r="L2290" t="s">
        <v>27</v>
      </c>
      <c r="M2290">
        <v>4.7210952177574903</v>
      </c>
      <c r="N2290" t="s">
        <v>45</v>
      </c>
      <c r="O2290" t="s">
        <v>38</v>
      </c>
      <c r="P2290">
        <f>VLOOKUP(O2290, Coordinates!$A$2:$C$6, 2, FALSE)</f>
        <v>25.761700000000001</v>
      </c>
      <c r="Q2290">
        <f>VLOOKUP(O2290, Coordinates!$A$2:$C$6, 3, FALSE)</f>
        <v>-80.191800000000001</v>
      </c>
      <c r="R2290">
        <v>30</v>
      </c>
      <c r="S2290">
        <v>819</v>
      </c>
      <c r="T2290">
        <v>14</v>
      </c>
      <c r="U2290">
        <v>46.673207606542398</v>
      </c>
      <c r="V2290" t="s">
        <v>39</v>
      </c>
      <c r="W2290">
        <v>3.8960700998795401</v>
      </c>
      <c r="X2290" t="s">
        <v>40</v>
      </c>
      <c r="Y2290" t="s">
        <v>60</v>
      </c>
      <c r="Z2290">
        <v>142.686964933594</v>
      </c>
    </row>
    <row r="2291" spans="1:26" x14ac:dyDescent="0.3">
      <c r="A2291" t="s">
        <v>33</v>
      </c>
      <c r="B2291" t="s">
        <v>2347</v>
      </c>
      <c r="C2291">
        <v>36.539837952587597</v>
      </c>
      <c r="D2291">
        <v>99</v>
      </c>
      <c r="E2291">
        <v>519</v>
      </c>
      <c r="F2291">
        <v>5283.8352131429801</v>
      </c>
      <c r="G2291" t="s">
        <v>54</v>
      </c>
      <c r="H2291">
        <v>65</v>
      </c>
      <c r="I2291">
        <v>8</v>
      </c>
      <c r="J2291">
        <v>59</v>
      </c>
      <c r="K2291">
        <v>8</v>
      </c>
      <c r="L2291" t="s">
        <v>44</v>
      </c>
      <c r="M2291">
        <v>1.7171229944047099</v>
      </c>
      <c r="N2291" t="s">
        <v>37</v>
      </c>
      <c r="O2291" t="s">
        <v>58</v>
      </c>
      <c r="P2291">
        <f>VLOOKUP(O2291, Coordinates!$A$2:$C$6, 2, FALSE)</f>
        <v>34.052199999999999</v>
      </c>
      <c r="Q2291">
        <f>VLOOKUP(O2291, Coordinates!$A$2:$C$6, 3, FALSE)</f>
        <v>-118.2437</v>
      </c>
      <c r="R2291">
        <v>18</v>
      </c>
      <c r="S2291">
        <v>176</v>
      </c>
      <c r="T2291">
        <v>14</v>
      </c>
      <c r="U2291">
        <v>74.668018626320304</v>
      </c>
      <c r="V2291" t="s">
        <v>30</v>
      </c>
      <c r="W2291">
        <v>3.97451606314144</v>
      </c>
      <c r="X2291" t="s">
        <v>52</v>
      </c>
      <c r="Y2291" t="s">
        <v>41</v>
      </c>
      <c r="Z2291">
        <v>661.55139576921704</v>
      </c>
    </row>
    <row r="2292" spans="1:26" x14ac:dyDescent="0.3">
      <c r="A2292" t="s">
        <v>61</v>
      </c>
      <c r="B2292" t="s">
        <v>2348</v>
      </c>
      <c r="C2292">
        <v>67.965646049923507</v>
      </c>
      <c r="D2292">
        <v>11</v>
      </c>
      <c r="E2292">
        <v>863</v>
      </c>
      <c r="F2292">
        <v>9943.9579249113795</v>
      </c>
      <c r="G2292" t="s">
        <v>48</v>
      </c>
      <c r="H2292">
        <v>32</v>
      </c>
      <c r="I2292">
        <v>2</v>
      </c>
      <c r="J2292">
        <v>46</v>
      </c>
      <c r="K2292">
        <v>6</v>
      </c>
      <c r="L2292" t="s">
        <v>44</v>
      </c>
      <c r="M2292">
        <v>2.6427978900000002</v>
      </c>
      <c r="N2292" t="s">
        <v>28</v>
      </c>
      <c r="O2292" t="s">
        <v>67</v>
      </c>
      <c r="P2292">
        <f>VLOOKUP(O2292, Coordinates!$A$2:$C$6, 2, FALSE)</f>
        <v>40.712800000000001</v>
      </c>
      <c r="Q2292">
        <f>VLOOKUP(O2292, Coordinates!$A$2:$C$6, 3, FALSE)</f>
        <v>-74.006</v>
      </c>
      <c r="R2292">
        <v>1</v>
      </c>
      <c r="S2292">
        <v>686</v>
      </c>
      <c r="T2292">
        <v>22</v>
      </c>
      <c r="U2292">
        <v>28.55871076</v>
      </c>
      <c r="V2292" t="s">
        <v>30</v>
      </c>
      <c r="W2292">
        <v>4.9642729173276496</v>
      </c>
      <c r="X2292" t="s">
        <v>46</v>
      </c>
      <c r="Y2292" t="s">
        <v>32</v>
      </c>
      <c r="Z2292">
        <v>526.72938042860596</v>
      </c>
    </row>
    <row r="2293" spans="1:26" x14ac:dyDescent="0.3">
      <c r="A2293" t="s">
        <v>33</v>
      </c>
      <c r="B2293" t="s">
        <v>2349</v>
      </c>
      <c r="C2293">
        <v>87.710218740000002</v>
      </c>
      <c r="D2293">
        <v>63</v>
      </c>
      <c r="E2293">
        <v>312</v>
      </c>
      <c r="F2293">
        <v>7560.1192221167403</v>
      </c>
      <c r="G2293" t="s">
        <v>35</v>
      </c>
      <c r="H2293">
        <v>42</v>
      </c>
      <c r="I2293">
        <v>25</v>
      </c>
      <c r="J2293">
        <v>22</v>
      </c>
      <c r="K2293">
        <v>3</v>
      </c>
      <c r="L2293" t="s">
        <v>27</v>
      </c>
      <c r="M2293">
        <v>14.3357684143435</v>
      </c>
      <c r="N2293" t="s">
        <v>57</v>
      </c>
      <c r="O2293" t="s">
        <v>58</v>
      </c>
      <c r="P2293">
        <f>VLOOKUP(O2293, Coordinates!$A$2:$C$6, 2, FALSE)</f>
        <v>34.052199999999999</v>
      </c>
      <c r="Q2293">
        <f>VLOOKUP(O2293, Coordinates!$A$2:$C$6, 3, FALSE)</f>
        <v>-118.2437</v>
      </c>
      <c r="R2293">
        <v>11</v>
      </c>
      <c r="S2293">
        <v>781</v>
      </c>
      <c r="T2293">
        <v>7</v>
      </c>
      <c r="U2293">
        <v>72.740849269999998</v>
      </c>
      <c r="V2293" t="s">
        <v>30</v>
      </c>
      <c r="W2293">
        <v>2.6445586648272301</v>
      </c>
      <c r="X2293" t="s">
        <v>40</v>
      </c>
      <c r="Y2293" t="s">
        <v>32</v>
      </c>
      <c r="Z2293">
        <v>410.47252312604098</v>
      </c>
    </row>
    <row r="2294" spans="1:26" x14ac:dyDescent="0.3">
      <c r="A2294" t="s">
        <v>72</v>
      </c>
      <c r="B2294" t="s">
        <v>2350</v>
      </c>
      <c r="C2294">
        <v>29.539811453638102</v>
      </c>
      <c r="D2294">
        <v>76</v>
      </c>
      <c r="E2294">
        <v>743</v>
      </c>
      <c r="F2294">
        <v>19753.271919047798</v>
      </c>
      <c r="G2294" t="s">
        <v>54</v>
      </c>
      <c r="H2294">
        <v>30</v>
      </c>
      <c r="I2294">
        <v>20</v>
      </c>
      <c r="J2294">
        <v>34</v>
      </c>
      <c r="K2294">
        <v>1</v>
      </c>
      <c r="L2294" t="s">
        <v>36</v>
      </c>
      <c r="M2294">
        <v>7.3185353706141498</v>
      </c>
      <c r="N2294" t="s">
        <v>57</v>
      </c>
      <c r="O2294" t="s">
        <v>38</v>
      </c>
      <c r="P2294">
        <f>VLOOKUP(O2294, Coordinates!$A$2:$C$6, 2, FALSE)</f>
        <v>25.761700000000001</v>
      </c>
      <c r="Q2294">
        <f>VLOOKUP(O2294, Coordinates!$A$2:$C$6, 3, FALSE)</f>
        <v>-80.191800000000001</v>
      </c>
      <c r="R2294">
        <v>13</v>
      </c>
      <c r="S2294">
        <v>922</v>
      </c>
      <c r="T2294">
        <v>7</v>
      </c>
      <c r="U2294">
        <v>93.731733935304504</v>
      </c>
      <c r="V2294" t="s">
        <v>55</v>
      </c>
      <c r="W2294">
        <v>2.876985468</v>
      </c>
      <c r="X2294" t="s">
        <v>52</v>
      </c>
      <c r="Y2294" t="s">
        <v>41</v>
      </c>
      <c r="Z2294">
        <v>732.59231029906596</v>
      </c>
    </row>
    <row r="2295" spans="1:26" x14ac:dyDescent="0.3">
      <c r="A2295" t="s">
        <v>33</v>
      </c>
      <c r="B2295" t="s">
        <v>2351</v>
      </c>
      <c r="C2295">
        <v>74.115276871383998</v>
      </c>
      <c r="D2295">
        <v>67</v>
      </c>
      <c r="E2295">
        <v>800</v>
      </c>
      <c r="F2295">
        <v>8514.7259453306706</v>
      </c>
      <c r="G2295" t="s">
        <v>48</v>
      </c>
      <c r="H2295">
        <v>34</v>
      </c>
      <c r="I2295">
        <v>26</v>
      </c>
      <c r="J2295">
        <v>10</v>
      </c>
      <c r="K2295">
        <v>5</v>
      </c>
      <c r="L2295" t="s">
        <v>44</v>
      </c>
      <c r="M2295">
        <v>4.59013348397841</v>
      </c>
      <c r="N2295" t="s">
        <v>45</v>
      </c>
      <c r="O2295" t="s">
        <v>38</v>
      </c>
      <c r="P2295">
        <f>VLOOKUP(O2295, Coordinates!$A$2:$C$6, 2, FALSE)</f>
        <v>25.761700000000001</v>
      </c>
      <c r="Q2295">
        <f>VLOOKUP(O2295, Coordinates!$A$2:$C$6, 3, FALSE)</f>
        <v>-80.191800000000001</v>
      </c>
      <c r="R2295">
        <v>28</v>
      </c>
      <c r="S2295">
        <v>447</v>
      </c>
      <c r="T2295">
        <v>21</v>
      </c>
      <c r="U2295">
        <v>21.367484239655202</v>
      </c>
      <c r="V2295" t="s">
        <v>39</v>
      </c>
      <c r="W2295">
        <v>4.3523864772004597</v>
      </c>
      <c r="X2295" t="s">
        <v>31</v>
      </c>
      <c r="Y2295" t="s">
        <v>60</v>
      </c>
      <c r="Z2295">
        <v>713.90970867684302</v>
      </c>
    </row>
    <row r="2296" spans="1:26" x14ac:dyDescent="0.3">
      <c r="A2296" t="s">
        <v>72</v>
      </c>
      <c r="B2296" t="s">
        <v>2352</v>
      </c>
      <c r="C2296">
        <v>25.828161260716399</v>
      </c>
      <c r="D2296">
        <v>53</v>
      </c>
      <c r="E2296">
        <v>74</v>
      </c>
      <c r="F2296">
        <v>1720.15553996371</v>
      </c>
      <c r="G2296" t="s">
        <v>35</v>
      </c>
      <c r="H2296">
        <v>36</v>
      </c>
      <c r="I2296">
        <v>27</v>
      </c>
      <c r="J2296">
        <v>58</v>
      </c>
      <c r="K2296">
        <v>2</v>
      </c>
      <c r="L2296" t="s">
        <v>44</v>
      </c>
      <c r="M2296">
        <v>8.2977933025087296</v>
      </c>
      <c r="N2296" t="s">
        <v>45</v>
      </c>
      <c r="O2296" t="s">
        <v>38</v>
      </c>
      <c r="P2296">
        <f>VLOOKUP(O2296, Coordinates!$A$2:$C$6, 2, FALSE)</f>
        <v>25.761700000000001</v>
      </c>
      <c r="Q2296">
        <f>VLOOKUP(O2296, Coordinates!$A$2:$C$6, 3, FALSE)</f>
        <v>-80.191800000000001</v>
      </c>
      <c r="R2296">
        <v>30</v>
      </c>
      <c r="S2296">
        <v>542</v>
      </c>
      <c r="T2296">
        <v>22</v>
      </c>
      <c r="U2296">
        <v>85.133265665453706</v>
      </c>
      <c r="V2296" t="s">
        <v>39</v>
      </c>
      <c r="W2296">
        <v>4.7860667503768104</v>
      </c>
      <c r="X2296" t="s">
        <v>52</v>
      </c>
      <c r="Y2296" t="s">
        <v>60</v>
      </c>
      <c r="Z2296">
        <v>395.116440583116</v>
      </c>
    </row>
    <row r="2297" spans="1:26" x14ac:dyDescent="0.3">
      <c r="A2297" t="s">
        <v>24</v>
      </c>
      <c r="B2297" t="s">
        <v>2353</v>
      </c>
      <c r="C2297">
        <v>29.495743463537298</v>
      </c>
      <c r="D2297">
        <v>39</v>
      </c>
      <c r="E2297">
        <v>458</v>
      </c>
      <c r="F2297">
        <v>12158.145455669999</v>
      </c>
      <c r="G2297" t="s">
        <v>35</v>
      </c>
      <c r="H2297">
        <v>46</v>
      </c>
      <c r="I2297">
        <v>25</v>
      </c>
      <c r="J2297">
        <v>44</v>
      </c>
      <c r="K2297">
        <v>2</v>
      </c>
      <c r="L2297" t="s">
        <v>44</v>
      </c>
      <c r="M2297">
        <v>10.552853147513201</v>
      </c>
      <c r="N2297" t="s">
        <v>51</v>
      </c>
      <c r="O2297" t="s">
        <v>38</v>
      </c>
      <c r="P2297">
        <f>VLOOKUP(O2297, Coordinates!$A$2:$C$6, 2, FALSE)</f>
        <v>25.761700000000001</v>
      </c>
      <c r="Q2297">
        <f>VLOOKUP(O2297, Coordinates!$A$2:$C$6, 3, FALSE)</f>
        <v>-80.191800000000001</v>
      </c>
      <c r="R2297">
        <v>9</v>
      </c>
      <c r="S2297">
        <v>790</v>
      </c>
      <c r="T2297">
        <v>23</v>
      </c>
      <c r="U2297">
        <v>89.046129538779695</v>
      </c>
      <c r="V2297" t="s">
        <v>30</v>
      </c>
      <c r="W2297">
        <v>2.77841342254096</v>
      </c>
      <c r="X2297" t="s">
        <v>46</v>
      </c>
      <c r="Y2297" t="s">
        <v>32</v>
      </c>
      <c r="Z2297">
        <v>738.46688610000001</v>
      </c>
    </row>
    <row r="2298" spans="1:26" x14ac:dyDescent="0.3">
      <c r="A2298" t="s">
        <v>49</v>
      </c>
      <c r="B2298" t="s">
        <v>2354</v>
      </c>
      <c r="C2298">
        <v>57.512424959999997</v>
      </c>
      <c r="D2298">
        <v>78</v>
      </c>
      <c r="E2298">
        <v>443</v>
      </c>
      <c r="F2298">
        <v>5132.4321733832003</v>
      </c>
      <c r="G2298" t="s">
        <v>26</v>
      </c>
      <c r="H2298">
        <v>99</v>
      </c>
      <c r="I2298">
        <v>29</v>
      </c>
      <c r="J2298">
        <v>92</v>
      </c>
      <c r="K2298">
        <v>9</v>
      </c>
      <c r="L2298" t="s">
        <v>44</v>
      </c>
      <c r="M2298">
        <v>5.4631777126169698</v>
      </c>
      <c r="N2298" t="s">
        <v>51</v>
      </c>
      <c r="O2298" t="s">
        <v>65</v>
      </c>
      <c r="P2298">
        <f>VLOOKUP(O2298, Coordinates!$A$2:$C$6, 2, FALSE)</f>
        <v>41.878100000000003</v>
      </c>
      <c r="Q2298">
        <f>VLOOKUP(O2298, Coordinates!$A$2:$C$6, 3, FALSE)</f>
        <v>-87.629800000000003</v>
      </c>
      <c r="R2298">
        <v>30</v>
      </c>
      <c r="S2298">
        <v>187</v>
      </c>
      <c r="T2298">
        <v>11</v>
      </c>
      <c r="U2298">
        <v>51.5769269905377</v>
      </c>
      <c r="V2298" t="s">
        <v>55</v>
      </c>
      <c r="W2298">
        <v>1.8954274786273599</v>
      </c>
      <c r="X2298" t="s">
        <v>31</v>
      </c>
      <c r="Y2298" t="s">
        <v>32</v>
      </c>
      <c r="Z2298">
        <v>413.38891873428997</v>
      </c>
    </row>
    <row r="2299" spans="1:26" x14ac:dyDescent="0.3">
      <c r="A2299" t="s">
        <v>24</v>
      </c>
      <c r="B2299" t="s">
        <v>2355</v>
      </c>
      <c r="C2299">
        <v>38.338355963907098</v>
      </c>
      <c r="D2299">
        <v>56</v>
      </c>
      <c r="E2299">
        <v>829</v>
      </c>
      <c r="F2299">
        <v>28604.2473846711</v>
      </c>
      <c r="G2299" t="s">
        <v>35</v>
      </c>
      <c r="H2299">
        <v>22</v>
      </c>
      <c r="I2299">
        <v>3</v>
      </c>
      <c r="J2299">
        <v>62</v>
      </c>
      <c r="K2299">
        <v>10</v>
      </c>
      <c r="L2299" t="s">
        <v>44</v>
      </c>
      <c r="M2299">
        <v>11.1537968442543</v>
      </c>
      <c r="N2299" t="s">
        <v>37</v>
      </c>
      <c r="O2299" t="s">
        <v>29</v>
      </c>
      <c r="P2299">
        <f>VLOOKUP(O2299, Coordinates!$A$2:$C$6, 2, FALSE)</f>
        <v>29.760400000000001</v>
      </c>
      <c r="Q2299">
        <f>VLOOKUP(O2299, Coordinates!$A$2:$C$6, 3, FALSE)</f>
        <v>-95.369799999999998</v>
      </c>
      <c r="R2299">
        <v>25</v>
      </c>
      <c r="S2299">
        <v>564</v>
      </c>
      <c r="T2299">
        <v>18</v>
      </c>
      <c r="U2299">
        <v>93.089336795344394</v>
      </c>
      <c r="V2299" t="s">
        <v>30</v>
      </c>
      <c r="W2299">
        <v>2.7293035294904602</v>
      </c>
      <c r="X2299" t="s">
        <v>52</v>
      </c>
      <c r="Y2299" t="s">
        <v>41</v>
      </c>
      <c r="Z2299">
        <v>299.79934691598601</v>
      </c>
    </row>
    <row r="2300" spans="1:26" x14ac:dyDescent="0.3">
      <c r="A2300" t="s">
        <v>24</v>
      </c>
      <c r="B2300" t="s">
        <v>2356</v>
      </c>
      <c r="C2300">
        <v>39.6677231431118</v>
      </c>
      <c r="D2300">
        <v>28</v>
      </c>
      <c r="E2300">
        <v>368</v>
      </c>
      <c r="F2300">
        <v>13137.949904998601</v>
      </c>
      <c r="G2300" t="s">
        <v>35</v>
      </c>
      <c r="H2300">
        <v>35</v>
      </c>
      <c r="I2300">
        <v>8</v>
      </c>
      <c r="J2300">
        <v>61</v>
      </c>
      <c r="K2300">
        <v>7</v>
      </c>
      <c r="L2300" t="s">
        <v>27</v>
      </c>
      <c r="M2300">
        <v>4.5315287127008199</v>
      </c>
      <c r="N2300" t="s">
        <v>51</v>
      </c>
      <c r="O2300" t="s">
        <v>65</v>
      </c>
      <c r="P2300">
        <f>VLOOKUP(O2300, Coordinates!$A$2:$C$6, 2, FALSE)</f>
        <v>41.878100000000003</v>
      </c>
      <c r="Q2300">
        <f>VLOOKUP(O2300, Coordinates!$A$2:$C$6, 3, FALSE)</f>
        <v>-87.629800000000003</v>
      </c>
      <c r="R2300">
        <v>30</v>
      </c>
      <c r="S2300">
        <v>876</v>
      </c>
      <c r="T2300">
        <v>10</v>
      </c>
      <c r="U2300">
        <v>84.124961280802097</v>
      </c>
      <c r="V2300" t="s">
        <v>30</v>
      </c>
      <c r="W2300">
        <v>0.403832162587697</v>
      </c>
      <c r="X2300" t="s">
        <v>46</v>
      </c>
      <c r="Y2300" t="s">
        <v>32</v>
      </c>
      <c r="Z2300">
        <v>747.84686625953202</v>
      </c>
    </row>
    <row r="2301" spans="1:26" x14ac:dyDescent="0.3">
      <c r="A2301" t="s">
        <v>49</v>
      </c>
      <c r="B2301" t="s">
        <v>2357</v>
      </c>
      <c r="C2301">
        <v>33.157240653151902</v>
      </c>
      <c r="D2301">
        <v>75</v>
      </c>
      <c r="E2301">
        <v>987</v>
      </c>
      <c r="F2301">
        <v>1182.12609375955</v>
      </c>
      <c r="G2301" t="s">
        <v>26</v>
      </c>
      <c r="H2301">
        <v>39</v>
      </c>
      <c r="I2301">
        <v>27</v>
      </c>
      <c r="J2301">
        <v>63</v>
      </c>
      <c r="K2301">
        <v>6</v>
      </c>
      <c r="L2301" t="s">
        <v>44</v>
      </c>
      <c r="M2301">
        <v>2.5727212486165598</v>
      </c>
      <c r="N2301" t="s">
        <v>45</v>
      </c>
      <c r="O2301" t="s">
        <v>38</v>
      </c>
      <c r="P2301">
        <f>VLOOKUP(O2301, Coordinates!$A$2:$C$6, 2, FALSE)</f>
        <v>25.761700000000001</v>
      </c>
      <c r="Q2301">
        <f>VLOOKUP(O2301, Coordinates!$A$2:$C$6, 3, FALSE)</f>
        <v>-80.191800000000001</v>
      </c>
      <c r="R2301">
        <v>28</v>
      </c>
      <c r="S2301">
        <v>593</v>
      </c>
      <c r="T2301">
        <v>15</v>
      </c>
      <c r="U2301">
        <v>19.034800929425401</v>
      </c>
      <c r="V2301" t="s">
        <v>39</v>
      </c>
      <c r="W2301">
        <v>3.9194317671670502</v>
      </c>
      <c r="X2301" t="s">
        <v>40</v>
      </c>
      <c r="Y2301" t="s">
        <v>32</v>
      </c>
      <c r="Z2301">
        <v>755.22316166069402</v>
      </c>
    </row>
    <row r="2302" spans="1:26" x14ac:dyDescent="0.3">
      <c r="A2302" t="s">
        <v>33</v>
      </c>
      <c r="B2302" t="s">
        <v>2358</v>
      </c>
      <c r="C2302">
        <v>91.526253742132198</v>
      </c>
      <c r="D2302">
        <v>39</v>
      </c>
      <c r="E2302">
        <v>770</v>
      </c>
      <c r="F2302">
        <v>5715.9385071819997</v>
      </c>
      <c r="G2302" t="s">
        <v>26</v>
      </c>
      <c r="H2302">
        <v>89</v>
      </c>
      <c r="I2302">
        <v>2</v>
      </c>
      <c r="J2302">
        <v>85</v>
      </c>
      <c r="K2302">
        <v>1</v>
      </c>
      <c r="L2302" t="s">
        <v>36</v>
      </c>
      <c r="M2302">
        <v>8.6959150851673197</v>
      </c>
      <c r="N2302" t="s">
        <v>45</v>
      </c>
      <c r="O2302" t="s">
        <v>38</v>
      </c>
      <c r="P2302">
        <f>VLOOKUP(O2302, Coordinates!$A$2:$C$6, 2, FALSE)</f>
        <v>25.761700000000001</v>
      </c>
      <c r="Q2302">
        <f>VLOOKUP(O2302, Coordinates!$A$2:$C$6, 3, FALSE)</f>
        <v>-80.191800000000001</v>
      </c>
      <c r="R2302">
        <v>30</v>
      </c>
      <c r="S2302">
        <v>321</v>
      </c>
      <c r="T2302">
        <v>30</v>
      </c>
      <c r="U2302">
        <v>26.291072181449099</v>
      </c>
      <c r="V2302" t="s">
        <v>39</v>
      </c>
      <c r="W2302">
        <v>3.6887378604563201</v>
      </c>
      <c r="X2302" t="s">
        <v>52</v>
      </c>
      <c r="Y2302" t="s">
        <v>60</v>
      </c>
      <c r="Z2302">
        <v>879.19024458545005</v>
      </c>
    </row>
    <row r="2303" spans="1:26" x14ac:dyDescent="0.3">
      <c r="A2303" t="s">
        <v>33</v>
      </c>
      <c r="B2303" t="s">
        <v>2359</v>
      </c>
      <c r="C2303">
        <v>57.004409836073897</v>
      </c>
      <c r="D2303">
        <v>25</v>
      </c>
      <c r="E2303">
        <v>485</v>
      </c>
      <c r="F2303">
        <v>5545.5202024336704</v>
      </c>
      <c r="G2303" t="s">
        <v>54</v>
      </c>
      <c r="H2303">
        <v>88</v>
      </c>
      <c r="I2303">
        <v>30</v>
      </c>
      <c r="J2303">
        <v>56</v>
      </c>
      <c r="K2303">
        <v>10</v>
      </c>
      <c r="L2303" t="s">
        <v>44</v>
      </c>
      <c r="M2303">
        <v>3.1156614625178198</v>
      </c>
      <c r="N2303" t="s">
        <v>51</v>
      </c>
      <c r="O2303" t="s">
        <v>38</v>
      </c>
      <c r="P2303">
        <f>VLOOKUP(O2303, Coordinates!$A$2:$C$6, 2, FALSE)</f>
        <v>25.761700000000001</v>
      </c>
      <c r="Q2303">
        <f>VLOOKUP(O2303, Coordinates!$A$2:$C$6, 3, FALSE)</f>
        <v>-80.191800000000001</v>
      </c>
      <c r="R2303">
        <v>3</v>
      </c>
      <c r="S2303">
        <v>614</v>
      </c>
      <c r="T2303">
        <v>12</v>
      </c>
      <c r="U2303">
        <v>65.195503364547505</v>
      </c>
      <c r="V2303" t="s">
        <v>30</v>
      </c>
      <c r="W2303">
        <v>0.32870201219776901</v>
      </c>
      <c r="X2303" t="s">
        <v>40</v>
      </c>
      <c r="Y2303" t="s">
        <v>60</v>
      </c>
      <c r="Z2303">
        <v>550.84982623348401</v>
      </c>
    </row>
    <row r="2304" spans="1:26" x14ac:dyDescent="0.3">
      <c r="A2304" t="s">
        <v>72</v>
      </c>
      <c r="B2304" t="s">
        <v>2360</v>
      </c>
      <c r="C2304">
        <v>38.0984878086715</v>
      </c>
      <c r="D2304">
        <v>21</v>
      </c>
      <c r="E2304">
        <v>148</v>
      </c>
      <c r="F2304">
        <v>5074.7185761150404</v>
      </c>
      <c r="G2304" t="s">
        <v>35</v>
      </c>
      <c r="H2304">
        <v>80</v>
      </c>
      <c r="I2304">
        <v>19</v>
      </c>
      <c r="J2304">
        <v>52</v>
      </c>
      <c r="K2304">
        <v>2</v>
      </c>
      <c r="L2304" t="s">
        <v>27</v>
      </c>
      <c r="M2304">
        <v>14.1667883017879</v>
      </c>
      <c r="N2304" t="s">
        <v>37</v>
      </c>
      <c r="O2304" t="s">
        <v>38</v>
      </c>
      <c r="P2304">
        <f>VLOOKUP(O2304, Coordinates!$A$2:$C$6, 2, FALSE)</f>
        <v>25.761700000000001</v>
      </c>
      <c r="Q2304">
        <f>VLOOKUP(O2304, Coordinates!$A$2:$C$6, 3, FALSE)</f>
        <v>-80.191800000000001</v>
      </c>
      <c r="R2304">
        <v>17</v>
      </c>
      <c r="S2304">
        <v>217</v>
      </c>
      <c r="T2304">
        <v>23</v>
      </c>
      <c r="U2304">
        <v>87.368554410000002</v>
      </c>
      <c r="V2304" t="s">
        <v>39</v>
      </c>
      <c r="W2304">
        <v>4.0051986511573698</v>
      </c>
      <c r="X2304" t="s">
        <v>31</v>
      </c>
      <c r="Y2304" t="s">
        <v>32</v>
      </c>
      <c r="Z2304">
        <v>309.14107536303101</v>
      </c>
    </row>
    <row r="2305" spans="1:26" x14ac:dyDescent="0.3">
      <c r="A2305" t="s">
        <v>61</v>
      </c>
      <c r="B2305" t="s">
        <v>2361</v>
      </c>
      <c r="C2305">
        <v>37.923082182572003</v>
      </c>
      <c r="D2305">
        <v>10</v>
      </c>
      <c r="E2305">
        <v>28</v>
      </c>
      <c r="F2305">
        <v>9766.2810247485704</v>
      </c>
      <c r="G2305" t="s">
        <v>54</v>
      </c>
      <c r="H2305">
        <v>14</v>
      </c>
      <c r="I2305">
        <v>17</v>
      </c>
      <c r="J2305">
        <v>29</v>
      </c>
      <c r="K2305">
        <v>7</v>
      </c>
      <c r="L2305" t="s">
        <v>27</v>
      </c>
      <c r="M2305">
        <v>1.0062863938459099</v>
      </c>
      <c r="N2305" t="s">
        <v>45</v>
      </c>
      <c r="O2305" t="s">
        <v>38</v>
      </c>
      <c r="P2305">
        <f>VLOOKUP(O2305, Coordinates!$A$2:$C$6, 2, FALSE)</f>
        <v>25.761700000000001</v>
      </c>
      <c r="Q2305">
        <f>VLOOKUP(O2305, Coordinates!$A$2:$C$6, 3, FALSE)</f>
        <v>-80.191800000000001</v>
      </c>
      <c r="R2305">
        <v>28</v>
      </c>
      <c r="S2305">
        <v>235</v>
      </c>
      <c r="T2305">
        <v>17</v>
      </c>
      <c r="U2305">
        <v>12.3310205389248</v>
      </c>
      <c r="V2305" t="s">
        <v>55</v>
      </c>
      <c r="W2305">
        <v>3.8991952505786598</v>
      </c>
      <c r="X2305" t="s">
        <v>40</v>
      </c>
      <c r="Y2305" t="s">
        <v>60</v>
      </c>
      <c r="Z2305">
        <v>853.20736301518502</v>
      </c>
    </row>
    <row r="2306" spans="1:26" x14ac:dyDescent="0.3">
      <c r="A2306" t="s">
        <v>72</v>
      </c>
      <c r="B2306" t="s">
        <v>2362</v>
      </c>
      <c r="C2306">
        <v>23.942348840000001</v>
      </c>
      <c r="D2306">
        <v>43</v>
      </c>
      <c r="E2306">
        <v>969</v>
      </c>
      <c r="F2306">
        <v>20880.122423717101</v>
      </c>
      <c r="G2306" t="s">
        <v>54</v>
      </c>
      <c r="H2306">
        <v>36</v>
      </c>
      <c r="I2306">
        <v>5</v>
      </c>
      <c r="J2306">
        <v>42</v>
      </c>
      <c r="K2306">
        <v>3</v>
      </c>
      <c r="L2306" t="s">
        <v>36</v>
      </c>
      <c r="M2306">
        <v>11.5797453995316</v>
      </c>
      <c r="N2306" t="s">
        <v>37</v>
      </c>
      <c r="O2306" t="s">
        <v>58</v>
      </c>
      <c r="P2306">
        <f>VLOOKUP(O2306, Coordinates!$A$2:$C$6, 2, FALSE)</f>
        <v>34.052199999999999</v>
      </c>
      <c r="Q2306">
        <f>VLOOKUP(O2306, Coordinates!$A$2:$C$6, 3, FALSE)</f>
        <v>-118.2437</v>
      </c>
      <c r="R2306">
        <v>9</v>
      </c>
      <c r="S2306">
        <v>286</v>
      </c>
      <c r="T2306">
        <v>22</v>
      </c>
      <c r="U2306">
        <v>85.255800090996999</v>
      </c>
      <c r="V2306" t="s">
        <v>30</v>
      </c>
      <c r="W2306">
        <v>0.98773526638490605</v>
      </c>
      <c r="X2306" t="s">
        <v>46</v>
      </c>
      <c r="Y2306" t="s">
        <v>60</v>
      </c>
      <c r="Z2306">
        <v>257.200251882472</v>
      </c>
    </row>
    <row r="2307" spans="1:26" x14ac:dyDescent="0.3">
      <c r="A2307" t="s">
        <v>61</v>
      </c>
      <c r="B2307" t="s">
        <v>2363</v>
      </c>
      <c r="C2307">
        <v>16.9287299705388</v>
      </c>
      <c r="D2307">
        <v>15</v>
      </c>
      <c r="E2307">
        <v>429</v>
      </c>
      <c r="F2307">
        <v>2455.4150049709701</v>
      </c>
      <c r="G2307" t="s">
        <v>48</v>
      </c>
      <c r="H2307">
        <v>3</v>
      </c>
      <c r="I2307">
        <v>20</v>
      </c>
      <c r="J2307">
        <v>25</v>
      </c>
      <c r="K2307">
        <v>2</v>
      </c>
      <c r="L2307" t="s">
        <v>44</v>
      </c>
      <c r="M2307">
        <v>4.91262485539675</v>
      </c>
      <c r="N2307" t="s">
        <v>45</v>
      </c>
      <c r="O2307" t="s">
        <v>38</v>
      </c>
      <c r="P2307">
        <f>VLOOKUP(O2307, Coordinates!$A$2:$C$6, 2, FALSE)</f>
        <v>25.761700000000001</v>
      </c>
      <c r="Q2307">
        <f>VLOOKUP(O2307, Coordinates!$A$2:$C$6, 3, FALSE)</f>
        <v>-80.191800000000001</v>
      </c>
      <c r="R2307">
        <v>27</v>
      </c>
      <c r="S2307">
        <v>641</v>
      </c>
      <c r="T2307">
        <v>24</v>
      </c>
      <c r="U2307">
        <v>80.648355879894893</v>
      </c>
      <c r="V2307" t="s">
        <v>39</v>
      </c>
      <c r="W2307">
        <v>4.1736009243701497</v>
      </c>
      <c r="X2307" t="s">
        <v>31</v>
      </c>
      <c r="Y2307" t="s">
        <v>60</v>
      </c>
      <c r="Z2307">
        <v>944.752228829003</v>
      </c>
    </row>
    <row r="2308" spans="1:26" x14ac:dyDescent="0.3">
      <c r="A2308" t="s">
        <v>24</v>
      </c>
      <c r="B2308" t="s">
        <v>2364</v>
      </c>
      <c r="C2308">
        <v>36.057285858871403</v>
      </c>
      <c r="D2308">
        <v>83</v>
      </c>
      <c r="E2308">
        <v>750</v>
      </c>
      <c r="F2308">
        <v>24338.667954738201</v>
      </c>
      <c r="G2308" t="s">
        <v>54</v>
      </c>
      <c r="H2308">
        <v>21</v>
      </c>
      <c r="I2308">
        <v>29</v>
      </c>
      <c r="J2308">
        <v>87</v>
      </c>
      <c r="K2308">
        <v>6</v>
      </c>
      <c r="L2308" t="s">
        <v>36</v>
      </c>
      <c r="M2308">
        <v>12.8452160648131</v>
      </c>
      <c r="N2308" t="s">
        <v>37</v>
      </c>
      <c r="O2308" t="s">
        <v>65</v>
      </c>
      <c r="P2308">
        <f>VLOOKUP(O2308, Coordinates!$A$2:$C$6, 2, FALSE)</f>
        <v>41.878100000000003</v>
      </c>
      <c r="Q2308">
        <f>VLOOKUP(O2308, Coordinates!$A$2:$C$6, 3, FALSE)</f>
        <v>-87.629800000000003</v>
      </c>
      <c r="R2308">
        <v>16</v>
      </c>
      <c r="S2308">
        <v>678</v>
      </c>
      <c r="T2308">
        <v>29</v>
      </c>
      <c r="U2308">
        <v>94.665043752009595</v>
      </c>
      <c r="V2308" t="s">
        <v>30</v>
      </c>
      <c r="W2308">
        <v>0.220661242782908</v>
      </c>
      <c r="X2308" t="s">
        <v>52</v>
      </c>
      <c r="Y2308" t="s">
        <v>32</v>
      </c>
      <c r="Z2308">
        <v>375.98817800707502</v>
      </c>
    </row>
    <row r="2309" spans="1:26" x14ac:dyDescent="0.3">
      <c r="A2309" t="s">
        <v>49</v>
      </c>
      <c r="B2309" t="s">
        <v>2365</v>
      </c>
      <c r="C2309">
        <v>83.598872708483796</v>
      </c>
      <c r="D2309">
        <v>48</v>
      </c>
      <c r="E2309">
        <v>849</v>
      </c>
      <c r="F2309">
        <v>4815.6056151693501</v>
      </c>
      <c r="G2309" t="s">
        <v>54</v>
      </c>
      <c r="H2309">
        <v>80</v>
      </c>
      <c r="I2309">
        <v>17</v>
      </c>
      <c r="J2309">
        <v>16</v>
      </c>
      <c r="K2309">
        <v>8</v>
      </c>
      <c r="L2309" t="s">
        <v>36</v>
      </c>
      <c r="M2309">
        <v>1.8421123723652499</v>
      </c>
      <c r="N2309" t="s">
        <v>37</v>
      </c>
      <c r="O2309" t="s">
        <v>67</v>
      </c>
      <c r="P2309">
        <f>VLOOKUP(O2309, Coordinates!$A$2:$C$6, 2, FALSE)</f>
        <v>40.712800000000001</v>
      </c>
      <c r="Q2309">
        <f>VLOOKUP(O2309, Coordinates!$A$2:$C$6, 3, FALSE)</f>
        <v>-74.006</v>
      </c>
      <c r="R2309">
        <v>28</v>
      </c>
      <c r="S2309">
        <v>410</v>
      </c>
      <c r="T2309">
        <v>17</v>
      </c>
      <c r="U2309">
        <v>47.185557872186699</v>
      </c>
      <c r="V2309" t="s">
        <v>55</v>
      </c>
      <c r="W2309">
        <v>2.3161967362618001</v>
      </c>
      <c r="X2309" t="s">
        <v>40</v>
      </c>
      <c r="Y2309" t="s">
        <v>60</v>
      </c>
      <c r="Z2309">
        <v>116.886670332824</v>
      </c>
    </row>
    <row r="2310" spans="1:26" x14ac:dyDescent="0.3">
      <c r="A2310" t="s">
        <v>24</v>
      </c>
      <c r="B2310" t="s">
        <v>2366</v>
      </c>
      <c r="C2310">
        <v>36.353132451360203</v>
      </c>
      <c r="D2310">
        <v>86</v>
      </c>
      <c r="E2310">
        <v>179</v>
      </c>
      <c r="F2310">
        <v>5856.4896379141301</v>
      </c>
      <c r="G2310" t="s">
        <v>54</v>
      </c>
      <c r="H2310">
        <v>21</v>
      </c>
      <c r="I2310">
        <v>10</v>
      </c>
      <c r="J2310">
        <v>79</v>
      </c>
      <c r="K2310">
        <v>8</v>
      </c>
      <c r="L2310" t="s">
        <v>36</v>
      </c>
      <c r="M2310">
        <v>14.342008376194</v>
      </c>
      <c r="N2310" t="s">
        <v>37</v>
      </c>
      <c r="O2310" t="s">
        <v>65</v>
      </c>
      <c r="P2310">
        <f>VLOOKUP(O2310, Coordinates!$A$2:$C$6, 2, FALSE)</f>
        <v>41.878100000000003</v>
      </c>
      <c r="Q2310">
        <f>VLOOKUP(O2310, Coordinates!$A$2:$C$6, 3, FALSE)</f>
        <v>-87.629800000000003</v>
      </c>
      <c r="R2310">
        <v>1</v>
      </c>
      <c r="S2310">
        <v>478</v>
      </c>
      <c r="T2310">
        <v>1</v>
      </c>
      <c r="U2310">
        <v>83.752585916321905</v>
      </c>
      <c r="V2310" t="s">
        <v>30</v>
      </c>
      <c r="W2310">
        <v>7.2223299999999999E-3</v>
      </c>
      <c r="X2310" t="s">
        <v>31</v>
      </c>
      <c r="Y2310" t="s">
        <v>32</v>
      </c>
      <c r="Z2310">
        <v>268.08968956756701</v>
      </c>
    </row>
    <row r="2311" spans="1:26" x14ac:dyDescent="0.3">
      <c r="A2311" t="s">
        <v>82</v>
      </c>
      <c r="B2311" t="s">
        <v>2367</v>
      </c>
      <c r="C2311">
        <v>37.065584258962701</v>
      </c>
      <c r="D2311">
        <v>21</v>
      </c>
      <c r="E2311">
        <v>848</v>
      </c>
      <c r="F2311">
        <v>8186.4636724352104</v>
      </c>
      <c r="G2311" t="s">
        <v>54</v>
      </c>
      <c r="H2311">
        <v>80</v>
      </c>
      <c r="I2311">
        <v>9</v>
      </c>
      <c r="J2311">
        <v>30</v>
      </c>
      <c r="K2311">
        <v>2</v>
      </c>
      <c r="L2311" t="s">
        <v>36</v>
      </c>
      <c r="M2311">
        <v>2.41952837366218</v>
      </c>
      <c r="N2311" t="s">
        <v>51</v>
      </c>
      <c r="O2311" t="s">
        <v>58</v>
      </c>
      <c r="P2311">
        <f>VLOOKUP(O2311, Coordinates!$A$2:$C$6, 2, FALSE)</f>
        <v>34.052199999999999</v>
      </c>
      <c r="Q2311">
        <f>VLOOKUP(O2311, Coordinates!$A$2:$C$6, 3, FALSE)</f>
        <v>-118.2437</v>
      </c>
      <c r="R2311">
        <v>25</v>
      </c>
      <c r="S2311">
        <v>910</v>
      </c>
      <c r="T2311">
        <v>6</v>
      </c>
      <c r="U2311">
        <v>92.229906279999994</v>
      </c>
      <c r="V2311" t="s">
        <v>30</v>
      </c>
      <c r="W2311">
        <v>2.7719701432323598</v>
      </c>
      <c r="X2311" t="s">
        <v>31</v>
      </c>
      <c r="Y2311" t="s">
        <v>32</v>
      </c>
      <c r="Z2311">
        <v>473.31265435067201</v>
      </c>
    </row>
    <row r="2312" spans="1:26" x14ac:dyDescent="0.3">
      <c r="A2312" t="s">
        <v>33</v>
      </c>
      <c r="B2312" t="s">
        <v>2368</v>
      </c>
      <c r="C2312">
        <v>81.2708648545768</v>
      </c>
      <c r="D2312">
        <v>60</v>
      </c>
      <c r="E2312">
        <v>329</v>
      </c>
      <c r="F2312">
        <v>5716.3390288082801</v>
      </c>
      <c r="G2312" t="s">
        <v>26</v>
      </c>
      <c r="H2312">
        <v>77</v>
      </c>
      <c r="I2312">
        <v>22</v>
      </c>
      <c r="J2312">
        <v>45</v>
      </c>
      <c r="K2312">
        <v>6</v>
      </c>
      <c r="L2312" t="s">
        <v>44</v>
      </c>
      <c r="M2312">
        <v>12.030358570496199</v>
      </c>
      <c r="N2312" t="s">
        <v>57</v>
      </c>
      <c r="O2312" t="s">
        <v>65</v>
      </c>
      <c r="P2312">
        <f>VLOOKUP(O2312, Coordinates!$A$2:$C$6, 2, FALSE)</f>
        <v>41.878100000000003</v>
      </c>
      <c r="Q2312">
        <f>VLOOKUP(O2312, Coordinates!$A$2:$C$6, 3, FALSE)</f>
        <v>-87.629800000000003</v>
      </c>
      <c r="R2312">
        <v>17</v>
      </c>
      <c r="S2312">
        <v>511</v>
      </c>
      <c r="T2312">
        <v>21</v>
      </c>
      <c r="U2312">
        <v>26.722215388580899</v>
      </c>
      <c r="V2312" t="s">
        <v>55</v>
      </c>
      <c r="W2312">
        <v>2.3104083386581098</v>
      </c>
      <c r="X2312" t="s">
        <v>52</v>
      </c>
      <c r="Y2312" t="s">
        <v>41</v>
      </c>
      <c r="Z2312">
        <v>149.67037338959699</v>
      </c>
    </row>
    <row r="2313" spans="1:26" x14ac:dyDescent="0.3">
      <c r="A2313" t="s">
        <v>61</v>
      </c>
      <c r="B2313" t="s">
        <v>2369</v>
      </c>
      <c r="C2313">
        <v>28.419391035608299</v>
      </c>
      <c r="D2313">
        <v>96</v>
      </c>
      <c r="E2313">
        <v>873</v>
      </c>
      <c r="F2313">
        <v>6148.8983527446198</v>
      </c>
      <c r="G2313" t="s">
        <v>35</v>
      </c>
      <c r="H2313">
        <v>77</v>
      </c>
      <c r="I2313">
        <v>6</v>
      </c>
      <c r="J2313">
        <v>95</v>
      </c>
      <c r="K2313">
        <v>5</v>
      </c>
      <c r="L2313" t="s">
        <v>27</v>
      </c>
      <c r="M2313">
        <v>8.2427909908984596</v>
      </c>
      <c r="N2313" t="s">
        <v>37</v>
      </c>
      <c r="O2313" t="s">
        <v>38</v>
      </c>
      <c r="P2313">
        <f>VLOOKUP(O2313, Coordinates!$A$2:$C$6, 2, FALSE)</f>
        <v>25.761700000000001</v>
      </c>
      <c r="Q2313">
        <f>VLOOKUP(O2313, Coordinates!$A$2:$C$6, 3, FALSE)</f>
        <v>-80.191800000000001</v>
      </c>
      <c r="R2313">
        <v>10</v>
      </c>
      <c r="S2313">
        <v>520</v>
      </c>
      <c r="T2313">
        <v>15</v>
      </c>
      <c r="U2313">
        <v>38.652437183003201</v>
      </c>
      <c r="V2313" t="s">
        <v>30</v>
      </c>
      <c r="W2313">
        <v>4.57741303340336</v>
      </c>
      <c r="X2313" t="s">
        <v>52</v>
      </c>
      <c r="Y2313" t="s">
        <v>41</v>
      </c>
      <c r="Z2313">
        <v>468.56887981036999</v>
      </c>
    </row>
    <row r="2314" spans="1:26" x14ac:dyDescent="0.3">
      <c r="A2314" t="s">
        <v>72</v>
      </c>
      <c r="B2314" t="s">
        <v>2370</v>
      </c>
      <c r="C2314">
        <v>31.587584006956799</v>
      </c>
      <c r="D2314">
        <v>50</v>
      </c>
      <c r="E2314">
        <v>675</v>
      </c>
      <c r="G2314" t="s">
        <v>48</v>
      </c>
      <c r="H2314">
        <v>16</v>
      </c>
      <c r="I2314">
        <v>30</v>
      </c>
      <c r="J2314">
        <v>63</v>
      </c>
      <c r="K2314">
        <v>7</v>
      </c>
      <c r="L2314" t="s">
        <v>27</v>
      </c>
      <c r="M2314">
        <v>7.0255270860000003</v>
      </c>
      <c r="N2314" t="s">
        <v>37</v>
      </c>
      <c r="O2314" t="s">
        <v>67</v>
      </c>
      <c r="P2314">
        <f>VLOOKUP(O2314, Coordinates!$A$2:$C$6, 2, FALSE)</f>
        <v>40.712800000000001</v>
      </c>
      <c r="Q2314">
        <f>VLOOKUP(O2314, Coordinates!$A$2:$C$6, 3, FALSE)</f>
        <v>-74.006</v>
      </c>
      <c r="R2314">
        <v>20</v>
      </c>
      <c r="S2314">
        <v>316</v>
      </c>
      <c r="T2314">
        <v>19</v>
      </c>
      <c r="U2314">
        <v>81.340636814267995</v>
      </c>
      <c r="V2314" t="s">
        <v>30</v>
      </c>
      <c r="W2314">
        <v>3.6013595139220702</v>
      </c>
      <c r="X2314" t="s">
        <v>52</v>
      </c>
      <c r="Y2314" t="s">
        <v>41</v>
      </c>
      <c r="Z2314">
        <v>282.59387415034598</v>
      </c>
    </row>
    <row r="2315" spans="1:26" x14ac:dyDescent="0.3">
      <c r="A2315" t="s">
        <v>49</v>
      </c>
      <c r="B2315" t="s">
        <v>2371</v>
      </c>
      <c r="C2315">
        <v>37.757672735886104</v>
      </c>
      <c r="D2315">
        <v>23</v>
      </c>
      <c r="E2315">
        <v>864</v>
      </c>
      <c r="F2315">
        <v>8253.3533807382191</v>
      </c>
      <c r="G2315" t="s">
        <v>26</v>
      </c>
      <c r="H2315">
        <v>71</v>
      </c>
      <c r="I2315">
        <v>11</v>
      </c>
      <c r="J2315">
        <v>28</v>
      </c>
      <c r="K2315">
        <v>4</v>
      </c>
      <c r="L2315" t="s">
        <v>44</v>
      </c>
      <c r="M2315">
        <v>4.9221810027438</v>
      </c>
      <c r="N2315" t="s">
        <v>45</v>
      </c>
      <c r="O2315" t="s">
        <v>38</v>
      </c>
      <c r="P2315">
        <f>VLOOKUP(O2315, Coordinates!$A$2:$C$6, 2, FALSE)</f>
        <v>25.761700000000001</v>
      </c>
      <c r="Q2315">
        <f>VLOOKUP(O2315, Coordinates!$A$2:$C$6, 3, FALSE)</f>
        <v>-80.191800000000001</v>
      </c>
      <c r="R2315">
        <v>28</v>
      </c>
      <c r="S2315">
        <v>769</v>
      </c>
      <c r="T2315">
        <v>14</v>
      </c>
      <c r="U2315">
        <v>39.758797545397499</v>
      </c>
      <c r="V2315" t="s">
        <v>39</v>
      </c>
      <c r="W2315">
        <v>4.0399299596138096</v>
      </c>
      <c r="X2315" t="s">
        <v>52</v>
      </c>
      <c r="Y2315" t="s">
        <v>32</v>
      </c>
      <c r="Z2315">
        <v>117.058898676513</v>
      </c>
    </row>
    <row r="2316" spans="1:26" x14ac:dyDescent="0.3">
      <c r="A2316" t="s">
        <v>61</v>
      </c>
      <c r="B2316" t="s">
        <v>2372</v>
      </c>
      <c r="C2316">
        <v>37.044540644366599</v>
      </c>
      <c r="D2316">
        <v>13</v>
      </c>
      <c r="E2316">
        <v>352</v>
      </c>
      <c r="F2316">
        <v>2189.9037053826901</v>
      </c>
      <c r="G2316" t="s">
        <v>48</v>
      </c>
      <c r="H2316">
        <v>97</v>
      </c>
      <c r="I2316">
        <v>2</v>
      </c>
      <c r="J2316">
        <v>34</v>
      </c>
      <c r="K2316">
        <v>2</v>
      </c>
      <c r="L2316" t="s">
        <v>36</v>
      </c>
      <c r="M2316">
        <v>12.779173493486899</v>
      </c>
      <c r="N2316" t="s">
        <v>57</v>
      </c>
      <c r="O2316" t="s">
        <v>29</v>
      </c>
      <c r="P2316">
        <f>VLOOKUP(O2316, Coordinates!$A$2:$C$6, 2, FALSE)</f>
        <v>29.760400000000001</v>
      </c>
      <c r="Q2316">
        <f>VLOOKUP(O2316, Coordinates!$A$2:$C$6, 3, FALSE)</f>
        <v>-95.369799999999998</v>
      </c>
      <c r="R2316">
        <v>8</v>
      </c>
      <c r="S2316">
        <v>170</v>
      </c>
      <c r="T2316">
        <v>10</v>
      </c>
      <c r="U2316">
        <v>57.8212696527034</v>
      </c>
      <c r="V2316" t="s">
        <v>39</v>
      </c>
      <c r="W2316">
        <v>1.7726997987597299</v>
      </c>
      <c r="X2316" t="s">
        <v>40</v>
      </c>
      <c r="Y2316" t="s">
        <v>41</v>
      </c>
      <c r="Z2316">
        <v>369.10582993976999</v>
      </c>
    </row>
    <row r="2317" spans="1:26" x14ac:dyDescent="0.3">
      <c r="A2317" t="s">
        <v>72</v>
      </c>
      <c r="B2317" t="s">
        <v>2373</v>
      </c>
      <c r="C2317">
        <v>34.297841120037901</v>
      </c>
      <c r="D2317">
        <v>69</v>
      </c>
      <c r="E2317">
        <v>802</v>
      </c>
      <c r="F2317">
        <v>24756.181720443299</v>
      </c>
      <c r="G2317" t="s">
        <v>48</v>
      </c>
      <c r="H2317">
        <v>89</v>
      </c>
      <c r="I2317">
        <v>30</v>
      </c>
      <c r="J2317">
        <v>76</v>
      </c>
      <c r="K2317">
        <v>10</v>
      </c>
      <c r="L2317" t="s">
        <v>44</v>
      </c>
      <c r="M2317">
        <v>3.7965195654613</v>
      </c>
      <c r="N2317" t="s">
        <v>45</v>
      </c>
      <c r="O2317" t="s">
        <v>38</v>
      </c>
      <c r="P2317">
        <f>VLOOKUP(O2317, Coordinates!$A$2:$C$6, 2, FALSE)</f>
        <v>25.761700000000001</v>
      </c>
      <c r="Q2317">
        <f>VLOOKUP(O2317, Coordinates!$A$2:$C$6, 3, FALSE)</f>
        <v>-80.191800000000001</v>
      </c>
      <c r="R2317">
        <v>26</v>
      </c>
      <c r="S2317">
        <v>929</v>
      </c>
      <c r="T2317">
        <v>29</v>
      </c>
      <c r="U2317">
        <v>87.592626216249897</v>
      </c>
      <c r="V2317" t="s">
        <v>39</v>
      </c>
      <c r="W2317">
        <v>4.7918194840000004</v>
      </c>
      <c r="X2317" t="s">
        <v>31</v>
      </c>
      <c r="Y2317" t="s">
        <v>60</v>
      </c>
      <c r="Z2317">
        <v>303.67409914772702</v>
      </c>
    </row>
    <row r="2318" spans="1:26" x14ac:dyDescent="0.3">
      <c r="A2318" t="s">
        <v>33</v>
      </c>
      <c r="B2318" t="s">
        <v>2374</v>
      </c>
      <c r="C2318">
        <v>16.600594012807299</v>
      </c>
      <c r="D2318">
        <v>4</v>
      </c>
      <c r="E2318">
        <v>22</v>
      </c>
      <c r="F2318">
        <v>4918.9251601183196</v>
      </c>
      <c r="G2318" t="s">
        <v>26</v>
      </c>
      <c r="H2318">
        <v>93</v>
      </c>
      <c r="I2318">
        <v>23</v>
      </c>
      <c r="J2318">
        <v>62</v>
      </c>
      <c r="K2318">
        <v>3</v>
      </c>
      <c r="L2318" t="s">
        <v>36</v>
      </c>
      <c r="M2318">
        <v>11.097377849900001</v>
      </c>
      <c r="N2318" t="s">
        <v>45</v>
      </c>
      <c r="O2318" t="s">
        <v>38</v>
      </c>
      <c r="P2318">
        <f>VLOOKUP(O2318, Coordinates!$A$2:$C$6, 2, FALSE)</f>
        <v>25.761700000000001</v>
      </c>
      <c r="Q2318">
        <f>VLOOKUP(O2318, Coordinates!$A$2:$C$6, 3, FALSE)</f>
        <v>-80.191800000000001</v>
      </c>
      <c r="R2318">
        <v>27</v>
      </c>
      <c r="S2318">
        <v>209</v>
      </c>
      <c r="T2318">
        <v>10</v>
      </c>
      <c r="U2318">
        <v>98.641219255753199</v>
      </c>
      <c r="V2318" t="s">
        <v>39</v>
      </c>
      <c r="W2318">
        <v>4.9144182017611602</v>
      </c>
      <c r="X2318" t="s">
        <v>52</v>
      </c>
      <c r="Y2318" t="s">
        <v>41</v>
      </c>
      <c r="Z2318">
        <v>477.78375419999998</v>
      </c>
    </row>
    <row r="2319" spans="1:26" x14ac:dyDescent="0.3">
      <c r="A2319" t="s">
        <v>24</v>
      </c>
      <c r="B2319" t="s">
        <v>2375</v>
      </c>
      <c r="C2319">
        <v>38.1071473622562</v>
      </c>
      <c r="D2319">
        <v>92</v>
      </c>
      <c r="E2319">
        <v>48</v>
      </c>
      <c r="F2319">
        <v>1646.2287660494601</v>
      </c>
      <c r="G2319" t="s">
        <v>54</v>
      </c>
      <c r="H2319">
        <v>85</v>
      </c>
      <c r="I2319">
        <v>12</v>
      </c>
      <c r="J2319">
        <v>84</v>
      </c>
      <c r="K2319">
        <v>9</v>
      </c>
      <c r="L2319" t="s">
        <v>36</v>
      </c>
      <c r="M2319">
        <v>7.2410831143920804</v>
      </c>
      <c r="N2319" t="s">
        <v>37</v>
      </c>
      <c r="O2319" t="s">
        <v>65</v>
      </c>
      <c r="P2319">
        <f>VLOOKUP(O2319, Coordinates!$A$2:$C$6, 2, FALSE)</f>
        <v>41.878100000000003</v>
      </c>
      <c r="Q2319">
        <f>VLOOKUP(O2319, Coordinates!$A$2:$C$6, 3, FALSE)</f>
        <v>-87.629800000000003</v>
      </c>
      <c r="R2319">
        <v>5</v>
      </c>
      <c r="S2319">
        <v>384</v>
      </c>
      <c r="T2319">
        <v>23</v>
      </c>
      <c r="U2319">
        <v>80.613914184173296</v>
      </c>
      <c r="V2319" t="s">
        <v>55</v>
      </c>
      <c r="W2319">
        <v>2.9713755749314399</v>
      </c>
      <c r="X2319" t="s">
        <v>31</v>
      </c>
      <c r="Y2319" t="s">
        <v>32</v>
      </c>
      <c r="Z2319">
        <v>783.11379070845305</v>
      </c>
    </row>
    <row r="2320" spans="1:26" x14ac:dyDescent="0.3">
      <c r="A2320" t="s">
        <v>33</v>
      </c>
      <c r="B2320" t="s">
        <v>2376</v>
      </c>
      <c r="C2320">
        <v>66.569978280741694</v>
      </c>
      <c r="D2320">
        <v>78</v>
      </c>
      <c r="E2320">
        <v>159</v>
      </c>
      <c r="F2320">
        <v>1450.16938811967</v>
      </c>
      <c r="G2320" t="s">
        <v>26</v>
      </c>
      <c r="H2320">
        <v>79</v>
      </c>
      <c r="I2320">
        <v>12</v>
      </c>
      <c r="J2320">
        <v>57</v>
      </c>
      <c r="K2320">
        <v>10</v>
      </c>
      <c r="L2320" t="s">
        <v>44</v>
      </c>
      <c r="M2320">
        <v>14.978930100061699</v>
      </c>
      <c r="N2320" t="s">
        <v>28</v>
      </c>
      <c r="O2320" t="s">
        <v>29</v>
      </c>
      <c r="P2320">
        <f>VLOOKUP(O2320, Coordinates!$A$2:$C$6, 2, FALSE)</f>
        <v>29.760400000000001</v>
      </c>
      <c r="Q2320">
        <f>VLOOKUP(O2320, Coordinates!$A$2:$C$6, 3, FALSE)</f>
        <v>-95.369799999999998</v>
      </c>
      <c r="R2320">
        <v>4</v>
      </c>
      <c r="S2320">
        <v>982</v>
      </c>
      <c r="T2320">
        <v>7</v>
      </c>
      <c r="U2320">
        <v>67.0960850272008</v>
      </c>
      <c r="V2320" t="s">
        <v>30</v>
      </c>
      <c r="W2320">
        <v>2.7953579539344999</v>
      </c>
      <c r="X2320" t="s">
        <v>31</v>
      </c>
      <c r="Y2320" t="s">
        <v>60</v>
      </c>
      <c r="Z2320">
        <v>558.79799500319405</v>
      </c>
    </row>
    <row r="2321" spans="1:26" x14ac:dyDescent="0.3">
      <c r="A2321" t="s">
        <v>42</v>
      </c>
      <c r="B2321" t="s">
        <v>2377</v>
      </c>
      <c r="D2321">
        <v>72</v>
      </c>
      <c r="E2321">
        <v>871</v>
      </c>
      <c r="F2321">
        <v>5385.2460431090503</v>
      </c>
      <c r="G2321" t="s">
        <v>48</v>
      </c>
      <c r="H2321">
        <v>93</v>
      </c>
      <c r="I2321">
        <v>16</v>
      </c>
      <c r="J2321">
        <v>51</v>
      </c>
      <c r="K2321">
        <v>8</v>
      </c>
      <c r="L2321" t="s">
        <v>44</v>
      </c>
      <c r="M2321">
        <v>9.5595862823768094</v>
      </c>
      <c r="N2321" t="s">
        <v>57</v>
      </c>
      <c r="O2321" t="s">
        <v>29</v>
      </c>
      <c r="P2321">
        <f>VLOOKUP(O2321, Coordinates!$A$2:$C$6, 2, FALSE)</f>
        <v>29.760400000000001</v>
      </c>
      <c r="Q2321">
        <f>VLOOKUP(O2321, Coordinates!$A$2:$C$6, 3, FALSE)</f>
        <v>-95.369799999999998</v>
      </c>
      <c r="R2321">
        <v>25</v>
      </c>
      <c r="S2321">
        <v>869</v>
      </c>
      <c r="T2321">
        <v>7</v>
      </c>
      <c r="U2321">
        <v>15.4679745780982</v>
      </c>
      <c r="V2321" t="s">
        <v>30</v>
      </c>
      <c r="W2321">
        <v>1.9904923320193799</v>
      </c>
      <c r="X2321" t="s">
        <v>46</v>
      </c>
      <c r="Y2321" t="s">
        <v>60</v>
      </c>
      <c r="Z2321">
        <v>-50</v>
      </c>
    </row>
    <row r="2322" spans="1:26" x14ac:dyDescent="0.3">
      <c r="A2322" t="s">
        <v>82</v>
      </c>
      <c r="B2322" t="s">
        <v>2378</v>
      </c>
      <c r="C2322">
        <v>80.099448475808899</v>
      </c>
      <c r="D2322">
        <v>9</v>
      </c>
      <c r="E2322">
        <v>926</v>
      </c>
      <c r="F2322">
        <v>4198.9301265207796</v>
      </c>
      <c r="G2322" t="s">
        <v>48</v>
      </c>
      <c r="H2322">
        <v>79</v>
      </c>
      <c r="I2322">
        <v>25</v>
      </c>
      <c r="J2322">
        <v>56</v>
      </c>
      <c r="K2322">
        <v>9</v>
      </c>
      <c r="L2322" t="s">
        <v>36</v>
      </c>
      <c r="M2322">
        <v>2.4586544535327501</v>
      </c>
      <c r="N2322" t="s">
        <v>45</v>
      </c>
      <c r="O2322" t="s">
        <v>38</v>
      </c>
      <c r="P2322">
        <f>VLOOKUP(O2322, Coordinates!$A$2:$C$6, 2, FALSE)</f>
        <v>25.761700000000001</v>
      </c>
      <c r="Q2322">
        <f>VLOOKUP(O2322, Coordinates!$A$2:$C$6, 3, FALSE)</f>
        <v>-80.191800000000001</v>
      </c>
      <c r="R2322">
        <v>26</v>
      </c>
      <c r="S2322">
        <v>701</v>
      </c>
      <c r="T2322">
        <v>14</v>
      </c>
      <c r="U2322">
        <v>16.738296523550201</v>
      </c>
      <c r="V2322" t="s">
        <v>39</v>
      </c>
      <c r="W2322">
        <v>4.06767480426943</v>
      </c>
      <c r="X2322" t="s">
        <v>46</v>
      </c>
      <c r="Y2322" t="s">
        <v>60</v>
      </c>
      <c r="Z2322">
        <v>403.01130115551302</v>
      </c>
    </row>
    <row r="2323" spans="1:26" x14ac:dyDescent="0.3">
      <c r="A2323" t="s">
        <v>42</v>
      </c>
      <c r="B2323" t="s">
        <v>2379</v>
      </c>
      <c r="C2323">
        <v>18.405221432028299</v>
      </c>
      <c r="D2323">
        <v>35</v>
      </c>
      <c r="E2323">
        <v>381</v>
      </c>
      <c r="F2323">
        <v>3263.6173570875999</v>
      </c>
      <c r="G2323" t="s">
        <v>54</v>
      </c>
      <c r="H2323">
        <v>37</v>
      </c>
      <c r="I2323">
        <v>22</v>
      </c>
      <c r="J2323">
        <v>100</v>
      </c>
      <c r="K2323">
        <v>5</v>
      </c>
      <c r="L2323" t="s">
        <v>36</v>
      </c>
      <c r="M2323">
        <v>6.8732966481279902</v>
      </c>
      <c r="N2323" t="s">
        <v>28</v>
      </c>
      <c r="O2323" t="s">
        <v>65</v>
      </c>
      <c r="P2323">
        <f>VLOOKUP(O2323, Coordinates!$A$2:$C$6, 2, FALSE)</f>
        <v>41.878100000000003</v>
      </c>
      <c r="Q2323">
        <f>VLOOKUP(O2323, Coordinates!$A$2:$C$6, 3, FALSE)</f>
        <v>-87.629800000000003</v>
      </c>
      <c r="R2323">
        <v>8</v>
      </c>
      <c r="S2323">
        <v>972</v>
      </c>
      <c r="T2323">
        <v>15</v>
      </c>
      <c r="U2323">
        <v>59.047626771162001</v>
      </c>
      <c r="V2323" t="s">
        <v>55</v>
      </c>
      <c r="W2323">
        <v>3.8583220743379498</v>
      </c>
      <c r="X2323" t="s">
        <v>52</v>
      </c>
      <c r="Y2323" t="s">
        <v>41</v>
      </c>
      <c r="Z2323">
        <v>111.866133968879</v>
      </c>
    </row>
    <row r="2324" spans="1:26" x14ac:dyDescent="0.3">
      <c r="A2324" t="s">
        <v>49</v>
      </c>
      <c r="B2324" t="s">
        <v>2380</v>
      </c>
      <c r="D2324">
        <v>21</v>
      </c>
      <c r="E2324">
        <v>747</v>
      </c>
      <c r="F2324">
        <v>7252.0455663726098</v>
      </c>
      <c r="G2324" t="s">
        <v>26</v>
      </c>
      <c r="H2324">
        <v>23</v>
      </c>
      <c r="I2324">
        <v>27</v>
      </c>
      <c r="J2324">
        <v>51</v>
      </c>
      <c r="K2324">
        <v>5</v>
      </c>
      <c r="L2324" t="s">
        <v>36</v>
      </c>
      <c r="M2324">
        <v>1.9281857253927399</v>
      </c>
      <c r="N2324" t="s">
        <v>28</v>
      </c>
      <c r="O2324" t="s">
        <v>65</v>
      </c>
      <c r="P2324">
        <f>VLOOKUP(O2324, Coordinates!$A$2:$C$6, 2, FALSE)</f>
        <v>41.878100000000003</v>
      </c>
      <c r="Q2324">
        <f>VLOOKUP(O2324, Coordinates!$A$2:$C$6, 3, FALSE)</f>
        <v>-87.629800000000003</v>
      </c>
      <c r="R2324">
        <v>25</v>
      </c>
      <c r="S2324">
        <v>668</v>
      </c>
      <c r="T2324">
        <v>22</v>
      </c>
      <c r="U2324">
        <v>35.655799258309003</v>
      </c>
      <c r="V2324" t="s">
        <v>39</v>
      </c>
      <c r="W2324">
        <v>0.63768838178183695</v>
      </c>
      <c r="X2324" t="s">
        <v>52</v>
      </c>
      <c r="Y2324" t="s">
        <v>41</v>
      </c>
      <c r="Z2324">
        <v>929.95582538370502</v>
      </c>
    </row>
    <row r="2325" spans="1:26" x14ac:dyDescent="0.3">
      <c r="A2325" t="s">
        <v>61</v>
      </c>
      <c r="B2325" t="s">
        <v>2381</v>
      </c>
      <c r="C2325">
        <v>15.03119687</v>
      </c>
      <c r="D2325">
        <v>58</v>
      </c>
      <c r="E2325">
        <v>887</v>
      </c>
      <c r="F2325">
        <v>7925.3684858402803</v>
      </c>
      <c r="G2325" t="s">
        <v>35</v>
      </c>
      <c r="H2325">
        <v>99</v>
      </c>
      <c r="I2325">
        <v>24</v>
      </c>
      <c r="J2325">
        <v>11</v>
      </c>
      <c r="K2325">
        <v>7</v>
      </c>
      <c r="L2325" t="s">
        <v>36</v>
      </c>
      <c r="M2325">
        <v>4.9991788814475999</v>
      </c>
      <c r="N2325" t="s">
        <v>45</v>
      </c>
      <c r="O2325" t="s">
        <v>38</v>
      </c>
      <c r="P2325">
        <f>VLOOKUP(O2325, Coordinates!$A$2:$C$6, 2, FALSE)</f>
        <v>25.761700000000001</v>
      </c>
      <c r="Q2325">
        <f>VLOOKUP(O2325, Coordinates!$A$2:$C$6, 3, FALSE)</f>
        <v>-80.191800000000001</v>
      </c>
      <c r="R2325">
        <v>30</v>
      </c>
      <c r="S2325">
        <v>397</v>
      </c>
      <c r="T2325">
        <v>20</v>
      </c>
      <c r="U2325">
        <v>66.051050279999998</v>
      </c>
      <c r="V2325" t="s">
        <v>39</v>
      </c>
      <c r="W2325">
        <v>4.7351319552137401</v>
      </c>
      <c r="X2325" t="s">
        <v>46</v>
      </c>
      <c r="Y2325" t="s">
        <v>41</v>
      </c>
      <c r="Z2325">
        <v>383.24305591996898</v>
      </c>
    </row>
    <row r="2326" spans="1:26" x14ac:dyDescent="0.3">
      <c r="A2326" t="s">
        <v>49</v>
      </c>
      <c r="B2326" t="s">
        <v>2382</v>
      </c>
      <c r="C2326">
        <v>9.30299114324235</v>
      </c>
      <c r="D2326">
        <v>18</v>
      </c>
      <c r="E2326">
        <v>832</v>
      </c>
      <c r="F2326">
        <v>3203.1056712648201</v>
      </c>
      <c r="G2326" t="s">
        <v>48</v>
      </c>
      <c r="H2326">
        <v>98</v>
      </c>
      <c r="I2326">
        <v>12</v>
      </c>
      <c r="J2326">
        <v>15</v>
      </c>
      <c r="K2326">
        <v>7</v>
      </c>
      <c r="L2326" t="s">
        <v>44</v>
      </c>
      <c r="M2326">
        <v>5.80643512833546</v>
      </c>
      <c r="N2326" t="s">
        <v>37</v>
      </c>
      <c r="O2326" t="s">
        <v>29</v>
      </c>
      <c r="P2326">
        <f>VLOOKUP(O2326, Coordinates!$A$2:$C$6, 2, FALSE)</f>
        <v>29.760400000000001</v>
      </c>
      <c r="Q2326">
        <f>VLOOKUP(O2326, Coordinates!$A$2:$C$6, 3, FALSE)</f>
        <v>-95.369799999999998</v>
      </c>
      <c r="R2326">
        <v>7</v>
      </c>
      <c r="S2326">
        <v>598</v>
      </c>
      <c r="T2326">
        <v>9</v>
      </c>
      <c r="U2326">
        <v>63.837323366299501</v>
      </c>
      <c r="V2326" t="s">
        <v>39</v>
      </c>
      <c r="W2326">
        <v>1.1968243454448699</v>
      </c>
      <c r="X2326" t="s">
        <v>31</v>
      </c>
      <c r="Y2326" t="s">
        <v>41</v>
      </c>
      <c r="Z2326">
        <v>574.18987367037096</v>
      </c>
    </row>
    <row r="2327" spans="1:26" x14ac:dyDescent="0.3">
      <c r="A2327" t="s">
        <v>24</v>
      </c>
      <c r="B2327" t="s">
        <v>2383</v>
      </c>
      <c r="C2327">
        <v>39.883285231787198</v>
      </c>
      <c r="D2327">
        <v>97</v>
      </c>
      <c r="E2327">
        <v>406</v>
      </c>
      <c r="F2327">
        <v>14573.352423695</v>
      </c>
      <c r="G2327" t="s">
        <v>26</v>
      </c>
      <c r="H2327">
        <v>5</v>
      </c>
      <c r="I2327">
        <v>21</v>
      </c>
      <c r="J2327">
        <v>55</v>
      </c>
      <c r="K2327">
        <v>1</v>
      </c>
      <c r="L2327" t="s">
        <v>27</v>
      </c>
      <c r="M2327">
        <v>12.9444725167544</v>
      </c>
      <c r="N2327" t="s">
        <v>51</v>
      </c>
      <c r="O2327" t="s">
        <v>67</v>
      </c>
      <c r="P2327">
        <f>VLOOKUP(O2327, Coordinates!$A$2:$C$6, 2, FALSE)</f>
        <v>40.712800000000001</v>
      </c>
      <c r="Q2327">
        <f>VLOOKUP(O2327, Coordinates!$A$2:$C$6, 3, FALSE)</f>
        <v>-74.006</v>
      </c>
      <c r="R2327">
        <v>5</v>
      </c>
      <c r="S2327">
        <v>660</v>
      </c>
      <c r="T2327">
        <v>28</v>
      </c>
      <c r="U2327">
        <v>92.151338326456397</v>
      </c>
      <c r="V2327" t="s">
        <v>30</v>
      </c>
      <c r="W2327">
        <v>2.2387134071868702</v>
      </c>
      <c r="X2327" t="s">
        <v>52</v>
      </c>
      <c r="Y2327" t="s">
        <v>60</v>
      </c>
      <c r="Z2327">
        <v>522.29322739900897</v>
      </c>
    </row>
    <row r="2328" spans="1:26" x14ac:dyDescent="0.3">
      <c r="A2328" t="s">
        <v>72</v>
      </c>
      <c r="B2328" t="s">
        <v>2384</v>
      </c>
      <c r="C2328">
        <v>20.801392876017498</v>
      </c>
      <c r="D2328">
        <v>72</v>
      </c>
      <c r="E2328">
        <v>229</v>
      </c>
      <c r="F2328">
        <v>4287.1670717472198</v>
      </c>
      <c r="G2328" t="s">
        <v>54</v>
      </c>
      <c r="H2328">
        <v>67</v>
      </c>
      <c r="I2328">
        <v>18</v>
      </c>
      <c r="J2328">
        <v>75</v>
      </c>
      <c r="K2328">
        <v>5</v>
      </c>
      <c r="L2328" t="s">
        <v>27</v>
      </c>
      <c r="M2328">
        <v>12.73182467</v>
      </c>
      <c r="N2328" t="s">
        <v>45</v>
      </c>
      <c r="O2328" t="s">
        <v>38</v>
      </c>
      <c r="P2328">
        <f>VLOOKUP(O2328, Coordinates!$A$2:$C$6, 2, FALSE)</f>
        <v>25.761700000000001</v>
      </c>
      <c r="Q2328">
        <f>VLOOKUP(O2328, Coordinates!$A$2:$C$6, 3, FALSE)</f>
        <v>-80.191800000000001</v>
      </c>
      <c r="R2328">
        <v>28</v>
      </c>
      <c r="S2328">
        <v>796</v>
      </c>
      <c r="T2328">
        <v>15</v>
      </c>
      <c r="U2328">
        <v>92.844742559732097</v>
      </c>
      <c r="V2328" t="s">
        <v>39</v>
      </c>
      <c r="W2328">
        <v>3.6029169535257202</v>
      </c>
      <c r="X2328" t="s">
        <v>40</v>
      </c>
      <c r="Y2328" t="s">
        <v>32</v>
      </c>
      <c r="Z2328">
        <v>624.77657390000002</v>
      </c>
    </row>
    <row r="2329" spans="1:26" x14ac:dyDescent="0.3">
      <c r="A2329" t="s">
        <v>33</v>
      </c>
      <c r="B2329" t="s">
        <v>2385</v>
      </c>
      <c r="C2329">
        <v>12.792250095089701</v>
      </c>
      <c r="D2329">
        <v>81</v>
      </c>
      <c r="E2329">
        <v>221</v>
      </c>
      <c r="F2329">
        <v>1089.637671</v>
      </c>
      <c r="G2329" t="s">
        <v>54</v>
      </c>
      <c r="H2329">
        <v>81</v>
      </c>
      <c r="I2329">
        <v>13</v>
      </c>
      <c r="J2329">
        <v>90</v>
      </c>
      <c r="K2329">
        <v>8</v>
      </c>
      <c r="L2329" t="s">
        <v>36</v>
      </c>
      <c r="M2329">
        <v>1.1618010797676099</v>
      </c>
      <c r="N2329" t="s">
        <v>37</v>
      </c>
      <c r="O2329" t="s">
        <v>38</v>
      </c>
      <c r="P2329">
        <f>VLOOKUP(O2329, Coordinates!$A$2:$C$6, 2, FALSE)</f>
        <v>25.761700000000001</v>
      </c>
      <c r="Q2329">
        <f>VLOOKUP(O2329, Coordinates!$A$2:$C$6, 3, FALSE)</f>
        <v>-80.191800000000001</v>
      </c>
      <c r="R2329">
        <v>17</v>
      </c>
      <c r="S2329">
        <v>810</v>
      </c>
      <c r="T2329">
        <v>9</v>
      </c>
      <c r="U2329">
        <v>62.007717204189298</v>
      </c>
      <c r="V2329" t="s">
        <v>39</v>
      </c>
      <c r="W2329">
        <v>2.7517296147924202</v>
      </c>
      <c r="X2329" t="s">
        <v>52</v>
      </c>
      <c r="Y2329" t="s">
        <v>41</v>
      </c>
      <c r="Z2329">
        <v>896.46769310398599</v>
      </c>
    </row>
    <row r="2330" spans="1:26" x14ac:dyDescent="0.3">
      <c r="A2330" t="s">
        <v>42</v>
      </c>
      <c r="B2330" t="s">
        <v>2386</v>
      </c>
      <c r="C2330">
        <v>8.3192284085689003</v>
      </c>
      <c r="D2330">
        <v>43</v>
      </c>
      <c r="E2330">
        <v>884</v>
      </c>
      <c r="F2330">
        <v>9434.0124452932396</v>
      </c>
      <c r="G2330" t="s">
        <v>35</v>
      </c>
      <c r="H2330">
        <v>4</v>
      </c>
      <c r="I2330">
        <v>27</v>
      </c>
      <c r="J2330">
        <v>49</v>
      </c>
      <c r="K2330">
        <v>7</v>
      </c>
      <c r="L2330" t="s">
        <v>27</v>
      </c>
      <c r="M2330">
        <v>8.4519006100712897</v>
      </c>
      <c r="N2330" t="s">
        <v>57</v>
      </c>
      <c r="O2330" t="s">
        <v>67</v>
      </c>
      <c r="P2330">
        <f>VLOOKUP(O2330, Coordinates!$A$2:$C$6, 2, FALSE)</f>
        <v>40.712800000000001</v>
      </c>
      <c r="Q2330">
        <f>VLOOKUP(O2330, Coordinates!$A$2:$C$6, 3, FALSE)</f>
        <v>-74.006</v>
      </c>
      <c r="R2330">
        <v>28</v>
      </c>
      <c r="S2330">
        <v>629</v>
      </c>
      <c r="T2330">
        <v>23</v>
      </c>
      <c r="U2330">
        <v>79.962698695488399</v>
      </c>
      <c r="V2330" t="s">
        <v>30</v>
      </c>
      <c r="W2330">
        <v>1.9093342363081101</v>
      </c>
      <c r="X2330" t="s">
        <v>52</v>
      </c>
      <c r="Y2330" t="s">
        <v>32</v>
      </c>
      <c r="Z2330">
        <v>880.52005237747699</v>
      </c>
    </row>
    <row r="2331" spans="1:26" x14ac:dyDescent="0.3">
      <c r="A2331" t="s">
        <v>42</v>
      </c>
      <c r="B2331" t="s">
        <v>2387</v>
      </c>
      <c r="C2331">
        <v>99.0268592738867</v>
      </c>
      <c r="D2331">
        <v>95</v>
      </c>
      <c r="E2331">
        <v>914</v>
      </c>
      <c r="F2331">
        <v>6648.5788658443498</v>
      </c>
      <c r="G2331" t="s">
        <v>48</v>
      </c>
      <c r="H2331">
        <v>1</v>
      </c>
      <c r="I2331">
        <v>29</v>
      </c>
      <c r="J2331">
        <v>67</v>
      </c>
      <c r="K2331">
        <v>2</v>
      </c>
      <c r="L2331" t="s">
        <v>27</v>
      </c>
      <c r="M2331">
        <v>4.1296125784459496</v>
      </c>
      <c r="N2331" t="s">
        <v>37</v>
      </c>
      <c r="O2331" t="s">
        <v>67</v>
      </c>
      <c r="P2331">
        <f>VLOOKUP(O2331, Coordinates!$A$2:$C$6, 2, FALSE)</f>
        <v>40.712800000000001</v>
      </c>
      <c r="Q2331">
        <f>VLOOKUP(O2331, Coordinates!$A$2:$C$6, 3, FALSE)</f>
        <v>-74.006</v>
      </c>
      <c r="R2331">
        <v>6</v>
      </c>
      <c r="S2331">
        <v>297</v>
      </c>
      <c r="T2331">
        <v>7</v>
      </c>
      <c r="U2331">
        <v>54.169568769009302</v>
      </c>
      <c r="V2331" t="s">
        <v>30</v>
      </c>
      <c r="W2331">
        <v>1.24877936136499</v>
      </c>
      <c r="X2331" t="s">
        <v>40</v>
      </c>
      <c r="Y2331" t="s">
        <v>60</v>
      </c>
      <c r="Z2331">
        <v>982.92720406822696</v>
      </c>
    </row>
    <row r="2332" spans="1:26" x14ac:dyDescent="0.3">
      <c r="A2332" t="s">
        <v>24</v>
      </c>
      <c r="B2332" t="s">
        <v>2388</v>
      </c>
      <c r="C2332">
        <v>25.143258689238699</v>
      </c>
      <c r="D2332">
        <v>98</v>
      </c>
      <c r="E2332">
        <v>873</v>
      </c>
      <c r="F2332">
        <v>19755.058352134802</v>
      </c>
      <c r="G2332" t="s">
        <v>35</v>
      </c>
      <c r="H2332">
        <v>100</v>
      </c>
      <c r="I2332">
        <v>4</v>
      </c>
      <c r="J2332">
        <v>87</v>
      </c>
      <c r="K2332">
        <v>8</v>
      </c>
      <c r="L2332" t="s">
        <v>27</v>
      </c>
      <c r="M2332">
        <v>5.4813033726377798</v>
      </c>
      <c r="N2332" t="s">
        <v>28</v>
      </c>
      <c r="O2332" t="s">
        <v>67</v>
      </c>
      <c r="P2332">
        <f>VLOOKUP(O2332, Coordinates!$A$2:$C$6, 2, FALSE)</f>
        <v>40.712800000000001</v>
      </c>
      <c r="Q2332">
        <f>VLOOKUP(O2332, Coordinates!$A$2:$C$6, 3, FALSE)</f>
        <v>-74.006</v>
      </c>
      <c r="R2332">
        <v>10</v>
      </c>
      <c r="S2332">
        <v>606</v>
      </c>
      <c r="T2332">
        <v>24</v>
      </c>
      <c r="U2332">
        <v>81.901408041409994</v>
      </c>
      <c r="V2332" t="s">
        <v>55</v>
      </c>
      <c r="W2332">
        <v>4.9276212689117704</v>
      </c>
      <c r="X2332" t="s">
        <v>52</v>
      </c>
      <c r="Y2332" t="s">
        <v>32</v>
      </c>
      <c r="Z2332">
        <v>575.53233944046497</v>
      </c>
    </row>
    <row r="2333" spans="1:26" x14ac:dyDescent="0.3">
      <c r="A2333" t="s">
        <v>42</v>
      </c>
      <c r="B2333" t="s">
        <v>2389</v>
      </c>
      <c r="C2333">
        <v>47.230184039765099</v>
      </c>
      <c r="D2333">
        <v>6</v>
      </c>
      <c r="E2333">
        <v>63</v>
      </c>
      <c r="F2333">
        <v>3218.3011861906198</v>
      </c>
      <c r="G2333" t="s">
        <v>35</v>
      </c>
      <c r="H2333">
        <v>90</v>
      </c>
      <c r="I2333">
        <v>12</v>
      </c>
      <c r="J2333">
        <v>83</v>
      </c>
      <c r="K2333">
        <v>2</v>
      </c>
      <c r="L2333" t="s">
        <v>27</v>
      </c>
      <c r="M2333">
        <v>1.30311799735749</v>
      </c>
      <c r="N2333" t="s">
        <v>57</v>
      </c>
      <c r="O2333" t="s">
        <v>29</v>
      </c>
      <c r="P2333">
        <f>VLOOKUP(O2333, Coordinates!$A$2:$C$6, 2, FALSE)</f>
        <v>29.760400000000001</v>
      </c>
      <c r="Q2333">
        <f>VLOOKUP(O2333, Coordinates!$A$2:$C$6, 3, FALSE)</f>
        <v>-95.369799999999998</v>
      </c>
      <c r="R2333">
        <v>16</v>
      </c>
      <c r="S2333">
        <v>588</v>
      </c>
      <c r="T2333">
        <v>11</v>
      </c>
      <c r="U2333">
        <v>21.814858141639501</v>
      </c>
      <c r="V2333" t="s">
        <v>55</v>
      </c>
      <c r="W2333">
        <v>2.1407057133613701</v>
      </c>
      <c r="X2333" t="s">
        <v>31</v>
      </c>
      <c r="Y2333" t="s">
        <v>32</v>
      </c>
      <c r="Z2333">
        <v>930.21777421847901</v>
      </c>
    </row>
    <row r="2334" spans="1:26" x14ac:dyDescent="0.3">
      <c r="A2334" t="s">
        <v>24</v>
      </c>
      <c r="B2334" t="s">
        <v>2390</v>
      </c>
      <c r="C2334">
        <v>38.691521554771597</v>
      </c>
      <c r="D2334">
        <v>86</v>
      </c>
      <c r="E2334">
        <v>896</v>
      </c>
      <c r="F2334">
        <v>31200.842981767801</v>
      </c>
      <c r="G2334" t="s">
        <v>35</v>
      </c>
      <c r="H2334">
        <v>40</v>
      </c>
      <c r="I2334">
        <v>17</v>
      </c>
      <c r="J2334">
        <v>42</v>
      </c>
      <c r="K2334">
        <v>10</v>
      </c>
      <c r="L2334" t="s">
        <v>27</v>
      </c>
      <c r="M2334">
        <v>11.4964421162343</v>
      </c>
      <c r="N2334" t="s">
        <v>57</v>
      </c>
      <c r="O2334" t="s">
        <v>38</v>
      </c>
      <c r="P2334">
        <f>VLOOKUP(O2334, Coordinates!$A$2:$C$6, 2, FALSE)</f>
        <v>25.761700000000001</v>
      </c>
      <c r="Q2334">
        <f>VLOOKUP(O2334, Coordinates!$A$2:$C$6, 3, FALSE)</f>
        <v>-80.191800000000001</v>
      </c>
      <c r="R2334">
        <v>22</v>
      </c>
      <c r="S2334">
        <v>843</v>
      </c>
      <c r="T2334">
        <v>5</v>
      </c>
      <c r="U2334">
        <v>82.167395240000005</v>
      </c>
      <c r="V2334" t="s">
        <v>30</v>
      </c>
      <c r="W2334">
        <v>2.0714818179694801</v>
      </c>
      <c r="X2334" t="s">
        <v>40</v>
      </c>
      <c r="Y2334" t="s">
        <v>41</v>
      </c>
      <c r="Z2334">
        <v>534.20521202102998</v>
      </c>
    </row>
    <row r="2335" spans="1:26" x14ac:dyDescent="0.3">
      <c r="A2335" t="s">
        <v>49</v>
      </c>
      <c r="B2335" t="s">
        <v>2391</v>
      </c>
      <c r="C2335">
        <v>16.1416140410422</v>
      </c>
      <c r="D2335">
        <v>78</v>
      </c>
      <c r="E2335">
        <v>902</v>
      </c>
      <c r="F2335">
        <v>3119.2427530978898</v>
      </c>
      <c r="G2335" t="s">
        <v>35</v>
      </c>
      <c r="H2335">
        <v>74</v>
      </c>
      <c r="I2335">
        <v>1</v>
      </c>
      <c r="J2335">
        <v>71</v>
      </c>
      <c r="K2335">
        <v>1</v>
      </c>
      <c r="L2335" t="s">
        <v>27</v>
      </c>
      <c r="M2335">
        <v>14.3082568605336</v>
      </c>
      <c r="N2335" t="s">
        <v>51</v>
      </c>
      <c r="O2335" t="s">
        <v>58</v>
      </c>
      <c r="P2335">
        <f>VLOOKUP(O2335, Coordinates!$A$2:$C$6, 2, FALSE)</f>
        <v>34.052199999999999</v>
      </c>
      <c r="Q2335">
        <f>VLOOKUP(O2335, Coordinates!$A$2:$C$6, 3, FALSE)</f>
        <v>-118.2437</v>
      </c>
      <c r="R2335">
        <v>10</v>
      </c>
      <c r="S2335">
        <v>126</v>
      </c>
      <c r="T2335">
        <v>27</v>
      </c>
      <c r="U2335">
        <v>94.868388236887995</v>
      </c>
      <c r="V2335" t="s">
        <v>55</v>
      </c>
      <c r="W2335">
        <v>2.3155163224048798</v>
      </c>
      <c r="X2335" t="s">
        <v>40</v>
      </c>
      <c r="Y2335" t="s">
        <v>41</v>
      </c>
      <c r="Z2335">
        <v>139.963455315743</v>
      </c>
    </row>
    <row r="2336" spans="1:26" x14ac:dyDescent="0.3">
      <c r="A2336" t="s">
        <v>33</v>
      </c>
      <c r="B2336" t="s">
        <v>2392</v>
      </c>
      <c r="C2336">
        <v>21.060868951772999</v>
      </c>
      <c r="D2336">
        <v>67</v>
      </c>
      <c r="E2336">
        <v>357</v>
      </c>
      <c r="F2336">
        <v>2239.5547139999999</v>
      </c>
      <c r="G2336" t="s">
        <v>54</v>
      </c>
      <c r="H2336">
        <v>37</v>
      </c>
      <c r="I2336">
        <v>22</v>
      </c>
      <c r="J2336">
        <v>21</v>
      </c>
      <c r="K2336">
        <v>3</v>
      </c>
      <c r="L2336" t="s">
        <v>36</v>
      </c>
      <c r="M2336">
        <v>4.0697385643939201</v>
      </c>
      <c r="N2336" t="s">
        <v>51</v>
      </c>
      <c r="O2336" t="s">
        <v>38</v>
      </c>
      <c r="P2336">
        <f>VLOOKUP(O2336, Coordinates!$A$2:$C$6, 2, FALSE)</f>
        <v>25.761700000000001</v>
      </c>
      <c r="Q2336">
        <f>VLOOKUP(O2336, Coordinates!$A$2:$C$6, 3, FALSE)</f>
        <v>-80.191800000000001</v>
      </c>
      <c r="R2336">
        <v>4</v>
      </c>
      <c r="S2336">
        <v>217</v>
      </c>
      <c r="T2336">
        <v>9</v>
      </c>
      <c r="U2336">
        <v>39.869498889420903</v>
      </c>
      <c r="V2336" t="s">
        <v>39</v>
      </c>
      <c r="W2336">
        <v>0.580768895330806</v>
      </c>
      <c r="X2336" t="s">
        <v>46</v>
      </c>
      <c r="Y2336" t="s">
        <v>60</v>
      </c>
      <c r="Z2336">
        <v>231.575380875218</v>
      </c>
    </row>
    <row r="2337" spans="1:26" x14ac:dyDescent="0.3">
      <c r="A2337" t="s">
        <v>61</v>
      </c>
      <c r="B2337" t="s">
        <v>2393</v>
      </c>
      <c r="C2337">
        <v>38.4214756089834</v>
      </c>
      <c r="D2337">
        <v>12</v>
      </c>
      <c r="E2337">
        <v>939</v>
      </c>
      <c r="F2337">
        <v>6509.4959865083101</v>
      </c>
      <c r="G2337" t="s">
        <v>48</v>
      </c>
      <c r="H2337">
        <v>79</v>
      </c>
      <c r="I2337">
        <v>18</v>
      </c>
      <c r="J2337">
        <v>58</v>
      </c>
      <c r="K2337">
        <v>3</v>
      </c>
      <c r="L2337" t="s">
        <v>36</v>
      </c>
      <c r="M2337">
        <v>5.7848201386696498</v>
      </c>
      <c r="N2337" t="s">
        <v>45</v>
      </c>
      <c r="O2337" t="s">
        <v>38</v>
      </c>
      <c r="P2337">
        <f>VLOOKUP(O2337, Coordinates!$A$2:$C$6, 2, FALSE)</f>
        <v>25.761700000000001</v>
      </c>
      <c r="Q2337">
        <f>VLOOKUP(O2337, Coordinates!$A$2:$C$6, 3, FALSE)</f>
        <v>-80.191800000000001</v>
      </c>
      <c r="R2337">
        <v>27</v>
      </c>
      <c r="S2337">
        <v>153</v>
      </c>
      <c r="T2337">
        <v>6</v>
      </c>
      <c r="U2337">
        <v>42.970279817076801</v>
      </c>
      <c r="V2337" t="s">
        <v>39</v>
      </c>
      <c r="W2337">
        <v>4.3305549720796002</v>
      </c>
      <c r="X2337" t="s">
        <v>31</v>
      </c>
      <c r="Y2337" t="s">
        <v>41</v>
      </c>
      <c r="Z2337">
        <v>400.58746580591901</v>
      </c>
    </row>
    <row r="2338" spans="1:26" x14ac:dyDescent="0.3">
      <c r="A2338" t="s">
        <v>72</v>
      </c>
      <c r="B2338" t="s">
        <v>2394</v>
      </c>
      <c r="C2338">
        <v>26.5829862998648</v>
      </c>
      <c r="D2338">
        <v>100</v>
      </c>
      <c r="E2338">
        <v>449</v>
      </c>
      <c r="F2338">
        <v>10742.18476</v>
      </c>
      <c r="G2338" t="s">
        <v>35</v>
      </c>
      <c r="H2338">
        <v>82</v>
      </c>
      <c r="I2338">
        <v>22</v>
      </c>
      <c r="J2338">
        <v>97</v>
      </c>
      <c r="K2338">
        <v>6</v>
      </c>
      <c r="L2338" t="s">
        <v>36</v>
      </c>
      <c r="M2338">
        <v>3.8900759262180902</v>
      </c>
      <c r="N2338" t="s">
        <v>37</v>
      </c>
      <c r="O2338" t="s">
        <v>29</v>
      </c>
      <c r="P2338">
        <f>VLOOKUP(O2338, Coordinates!$A$2:$C$6, 2, FALSE)</f>
        <v>29.760400000000001</v>
      </c>
      <c r="Q2338">
        <f>VLOOKUP(O2338, Coordinates!$A$2:$C$6, 3, FALSE)</f>
        <v>-95.369799999999998</v>
      </c>
      <c r="R2338">
        <v>1</v>
      </c>
      <c r="S2338">
        <v>603</v>
      </c>
      <c r="T2338">
        <v>7</v>
      </c>
      <c r="U2338">
        <v>76.732526113821393</v>
      </c>
      <c r="V2338" t="s">
        <v>30</v>
      </c>
      <c r="W2338">
        <v>1.6820212955278</v>
      </c>
      <c r="X2338" t="s">
        <v>46</v>
      </c>
      <c r="Y2338" t="s">
        <v>32</v>
      </c>
      <c r="Z2338">
        <v>752.91189196694802</v>
      </c>
    </row>
    <row r="2339" spans="1:26" x14ac:dyDescent="0.3">
      <c r="A2339" t="s">
        <v>61</v>
      </c>
      <c r="B2339" t="s">
        <v>2395</v>
      </c>
      <c r="C2339">
        <v>53.172830285725297</v>
      </c>
      <c r="D2339">
        <v>12</v>
      </c>
      <c r="E2339">
        <v>239</v>
      </c>
      <c r="F2339">
        <v>5757.6685378295697</v>
      </c>
      <c r="G2339" t="s">
        <v>48</v>
      </c>
      <c r="H2339">
        <v>42</v>
      </c>
      <c r="I2339">
        <v>16</v>
      </c>
      <c r="J2339">
        <v>87</v>
      </c>
      <c r="K2339">
        <v>3</v>
      </c>
      <c r="L2339" t="s">
        <v>44</v>
      </c>
      <c r="M2339">
        <v>14.020681290000001</v>
      </c>
      <c r="N2339" t="s">
        <v>45</v>
      </c>
      <c r="O2339" t="s">
        <v>38</v>
      </c>
      <c r="P2339">
        <f>VLOOKUP(O2339, Coordinates!$A$2:$C$6, 2, FALSE)</f>
        <v>25.761700000000001</v>
      </c>
      <c r="Q2339">
        <f>VLOOKUP(O2339, Coordinates!$A$2:$C$6, 3, FALSE)</f>
        <v>-80.191800000000001</v>
      </c>
      <c r="R2339">
        <v>30</v>
      </c>
      <c r="S2339">
        <v>251</v>
      </c>
      <c r="T2339">
        <v>28</v>
      </c>
      <c r="U2339">
        <v>67.734350161723995</v>
      </c>
      <c r="V2339" t="s">
        <v>55</v>
      </c>
      <c r="W2339">
        <v>4.74755551466958</v>
      </c>
      <c r="X2339" t="s">
        <v>31</v>
      </c>
      <c r="Y2339" t="s">
        <v>32</v>
      </c>
      <c r="Z2339">
        <v>173.23435216291799</v>
      </c>
    </row>
    <row r="2340" spans="1:26" x14ac:dyDescent="0.3">
      <c r="A2340" t="s">
        <v>49</v>
      </c>
      <c r="B2340" t="s">
        <v>2396</v>
      </c>
      <c r="C2340">
        <v>65.600678082531303</v>
      </c>
      <c r="D2340">
        <v>66</v>
      </c>
      <c r="E2340">
        <v>111</v>
      </c>
      <c r="F2340">
        <v>6311.0478011002297</v>
      </c>
      <c r="G2340" t="s">
        <v>54</v>
      </c>
      <c r="H2340">
        <v>52</v>
      </c>
      <c r="I2340">
        <v>1</v>
      </c>
      <c r="J2340">
        <v>14</v>
      </c>
      <c r="K2340">
        <v>7</v>
      </c>
      <c r="L2340" t="s">
        <v>27</v>
      </c>
      <c r="M2340">
        <v>1.1309835507039701</v>
      </c>
      <c r="N2340" t="s">
        <v>51</v>
      </c>
      <c r="O2340" t="s">
        <v>67</v>
      </c>
      <c r="P2340">
        <f>VLOOKUP(O2340, Coordinates!$A$2:$C$6, 2, FALSE)</f>
        <v>40.712800000000001</v>
      </c>
      <c r="Q2340">
        <f>VLOOKUP(O2340, Coordinates!$A$2:$C$6, 3, FALSE)</f>
        <v>-74.006</v>
      </c>
      <c r="R2340">
        <v>27</v>
      </c>
      <c r="S2340">
        <v>836</v>
      </c>
      <c r="T2340">
        <v>23</v>
      </c>
      <c r="U2340">
        <v>59.720565307138301</v>
      </c>
      <c r="V2340" t="s">
        <v>30</v>
      </c>
      <c r="W2340">
        <v>4.2831058342064097</v>
      </c>
      <c r="X2340" t="s">
        <v>52</v>
      </c>
      <c r="Y2340" t="s">
        <v>32</v>
      </c>
      <c r="Z2340">
        <v>425.39677695379601</v>
      </c>
    </row>
    <row r="2341" spans="1:26" x14ac:dyDescent="0.3">
      <c r="A2341" t="s">
        <v>72</v>
      </c>
      <c r="B2341" t="s">
        <v>2397</v>
      </c>
      <c r="C2341">
        <v>22.1297827792589</v>
      </c>
      <c r="D2341">
        <v>2</v>
      </c>
      <c r="E2341">
        <v>195</v>
      </c>
      <c r="F2341">
        <v>3883.7768777599299</v>
      </c>
      <c r="G2341" t="s">
        <v>54</v>
      </c>
      <c r="H2341">
        <v>14</v>
      </c>
      <c r="I2341">
        <v>27</v>
      </c>
      <c r="J2341">
        <v>60</v>
      </c>
      <c r="K2341">
        <v>8</v>
      </c>
      <c r="L2341" t="s">
        <v>27</v>
      </c>
      <c r="M2341">
        <v>9.1740719380744906</v>
      </c>
      <c r="N2341" t="s">
        <v>28</v>
      </c>
      <c r="O2341" t="s">
        <v>38</v>
      </c>
      <c r="P2341">
        <f>VLOOKUP(O2341, Coordinates!$A$2:$C$6, 2, FALSE)</f>
        <v>25.761700000000001</v>
      </c>
      <c r="Q2341">
        <f>VLOOKUP(O2341, Coordinates!$A$2:$C$6, 3, FALSE)</f>
        <v>-80.191800000000001</v>
      </c>
      <c r="R2341">
        <v>13</v>
      </c>
      <c r="S2341">
        <v>578</v>
      </c>
      <c r="T2341">
        <v>25</v>
      </c>
      <c r="U2341">
        <v>80.117783345699706</v>
      </c>
      <c r="V2341" t="s">
        <v>30</v>
      </c>
      <c r="W2341">
        <v>0.96392697279553397</v>
      </c>
      <c r="X2341" t="s">
        <v>46</v>
      </c>
      <c r="Y2341" t="s">
        <v>32</v>
      </c>
      <c r="Z2341">
        <v>984.12494219999996</v>
      </c>
    </row>
    <row r="2342" spans="1:26" x14ac:dyDescent="0.3">
      <c r="A2342" t="s">
        <v>42</v>
      </c>
      <c r="B2342" t="s">
        <v>2398</v>
      </c>
      <c r="C2342">
        <v>77.960516354754901</v>
      </c>
      <c r="D2342">
        <v>15</v>
      </c>
      <c r="E2342">
        <v>996</v>
      </c>
      <c r="F2342">
        <v>1315.58454116846</v>
      </c>
      <c r="G2342" t="s">
        <v>26</v>
      </c>
      <c r="H2342">
        <v>89</v>
      </c>
      <c r="I2342">
        <v>10</v>
      </c>
      <c r="J2342">
        <v>78</v>
      </c>
      <c r="K2342">
        <v>3</v>
      </c>
      <c r="L2342" t="s">
        <v>44</v>
      </c>
      <c r="M2342">
        <v>13.190695455709999</v>
      </c>
      <c r="N2342" t="s">
        <v>51</v>
      </c>
      <c r="O2342" t="s">
        <v>29</v>
      </c>
      <c r="P2342">
        <f>VLOOKUP(O2342, Coordinates!$A$2:$C$6, 2, FALSE)</f>
        <v>29.760400000000001</v>
      </c>
      <c r="Q2342">
        <f>VLOOKUP(O2342, Coordinates!$A$2:$C$6, 3, FALSE)</f>
        <v>-95.369799999999998</v>
      </c>
      <c r="R2342">
        <v>29</v>
      </c>
      <c r="S2342">
        <v>261</v>
      </c>
      <c r="T2342">
        <v>23</v>
      </c>
      <c r="U2342">
        <v>77.699082427418006</v>
      </c>
      <c r="V2342" t="s">
        <v>55</v>
      </c>
      <c r="W2342">
        <v>3.0386966285981099</v>
      </c>
      <c r="X2342" t="s">
        <v>52</v>
      </c>
      <c r="Y2342" t="s">
        <v>41</v>
      </c>
      <c r="Z2342">
        <v>807.11233864891801</v>
      </c>
    </row>
    <row r="2343" spans="1:26" x14ac:dyDescent="0.3">
      <c r="A2343" t="s">
        <v>82</v>
      </c>
      <c r="B2343" t="s">
        <v>2399</v>
      </c>
      <c r="C2343">
        <v>46.264342323415597</v>
      </c>
      <c r="D2343">
        <v>23</v>
      </c>
      <c r="E2343">
        <v>534</v>
      </c>
      <c r="F2343">
        <v>1335.2849255277599</v>
      </c>
      <c r="G2343" t="s">
        <v>26</v>
      </c>
      <c r="H2343">
        <v>55</v>
      </c>
      <c r="I2343">
        <v>19</v>
      </c>
      <c r="J2343">
        <v>41</v>
      </c>
      <c r="K2343">
        <v>9</v>
      </c>
      <c r="L2343" t="s">
        <v>27</v>
      </c>
      <c r="M2343">
        <v>3.60830043761485</v>
      </c>
      <c r="N2343" t="s">
        <v>37</v>
      </c>
      <c r="O2343" t="s">
        <v>29</v>
      </c>
      <c r="P2343">
        <f>VLOOKUP(O2343, Coordinates!$A$2:$C$6, 2, FALSE)</f>
        <v>29.760400000000001</v>
      </c>
      <c r="Q2343">
        <f>VLOOKUP(O2343, Coordinates!$A$2:$C$6, 3, FALSE)</f>
        <v>-95.369799999999998</v>
      </c>
      <c r="R2343">
        <v>25</v>
      </c>
      <c r="S2343">
        <v>761</v>
      </c>
      <c r="T2343">
        <v>14</v>
      </c>
      <c r="U2343">
        <v>84.635604617052195</v>
      </c>
      <c r="V2343" t="s">
        <v>30</v>
      </c>
      <c r="W2343">
        <v>0.18818544875963999</v>
      </c>
      <c r="X2343" t="s">
        <v>52</v>
      </c>
      <c r="Y2343" t="s">
        <v>60</v>
      </c>
      <c r="Z2343">
        <v>614.79615115095896</v>
      </c>
    </row>
    <row r="2344" spans="1:26" x14ac:dyDescent="0.3">
      <c r="A2344" t="s">
        <v>49</v>
      </c>
      <c r="B2344" t="s">
        <v>2400</v>
      </c>
      <c r="C2344">
        <v>47.411982570672102</v>
      </c>
      <c r="D2344">
        <v>29</v>
      </c>
      <c r="E2344">
        <v>917</v>
      </c>
      <c r="F2344">
        <v>1237.1259897452501</v>
      </c>
      <c r="G2344" t="s">
        <v>48</v>
      </c>
      <c r="H2344">
        <v>55</v>
      </c>
      <c r="I2344">
        <v>16</v>
      </c>
      <c r="J2344">
        <v>58</v>
      </c>
      <c r="K2344">
        <v>1</v>
      </c>
      <c r="L2344" t="s">
        <v>36</v>
      </c>
      <c r="M2344">
        <v>9.2599340790000007</v>
      </c>
      <c r="N2344" t="s">
        <v>28</v>
      </c>
      <c r="O2344" t="s">
        <v>29</v>
      </c>
      <c r="P2344">
        <f>VLOOKUP(O2344, Coordinates!$A$2:$C$6, 2, FALSE)</f>
        <v>29.760400000000001</v>
      </c>
      <c r="Q2344">
        <f>VLOOKUP(O2344, Coordinates!$A$2:$C$6, 3, FALSE)</f>
        <v>-95.369799999999998</v>
      </c>
      <c r="R2344">
        <v>12</v>
      </c>
      <c r="S2344">
        <v>315</v>
      </c>
      <c r="T2344">
        <v>19</v>
      </c>
      <c r="U2344">
        <v>91.640764372667803</v>
      </c>
      <c r="V2344" t="s">
        <v>55</v>
      </c>
      <c r="W2344">
        <v>1.5839625105001001</v>
      </c>
      <c r="X2344" t="s">
        <v>46</v>
      </c>
      <c r="Y2344" t="s">
        <v>41</v>
      </c>
      <c r="Z2344">
        <v>155.59322788105999</v>
      </c>
    </row>
    <row r="2345" spans="1:26" x14ac:dyDescent="0.3">
      <c r="A2345" t="s">
        <v>49</v>
      </c>
      <c r="B2345" t="s">
        <v>2401</v>
      </c>
      <c r="C2345">
        <v>63.783347318895402</v>
      </c>
      <c r="D2345">
        <v>81</v>
      </c>
      <c r="E2345">
        <v>742</v>
      </c>
      <c r="F2345">
        <v>7652.1220042289096</v>
      </c>
      <c r="G2345" t="s">
        <v>26</v>
      </c>
      <c r="H2345">
        <v>30</v>
      </c>
      <c r="I2345">
        <v>14</v>
      </c>
      <c r="J2345">
        <v>69</v>
      </c>
      <c r="K2345">
        <v>3</v>
      </c>
      <c r="L2345" t="s">
        <v>36</v>
      </c>
      <c r="M2345">
        <v>1.7090734681083799</v>
      </c>
      <c r="N2345" t="s">
        <v>45</v>
      </c>
      <c r="O2345" t="s">
        <v>38</v>
      </c>
      <c r="P2345">
        <f>VLOOKUP(O2345, Coordinates!$A$2:$C$6, 2, FALSE)</f>
        <v>25.761700000000001</v>
      </c>
      <c r="Q2345">
        <f>VLOOKUP(O2345, Coordinates!$A$2:$C$6, 3, FALSE)</f>
        <v>-80.191800000000001</v>
      </c>
      <c r="R2345">
        <v>25</v>
      </c>
      <c r="S2345">
        <v>930</v>
      </c>
      <c r="T2345">
        <v>22</v>
      </c>
      <c r="U2345">
        <v>59.116067755357697</v>
      </c>
      <c r="V2345" t="s">
        <v>55</v>
      </c>
      <c r="W2345">
        <v>4.1279348668945204</v>
      </c>
      <c r="X2345" t="s">
        <v>46</v>
      </c>
      <c r="Y2345" t="s">
        <v>32</v>
      </c>
      <c r="Z2345">
        <v>113.15702140005</v>
      </c>
    </row>
    <row r="2346" spans="1:26" x14ac:dyDescent="0.3">
      <c r="A2346" t="s">
        <v>33</v>
      </c>
      <c r="B2346" t="s">
        <v>2402</v>
      </c>
      <c r="C2346">
        <v>68.209694799795898</v>
      </c>
      <c r="D2346">
        <v>96</v>
      </c>
      <c r="E2346">
        <v>683</v>
      </c>
      <c r="F2346">
        <v>3862.0873433286802</v>
      </c>
      <c r="G2346" t="s">
        <v>35</v>
      </c>
      <c r="H2346">
        <v>82</v>
      </c>
      <c r="I2346">
        <v>25</v>
      </c>
      <c r="J2346">
        <v>55</v>
      </c>
      <c r="K2346">
        <v>3</v>
      </c>
      <c r="L2346" t="s">
        <v>44</v>
      </c>
      <c r="M2346">
        <v>12.404191869949299</v>
      </c>
      <c r="N2346" t="s">
        <v>45</v>
      </c>
      <c r="O2346" t="s">
        <v>38</v>
      </c>
      <c r="P2346">
        <f>VLOOKUP(O2346, Coordinates!$A$2:$C$6, 2, FALSE)</f>
        <v>25.761700000000001</v>
      </c>
      <c r="Q2346">
        <f>VLOOKUP(O2346, Coordinates!$A$2:$C$6, 3, FALSE)</f>
        <v>-80.191800000000001</v>
      </c>
      <c r="R2346">
        <v>28</v>
      </c>
      <c r="S2346">
        <v>519</v>
      </c>
      <c r="T2346">
        <v>22</v>
      </c>
      <c r="U2346">
        <v>50.732203141158102</v>
      </c>
      <c r="V2346" t="s">
        <v>39</v>
      </c>
      <c r="W2346">
        <v>3.7151507536972299</v>
      </c>
      <c r="X2346" t="s">
        <v>52</v>
      </c>
      <c r="Y2346" t="s">
        <v>60</v>
      </c>
      <c r="Z2346">
        <v>194.72341226714201</v>
      </c>
    </row>
    <row r="2347" spans="1:26" x14ac:dyDescent="0.3">
      <c r="A2347" t="s">
        <v>61</v>
      </c>
      <c r="B2347" t="s">
        <v>2403</v>
      </c>
      <c r="C2347">
        <v>52.567537954483697</v>
      </c>
      <c r="D2347">
        <v>7</v>
      </c>
      <c r="E2347">
        <v>587</v>
      </c>
      <c r="F2347">
        <v>8166.7016737089698</v>
      </c>
      <c r="G2347" t="s">
        <v>48</v>
      </c>
      <c r="H2347">
        <v>56</v>
      </c>
      <c r="I2347">
        <v>2</v>
      </c>
      <c r="J2347">
        <v>77</v>
      </c>
      <c r="K2347">
        <v>7</v>
      </c>
      <c r="L2347" t="s">
        <v>36</v>
      </c>
      <c r="M2347">
        <v>4.8420077188211303</v>
      </c>
      <c r="N2347" t="s">
        <v>51</v>
      </c>
      <c r="O2347" t="s">
        <v>67</v>
      </c>
      <c r="P2347">
        <f>VLOOKUP(O2347, Coordinates!$A$2:$C$6, 2, FALSE)</f>
        <v>40.712800000000001</v>
      </c>
      <c r="Q2347">
        <f>VLOOKUP(O2347, Coordinates!$A$2:$C$6, 3, FALSE)</f>
        <v>-74.006</v>
      </c>
      <c r="R2347">
        <v>10</v>
      </c>
      <c r="S2347">
        <v>447</v>
      </c>
      <c r="T2347">
        <v>11</v>
      </c>
      <c r="U2347">
        <v>88.852343907886905</v>
      </c>
      <c r="V2347" t="s">
        <v>55</v>
      </c>
      <c r="W2347">
        <v>2.7198396731174999</v>
      </c>
      <c r="X2347" t="s">
        <v>52</v>
      </c>
      <c r="Y2347" t="s">
        <v>60</v>
      </c>
      <c r="Z2347">
        <v>394.41704425603399</v>
      </c>
    </row>
    <row r="2348" spans="1:26" x14ac:dyDescent="0.3">
      <c r="A2348" t="s">
        <v>49</v>
      </c>
      <c r="B2348" t="s">
        <v>2404</v>
      </c>
      <c r="C2348">
        <v>66.261816167423007</v>
      </c>
      <c r="D2348">
        <v>94</v>
      </c>
      <c r="E2348">
        <v>878</v>
      </c>
      <c r="F2348">
        <v>4885.5954145856404</v>
      </c>
      <c r="G2348" t="s">
        <v>54</v>
      </c>
      <c r="H2348">
        <v>50</v>
      </c>
      <c r="I2348">
        <v>24</v>
      </c>
      <c r="J2348">
        <v>50</v>
      </c>
      <c r="K2348">
        <v>5</v>
      </c>
      <c r="L2348" t="s">
        <v>44</v>
      </c>
      <c r="M2348">
        <v>14.8425478407336</v>
      </c>
      <c r="N2348" t="s">
        <v>51</v>
      </c>
      <c r="O2348" t="s">
        <v>67</v>
      </c>
      <c r="P2348">
        <f>VLOOKUP(O2348, Coordinates!$A$2:$C$6, 2, FALSE)</f>
        <v>40.712800000000001</v>
      </c>
      <c r="Q2348">
        <f>VLOOKUP(O2348, Coordinates!$A$2:$C$6, 3, FALSE)</f>
        <v>-74.006</v>
      </c>
      <c r="R2348">
        <v>6</v>
      </c>
      <c r="S2348">
        <v>439</v>
      </c>
      <c r="T2348">
        <v>28</v>
      </c>
      <c r="U2348">
        <v>45.8827137161325</v>
      </c>
      <c r="V2348" t="s">
        <v>30</v>
      </c>
      <c r="W2348">
        <v>1.5516281053604</v>
      </c>
      <c r="X2348" t="s">
        <v>31</v>
      </c>
      <c r="Y2348" t="s">
        <v>32</v>
      </c>
      <c r="Z2348">
        <v>645.75401136238702</v>
      </c>
    </row>
    <row r="2349" spans="1:26" x14ac:dyDescent="0.3">
      <c r="A2349" t="s">
        <v>49</v>
      </c>
      <c r="B2349" t="s">
        <v>2405</v>
      </c>
      <c r="C2349">
        <v>7.2355869693393799</v>
      </c>
      <c r="D2349">
        <v>28</v>
      </c>
      <c r="E2349">
        <v>570</v>
      </c>
      <c r="F2349">
        <v>5076.98290746967</v>
      </c>
      <c r="G2349" t="s">
        <v>54</v>
      </c>
      <c r="H2349">
        <v>23</v>
      </c>
      <c r="I2349">
        <v>6</v>
      </c>
      <c r="J2349">
        <v>90</v>
      </c>
      <c r="K2349">
        <v>4</v>
      </c>
      <c r="L2349" t="s">
        <v>36</v>
      </c>
      <c r="M2349">
        <v>13.908134686856799</v>
      </c>
      <c r="N2349" t="s">
        <v>45</v>
      </c>
      <c r="O2349" t="s">
        <v>38</v>
      </c>
      <c r="P2349">
        <f>VLOOKUP(O2349, Coordinates!$A$2:$C$6, 2, FALSE)</f>
        <v>25.761700000000001</v>
      </c>
      <c r="Q2349">
        <f>VLOOKUP(O2349, Coordinates!$A$2:$C$6, 3, FALSE)</f>
        <v>-80.191800000000001</v>
      </c>
      <c r="R2349">
        <v>27</v>
      </c>
      <c r="S2349">
        <v>928</v>
      </c>
      <c r="T2349">
        <v>7</v>
      </c>
      <c r="U2349">
        <v>68.989881271110505</v>
      </c>
      <c r="V2349" t="s">
        <v>39</v>
      </c>
      <c r="W2349">
        <v>3.9261351103429201</v>
      </c>
      <c r="X2349" t="s">
        <v>52</v>
      </c>
      <c r="Y2349" t="s">
        <v>32</v>
      </c>
      <c r="Z2349">
        <v>277.73214902798401</v>
      </c>
    </row>
    <row r="2350" spans="1:26" x14ac:dyDescent="0.3">
      <c r="A2350" t="s">
        <v>42</v>
      </c>
      <c r="B2350" t="s">
        <v>2406</v>
      </c>
      <c r="C2350">
        <v>45.814172070200101</v>
      </c>
      <c r="D2350">
        <v>14</v>
      </c>
      <c r="E2350">
        <v>249</v>
      </c>
      <c r="F2350">
        <v>5615.9434225861596</v>
      </c>
      <c r="G2350" t="s">
        <v>35</v>
      </c>
      <c r="H2350">
        <v>57</v>
      </c>
      <c r="I2350">
        <v>28</v>
      </c>
      <c r="J2350">
        <v>76</v>
      </c>
      <c r="K2350">
        <v>2</v>
      </c>
      <c r="L2350" t="s">
        <v>27</v>
      </c>
      <c r="M2350">
        <v>11.255223579057899</v>
      </c>
      <c r="N2350" t="s">
        <v>45</v>
      </c>
      <c r="O2350" t="s">
        <v>38</v>
      </c>
      <c r="P2350">
        <f>VLOOKUP(O2350, Coordinates!$A$2:$C$6, 2, FALSE)</f>
        <v>25.761700000000001</v>
      </c>
      <c r="Q2350">
        <f>VLOOKUP(O2350, Coordinates!$A$2:$C$6, 3, FALSE)</f>
        <v>-80.191800000000001</v>
      </c>
      <c r="R2350">
        <v>30</v>
      </c>
      <c r="S2350">
        <v>949</v>
      </c>
      <c r="T2350">
        <v>6</v>
      </c>
      <c r="U2350">
        <v>65.382603076083299</v>
      </c>
      <c r="V2350" t="s">
        <v>55</v>
      </c>
      <c r="W2350">
        <v>4.2378614494639901</v>
      </c>
      <c r="X2350" t="s">
        <v>40</v>
      </c>
      <c r="Y2350" t="s">
        <v>41</v>
      </c>
      <c r="Z2350">
        <v>146.03596683479401</v>
      </c>
    </row>
    <row r="2351" spans="1:26" x14ac:dyDescent="0.3">
      <c r="A2351" t="s">
        <v>42</v>
      </c>
      <c r="B2351" t="s">
        <v>2407</v>
      </c>
      <c r="C2351">
        <v>31.4991172269802</v>
      </c>
      <c r="D2351">
        <v>44</v>
      </c>
      <c r="E2351">
        <v>843</v>
      </c>
      <c r="G2351" t="s">
        <v>26</v>
      </c>
      <c r="H2351">
        <v>6</v>
      </c>
      <c r="I2351">
        <v>27</v>
      </c>
      <c r="J2351">
        <v>22</v>
      </c>
      <c r="K2351">
        <v>7</v>
      </c>
      <c r="L2351" t="s">
        <v>36</v>
      </c>
      <c r="M2351">
        <v>7.9557969792008798</v>
      </c>
      <c r="N2351" t="s">
        <v>57</v>
      </c>
      <c r="O2351" t="s">
        <v>67</v>
      </c>
      <c r="P2351">
        <f>VLOOKUP(O2351, Coordinates!$A$2:$C$6, 2, FALSE)</f>
        <v>40.712800000000001</v>
      </c>
      <c r="Q2351">
        <f>VLOOKUP(O2351, Coordinates!$A$2:$C$6, 3, FALSE)</f>
        <v>-74.006</v>
      </c>
      <c r="R2351">
        <v>12</v>
      </c>
      <c r="S2351">
        <v>653</v>
      </c>
      <c r="T2351">
        <v>4</v>
      </c>
      <c r="U2351">
        <v>43.494498983665999</v>
      </c>
      <c r="V2351" t="s">
        <v>55</v>
      </c>
      <c r="W2351">
        <v>1.22087598007858</v>
      </c>
      <c r="X2351" t="s">
        <v>52</v>
      </c>
      <c r="Y2351" t="s">
        <v>60</v>
      </c>
      <c r="Z2351">
        <v>181.763490769047</v>
      </c>
    </row>
    <row r="2352" spans="1:26" x14ac:dyDescent="0.3">
      <c r="A2352" t="s">
        <v>72</v>
      </c>
      <c r="B2352" t="s">
        <v>2408</v>
      </c>
      <c r="C2352">
        <v>26.265321090490598</v>
      </c>
      <c r="D2352">
        <v>30</v>
      </c>
      <c r="E2352">
        <v>866</v>
      </c>
      <c r="F2352">
        <v>20471.1912579284</v>
      </c>
      <c r="G2352" t="s">
        <v>48</v>
      </c>
      <c r="H2352">
        <v>86</v>
      </c>
      <c r="I2352">
        <v>23</v>
      </c>
      <c r="J2352">
        <v>27</v>
      </c>
      <c r="K2352">
        <v>3</v>
      </c>
      <c r="L2352" t="s">
        <v>44</v>
      </c>
      <c r="M2352">
        <v>11.7322475660526</v>
      </c>
      <c r="N2352" t="s">
        <v>37</v>
      </c>
      <c r="O2352" t="s">
        <v>29</v>
      </c>
      <c r="P2352">
        <f>VLOOKUP(O2352, Coordinates!$A$2:$C$6, 2, FALSE)</f>
        <v>29.760400000000001</v>
      </c>
      <c r="Q2352">
        <f>VLOOKUP(O2352, Coordinates!$A$2:$C$6, 3, FALSE)</f>
        <v>-95.369799999999998</v>
      </c>
      <c r="R2352">
        <v>5</v>
      </c>
      <c r="S2352">
        <v>451</v>
      </c>
      <c r="T2352">
        <v>14</v>
      </c>
      <c r="U2352">
        <v>76.357992815727599</v>
      </c>
      <c r="V2352" t="s">
        <v>30</v>
      </c>
      <c r="W2352">
        <v>0.513366227237677</v>
      </c>
      <c r="X2352" t="s">
        <v>52</v>
      </c>
      <c r="Y2352" t="s">
        <v>60</v>
      </c>
      <c r="Z2352">
        <v>484.11545665701101</v>
      </c>
    </row>
    <row r="2353" spans="1:26" x14ac:dyDescent="0.3">
      <c r="A2353" t="s">
        <v>24</v>
      </c>
      <c r="B2353" t="s">
        <v>2409</v>
      </c>
      <c r="C2353">
        <v>30.369915635207899</v>
      </c>
      <c r="D2353">
        <v>81</v>
      </c>
      <c r="E2353">
        <v>80</v>
      </c>
      <c r="F2353">
        <v>2186.63392573497</v>
      </c>
      <c r="G2353" t="s">
        <v>48</v>
      </c>
      <c r="H2353">
        <v>3</v>
      </c>
      <c r="I2353">
        <v>5</v>
      </c>
      <c r="J2353">
        <v>96</v>
      </c>
      <c r="K2353">
        <v>7</v>
      </c>
      <c r="L2353" t="s">
        <v>27</v>
      </c>
      <c r="M2353">
        <v>2.8285266660000001</v>
      </c>
      <c r="N2353" t="s">
        <v>57</v>
      </c>
      <c r="O2353" t="s">
        <v>67</v>
      </c>
      <c r="P2353">
        <f>VLOOKUP(O2353, Coordinates!$A$2:$C$6, 2, FALSE)</f>
        <v>40.712800000000001</v>
      </c>
      <c r="Q2353">
        <f>VLOOKUP(O2353, Coordinates!$A$2:$C$6, 3, FALSE)</f>
        <v>-74.006</v>
      </c>
      <c r="R2353">
        <v>1</v>
      </c>
      <c r="S2353">
        <v>772</v>
      </c>
      <c r="T2353">
        <v>22</v>
      </c>
      <c r="U2353">
        <v>90.144647957343494</v>
      </c>
      <c r="V2353" t="s">
        <v>30</v>
      </c>
      <c r="W2353">
        <v>0.203598896857697</v>
      </c>
      <c r="X2353" t="s">
        <v>52</v>
      </c>
      <c r="Y2353" t="s">
        <v>41</v>
      </c>
      <c r="Z2353">
        <v>795.81431295412096</v>
      </c>
    </row>
    <row r="2354" spans="1:26" x14ac:dyDescent="0.3">
      <c r="A2354" t="s">
        <v>24</v>
      </c>
      <c r="B2354" t="s">
        <v>2410</v>
      </c>
      <c r="C2354">
        <v>27.72182506</v>
      </c>
      <c r="D2354">
        <v>32</v>
      </c>
      <c r="E2354">
        <v>551</v>
      </c>
      <c r="F2354">
        <v>13747.253048401401</v>
      </c>
      <c r="G2354" t="s">
        <v>35</v>
      </c>
      <c r="H2354">
        <v>9</v>
      </c>
      <c r="I2354">
        <v>12</v>
      </c>
      <c r="J2354">
        <v>60</v>
      </c>
      <c r="K2354">
        <v>10</v>
      </c>
      <c r="L2354" t="s">
        <v>44</v>
      </c>
      <c r="M2354">
        <v>5.3427949545983902</v>
      </c>
      <c r="N2354" t="s">
        <v>57</v>
      </c>
      <c r="O2354" t="s">
        <v>38</v>
      </c>
      <c r="P2354">
        <f>VLOOKUP(O2354, Coordinates!$A$2:$C$6, 2, FALSE)</f>
        <v>25.761700000000001</v>
      </c>
      <c r="Q2354">
        <f>VLOOKUP(O2354, Coordinates!$A$2:$C$6, 3, FALSE)</f>
        <v>-80.191800000000001</v>
      </c>
      <c r="R2354">
        <v>2</v>
      </c>
      <c r="S2354">
        <v>685</v>
      </c>
      <c r="T2354">
        <v>3</v>
      </c>
      <c r="U2354">
        <v>78.606379345598398</v>
      </c>
      <c r="V2354" t="s">
        <v>39</v>
      </c>
      <c r="W2354">
        <v>0.45386632199999999</v>
      </c>
      <c r="X2354" t="s">
        <v>46</v>
      </c>
      <c r="Y2354" t="s">
        <v>32</v>
      </c>
      <c r="Z2354">
        <v>838.97879555504403</v>
      </c>
    </row>
    <row r="2355" spans="1:26" x14ac:dyDescent="0.3">
      <c r="A2355" t="s">
        <v>82</v>
      </c>
      <c r="B2355" t="s">
        <v>2411</v>
      </c>
      <c r="C2355">
        <v>54.7420519794981</v>
      </c>
      <c r="D2355">
        <v>70</v>
      </c>
      <c r="E2355">
        <v>271</v>
      </c>
      <c r="F2355">
        <v>3942.7986091846501</v>
      </c>
      <c r="G2355" t="s">
        <v>26</v>
      </c>
      <c r="H2355">
        <v>62</v>
      </c>
      <c r="I2355">
        <v>27</v>
      </c>
      <c r="J2355">
        <v>45</v>
      </c>
      <c r="K2355">
        <v>7</v>
      </c>
      <c r="L2355" t="s">
        <v>27</v>
      </c>
      <c r="M2355">
        <v>1.3765494400759899</v>
      </c>
      <c r="N2355" t="s">
        <v>45</v>
      </c>
      <c r="O2355" t="s">
        <v>38</v>
      </c>
      <c r="P2355">
        <f>VLOOKUP(O2355, Coordinates!$A$2:$C$6, 2, FALSE)</f>
        <v>25.761700000000001</v>
      </c>
      <c r="Q2355">
        <f>VLOOKUP(O2355, Coordinates!$A$2:$C$6, 3, FALSE)</f>
        <v>-80.191800000000001</v>
      </c>
      <c r="R2355">
        <v>27</v>
      </c>
      <c r="S2355">
        <v>474</v>
      </c>
      <c r="T2355">
        <v>17</v>
      </c>
      <c r="U2355">
        <v>53.308141734102101</v>
      </c>
      <c r="V2355" t="s">
        <v>55</v>
      </c>
      <c r="W2355">
        <v>4.76524601898676</v>
      </c>
      <c r="X2355" t="s">
        <v>46</v>
      </c>
      <c r="Y2355" t="s">
        <v>60</v>
      </c>
      <c r="Z2355">
        <v>361.94717441624601</v>
      </c>
    </row>
    <row r="2356" spans="1:26" x14ac:dyDescent="0.3">
      <c r="A2356" t="s">
        <v>24</v>
      </c>
      <c r="B2356" t="s">
        <v>2412</v>
      </c>
      <c r="C2356">
        <v>35.766062152573198</v>
      </c>
      <c r="D2356">
        <v>88</v>
      </c>
      <c r="E2356">
        <v>321</v>
      </c>
      <c r="F2356">
        <v>10332.8153558784</v>
      </c>
      <c r="G2356" t="s">
        <v>48</v>
      </c>
      <c r="H2356">
        <v>72</v>
      </c>
      <c r="I2356">
        <v>4</v>
      </c>
      <c r="J2356">
        <v>90</v>
      </c>
      <c r="K2356">
        <v>2</v>
      </c>
      <c r="L2356" t="s">
        <v>27</v>
      </c>
      <c r="M2356">
        <v>10.030344982536301</v>
      </c>
      <c r="N2356" t="s">
        <v>37</v>
      </c>
      <c r="O2356" t="s">
        <v>29</v>
      </c>
      <c r="P2356">
        <f>VLOOKUP(O2356, Coordinates!$A$2:$C$6, 2, FALSE)</f>
        <v>29.760400000000001</v>
      </c>
      <c r="Q2356">
        <f>VLOOKUP(O2356, Coordinates!$A$2:$C$6, 3, FALSE)</f>
        <v>-95.369799999999998</v>
      </c>
      <c r="R2356">
        <v>2</v>
      </c>
      <c r="S2356">
        <v>636</v>
      </c>
      <c r="T2356">
        <v>15</v>
      </c>
      <c r="U2356">
        <v>76.578721670579498</v>
      </c>
      <c r="V2356" t="s">
        <v>30</v>
      </c>
      <c r="W2356">
        <v>4.2749613799999997</v>
      </c>
      <c r="X2356" t="s">
        <v>40</v>
      </c>
      <c r="Y2356" t="s">
        <v>41</v>
      </c>
      <c r="Z2356">
        <v>697.09435010000004</v>
      </c>
    </row>
    <row r="2357" spans="1:26" x14ac:dyDescent="0.3">
      <c r="A2357" t="s">
        <v>33</v>
      </c>
      <c r="B2357" t="s">
        <v>2413</v>
      </c>
      <c r="C2357">
        <v>49.740255583388802</v>
      </c>
      <c r="D2357">
        <v>6</v>
      </c>
      <c r="E2357">
        <v>816</v>
      </c>
      <c r="F2357">
        <v>6822.5203750357396</v>
      </c>
      <c r="G2357" t="s">
        <v>35</v>
      </c>
      <c r="H2357">
        <v>82</v>
      </c>
      <c r="I2357">
        <v>22</v>
      </c>
      <c r="J2357">
        <v>43</v>
      </c>
      <c r="K2357">
        <v>7</v>
      </c>
      <c r="L2357" t="s">
        <v>36</v>
      </c>
      <c r="M2357">
        <v>12.2775269331412</v>
      </c>
      <c r="N2357" t="s">
        <v>45</v>
      </c>
      <c r="O2357" t="s">
        <v>38</v>
      </c>
      <c r="P2357">
        <f>VLOOKUP(O2357, Coordinates!$A$2:$C$6, 2, FALSE)</f>
        <v>25.761700000000001</v>
      </c>
      <c r="Q2357">
        <f>VLOOKUP(O2357, Coordinates!$A$2:$C$6, 3, FALSE)</f>
        <v>-80.191800000000001</v>
      </c>
      <c r="R2357">
        <v>27</v>
      </c>
      <c r="S2357">
        <v>402</v>
      </c>
      <c r="T2357">
        <v>1</v>
      </c>
      <c r="U2357">
        <v>47.297048490000002</v>
      </c>
      <c r="V2357" t="s">
        <v>39</v>
      </c>
      <c r="W2357">
        <v>4.6228959078354901</v>
      </c>
      <c r="X2357" t="s">
        <v>52</v>
      </c>
      <c r="Y2357" t="s">
        <v>60</v>
      </c>
      <c r="Z2357">
        <v>453.43882960000002</v>
      </c>
    </row>
    <row r="2358" spans="1:26" x14ac:dyDescent="0.3">
      <c r="A2358" t="s">
        <v>82</v>
      </c>
      <c r="B2358" t="s">
        <v>2414</v>
      </c>
      <c r="C2358">
        <v>51.762069942328701</v>
      </c>
      <c r="D2358">
        <v>27</v>
      </c>
      <c r="E2358">
        <v>125</v>
      </c>
      <c r="F2358">
        <v>5447.1316702714303</v>
      </c>
      <c r="G2358" t="s">
        <v>48</v>
      </c>
      <c r="H2358">
        <v>14</v>
      </c>
      <c r="I2358">
        <v>24</v>
      </c>
      <c r="J2358">
        <v>21</v>
      </c>
      <c r="K2358">
        <v>6</v>
      </c>
      <c r="L2358" t="s">
        <v>36</v>
      </c>
      <c r="M2358">
        <v>14.2479977491843</v>
      </c>
      <c r="N2358" t="s">
        <v>57</v>
      </c>
      <c r="O2358" t="s">
        <v>58</v>
      </c>
      <c r="P2358">
        <f>VLOOKUP(O2358, Coordinates!$A$2:$C$6, 2, FALSE)</f>
        <v>34.052199999999999</v>
      </c>
      <c r="Q2358">
        <f>VLOOKUP(O2358, Coordinates!$A$2:$C$6, 3, FALSE)</f>
        <v>-118.2437</v>
      </c>
      <c r="R2358">
        <v>5</v>
      </c>
      <c r="S2358">
        <v>341</v>
      </c>
      <c r="T2358">
        <v>21</v>
      </c>
      <c r="U2358">
        <v>35.304388726012199</v>
      </c>
      <c r="V2358" t="s">
        <v>39</v>
      </c>
      <c r="W2358">
        <v>2.0106722677637698</v>
      </c>
      <c r="X2358" t="s">
        <v>31</v>
      </c>
      <c r="Y2358" t="s">
        <v>41</v>
      </c>
      <c r="Z2358">
        <v>975.26143309999998</v>
      </c>
    </row>
    <row r="2359" spans="1:26" x14ac:dyDescent="0.3">
      <c r="A2359" t="s">
        <v>72</v>
      </c>
      <c r="B2359" t="s">
        <v>2415</v>
      </c>
      <c r="C2359">
        <v>32.220713087533703</v>
      </c>
      <c r="D2359">
        <v>82</v>
      </c>
      <c r="E2359">
        <v>840</v>
      </c>
      <c r="F2359">
        <v>24358.859094175499</v>
      </c>
      <c r="G2359" t="s">
        <v>54</v>
      </c>
      <c r="H2359">
        <v>97</v>
      </c>
      <c r="I2359">
        <v>4</v>
      </c>
      <c r="J2359">
        <v>14</v>
      </c>
      <c r="K2359">
        <v>10</v>
      </c>
      <c r="L2359" t="s">
        <v>27</v>
      </c>
      <c r="M2359">
        <v>10.6111005907033</v>
      </c>
      <c r="N2359" t="s">
        <v>57</v>
      </c>
      <c r="O2359" t="s">
        <v>67</v>
      </c>
      <c r="P2359">
        <f>VLOOKUP(O2359, Coordinates!$A$2:$C$6, 2, FALSE)</f>
        <v>40.712800000000001</v>
      </c>
      <c r="Q2359">
        <f>VLOOKUP(O2359, Coordinates!$A$2:$C$6, 3, FALSE)</f>
        <v>-74.006</v>
      </c>
      <c r="R2359">
        <v>10</v>
      </c>
      <c r="S2359">
        <v>477</v>
      </c>
      <c r="T2359">
        <v>11</v>
      </c>
      <c r="U2359">
        <v>78.286465017459307</v>
      </c>
      <c r="V2359" t="s">
        <v>30</v>
      </c>
      <c r="W2359">
        <v>1.77117671597945</v>
      </c>
      <c r="X2359" t="s">
        <v>31</v>
      </c>
      <c r="Y2359" t="s">
        <v>60</v>
      </c>
      <c r="Z2359">
        <v>464.46482662288599</v>
      </c>
    </row>
    <row r="2360" spans="1:26" x14ac:dyDescent="0.3">
      <c r="A2360" t="s">
        <v>42</v>
      </c>
      <c r="B2360" t="s">
        <v>2416</v>
      </c>
      <c r="C2360">
        <v>66.948840878756798</v>
      </c>
      <c r="D2360">
        <v>88</v>
      </c>
      <c r="E2360">
        <v>29</v>
      </c>
      <c r="F2360">
        <v>5897.8000190000002</v>
      </c>
      <c r="G2360" t="s">
        <v>48</v>
      </c>
      <c r="H2360">
        <v>62</v>
      </c>
      <c r="I2360">
        <v>5</v>
      </c>
      <c r="J2360">
        <v>57</v>
      </c>
      <c r="K2360">
        <v>4</v>
      </c>
      <c r="L2360" t="s">
        <v>36</v>
      </c>
      <c r="M2360">
        <v>11.2492773631182</v>
      </c>
      <c r="N2360" t="s">
        <v>45</v>
      </c>
      <c r="O2360" t="s">
        <v>38</v>
      </c>
      <c r="P2360">
        <f>VLOOKUP(O2360, Coordinates!$A$2:$C$6, 2, FALSE)</f>
        <v>25.761700000000001</v>
      </c>
      <c r="Q2360">
        <f>VLOOKUP(O2360, Coordinates!$A$2:$C$6, 3, FALSE)</f>
        <v>-80.191800000000001</v>
      </c>
      <c r="R2360">
        <v>29</v>
      </c>
      <c r="S2360">
        <v>784</v>
      </c>
      <c r="T2360">
        <v>13</v>
      </c>
      <c r="U2360">
        <v>31.419143238161901</v>
      </c>
      <c r="V2360" t="s">
        <v>55</v>
      </c>
      <c r="W2360">
        <v>3.62536330873266</v>
      </c>
      <c r="X2360" t="s">
        <v>52</v>
      </c>
      <c r="Y2360" t="s">
        <v>32</v>
      </c>
      <c r="Z2360">
        <v>456.31326739999997</v>
      </c>
    </row>
    <row r="2361" spans="1:26" x14ac:dyDescent="0.3">
      <c r="A2361" t="s">
        <v>24</v>
      </c>
      <c r="B2361" t="s">
        <v>2417</v>
      </c>
      <c r="C2361">
        <v>28.698091126958499</v>
      </c>
      <c r="D2361">
        <v>24</v>
      </c>
      <c r="E2361">
        <v>436</v>
      </c>
      <c r="F2361">
        <v>11261.1309582185</v>
      </c>
      <c r="G2361" t="s">
        <v>48</v>
      </c>
      <c r="H2361">
        <v>18</v>
      </c>
      <c r="I2361">
        <v>7</v>
      </c>
      <c r="J2361">
        <v>100</v>
      </c>
      <c r="K2361">
        <v>5</v>
      </c>
      <c r="L2361" t="s">
        <v>36</v>
      </c>
      <c r="M2361">
        <v>13.5363808952893</v>
      </c>
      <c r="N2361" t="s">
        <v>51</v>
      </c>
      <c r="O2361" t="s">
        <v>29</v>
      </c>
      <c r="P2361">
        <f>VLOOKUP(O2361, Coordinates!$A$2:$C$6, 2, FALSE)</f>
        <v>29.760400000000001</v>
      </c>
      <c r="Q2361">
        <f>VLOOKUP(O2361, Coordinates!$A$2:$C$6, 3, FALSE)</f>
        <v>-95.369799999999998</v>
      </c>
      <c r="R2361">
        <v>6</v>
      </c>
      <c r="S2361">
        <v>488</v>
      </c>
      <c r="T2361">
        <v>30</v>
      </c>
      <c r="U2361">
        <v>82.546665526254898</v>
      </c>
      <c r="V2361" t="s">
        <v>30</v>
      </c>
      <c r="W2361">
        <v>0.91338940861834705</v>
      </c>
      <c r="X2361" t="s">
        <v>52</v>
      </c>
      <c r="Y2361" t="s">
        <v>32</v>
      </c>
      <c r="Z2361">
        <v>551.410852011119</v>
      </c>
    </row>
    <row r="2362" spans="1:26" x14ac:dyDescent="0.3">
      <c r="A2362" t="s">
        <v>61</v>
      </c>
      <c r="B2362" t="s">
        <v>2418</v>
      </c>
      <c r="C2362">
        <v>80.189036380000005</v>
      </c>
      <c r="D2362">
        <v>34</v>
      </c>
      <c r="E2362">
        <v>164</v>
      </c>
      <c r="F2362">
        <v>7353.4295590000002</v>
      </c>
      <c r="G2362" t="s">
        <v>48</v>
      </c>
      <c r="H2362">
        <v>62</v>
      </c>
      <c r="I2362">
        <v>6</v>
      </c>
      <c r="J2362">
        <v>49</v>
      </c>
      <c r="K2362">
        <v>8</v>
      </c>
      <c r="L2362" t="s">
        <v>44</v>
      </c>
      <c r="M2362">
        <v>14.109292404013701</v>
      </c>
      <c r="N2362" t="s">
        <v>51</v>
      </c>
      <c r="O2362" t="s">
        <v>65</v>
      </c>
      <c r="P2362">
        <f>VLOOKUP(O2362, Coordinates!$A$2:$C$6, 2, FALSE)</f>
        <v>41.878100000000003</v>
      </c>
      <c r="Q2362">
        <f>VLOOKUP(O2362, Coordinates!$A$2:$C$6, 3, FALSE)</f>
        <v>-87.629800000000003</v>
      </c>
      <c r="R2362">
        <v>5</v>
      </c>
      <c r="S2362">
        <v>386</v>
      </c>
      <c r="T2362">
        <v>24</v>
      </c>
      <c r="U2362">
        <v>20.173873031749601</v>
      </c>
      <c r="V2362" t="s">
        <v>30</v>
      </c>
      <c r="W2362">
        <v>4.7665965522375497</v>
      </c>
      <c r="X2362" t="s">
        <v>52</v>
      </c>
      <c r="Y2362" t="s">
        <v>60</v>
      </c>
      <c r="Z2362">
        <v>122.952277008507</v>
      </c>
    </row>
    <row r="2363" spans="1:26" x14ac:dyDescent="0.3">
      <c r="A2363" t="s">
        <v>42</v>
      </c>
      <c r="B2363" t="s">
        <v>2419</v>
      </c>
      <c r="C2363">
        <v>62.234633916828201</v>
      </c>
      <c r="D2363">
        <v>40</v>
      </c>
      <c r="E2363">
        <v>600</v>
      </c>
      <c r="F2363">
        <v>5807.70902627757</v>
      </c>
      <c r="G2363" t="s">
        <v>26</v>
      </c>
      <c r="H2363">
        <v>55</v>
      </c>
      <c r="I2363">
        <v>13</v>
      </c>
      <c r="J2363">
        <v>22</v>
      </c>
      <c r="K2363">
        <v>5</v>
      </c>
      <c r="L2363" t="s">
        <v>36</v>
      </c>
      <c r="M2363">
        <v>7.8781656981758799</v>
      </c>
      <c r="N2363" t="s">
        <v>45</v>
      </c>
      <c r="O2363" t="s">
        <v>38</v>
      </c>
      <c r="P2363">
        <f>VLOOKUP(O2363, Coordinates!$A$2:$C$6, 2, FALSE)</f>
        <v>25.761700000000001</v>
      </c>
      <c r="Q2363">
        <f>VLOOKUP(O2363, Coordinates!$A$2:$C$6, 3, FALSE)</f>
        <v>-80.191800000000001</v>
      </c>
      <c r="R2363">
        <v>27</v>
      </c>
      <c r="S2363">
        <v>258</v>
      </c>
      <c r="T2363">
        <v>3</v>
      </c>
      <c r="U2363">
        <v>38.723901390723398</v>
      </c>
      <c r="V2363" t="s">
        <v>55</v>
      </c>
      <c r="W2363">
        <v>4.3192360162119199</v>
      </c>
      <c r="X2363" t="s">
        <v>52</v>
      </c>
      <c r="Y2363" t="s">
        <v>60</v>
      </c>
      <c r="Z2363">
        <v>476.13545183955802</v>
      </c>
    </row>
    <row r="2364" spans="1:26" x14ac:dyDescent="0.3">
      <c r="A2364" t="s">
        <v>33</v>
      </c>
      <c r="B2364" t="s">
        <v>2420</v>
      </c>
      <c r="C2364">
        <v>53.605665339306299</v>
      </c>
      <c r="D2364">
        <v>47</v>
      </c>
      <c r="E2364">
        <v>928</v>
      </c>
      <c r="F2364">
        <v>7110.1271877373601</v>
      </c>
      <c r="G2364" t="s">
        <v>26</v>
      </c>
      <c r="H2364">
        <v>6</v>
      </c>
      <c r="I2364">
        <v>27</v>
      </c>
      <c r="J2364">
        <v>35</v>
      </c>
      <c r="K2364">
        <v>3</v>
      </c>
      <c r="L2364" t="s">
        <v>27</v>
      </c>
      <c r="M2364">
        <v>2.53702345591583</v>
      </c>
      <c r="N2364" t="s">
        <v>28</v>
      </c>
      <c r="O2364" t="s">
        <v>67</v>
      </c>
      <c r="P2364">
        <f>VLOOKUP(O2364, Coordinates!$A$2:$C$6, 2, FALSE)</f>
        <v>40.712800000000001</v>
      </c>
      <c r="Q2364">
        <f>VLOOKUP(O2364, Coordinates!$A$2:$C$6, 3, FALSE)</f>
        <v>-74.006</v>
      </c>
      <c r="R2364">
        <v>9</v>
      </c>
      <c r="S2364">
        <v>453</v>
      </c>
      <c r="T2364">
        <v>13</v>
      </c>
      <c r="U2364">
        <v>11.1408775802641</v>
      </c>
      <c r="V2364" t="s">
        <v>55</v>
      </c>
      <c r="W2364">
        <v>4.7753593944232202</v>
      </c>
      <c r="X2364" t="s">
        <v>52</v>
      </c>
      <c r="Y2364" t="s">
        <v>60</v>
      </c>
      <c r="Z2364">
        <v>845.83721291534596</v>
      </c>
    </row>
    <row r="2365" spans="1:26" x14ac:dyDescent="0.3">
      <c r="A2365" t="s">
        <v>42</v>
      </c>
      <c r="B2365" t="s">
        <v>2421</v>
      </c>
      <c r="C2365">
        <v>10.795678585512499</v>
      </c>
      <c r="D2365">
        <v>79</v>
      </c>
      <c r="E2365">
        <v>739</v>
      </c>
      <c r="F2365">
        <v>8862.0364204535108</v>
      </c>
      <c r="G2365" t="s">
        <v>35</v>
      </c>
      <c r="H2365">
        <v>33</v>
      </c>
      <c r="I2365">
        <v>13</v>
      </c>
      <c r="J2365">
        <v>23</v>
      </c>
      <c r="K2365">
        <v>2</v>
      </c>
      <c r="L2365" t="s">
        <v>36</v>
      </c>
      <c r="M2365">
        <v>7.5298423382101998</v>
      </c>
      <c r="N2365" t="s">
        <v>28</v>
      </c>
      <c r="O2365" t="s">
        <v>38</v>
      </c>
      <c r="P2365">
        <f>VLOOKUP(O2365, Coordinates!$A$2:$C$6, 2, FALSE)</f>
        <v>25.761700000000001</v>
      </c>
      <c r="Q2365">
        <f>VLOOKUP(O2365, Coordinates!$A$2:$C$6, 3, FALSE)</f>
        <v>-80.191800000000001</v>
      </c>
      <c r="R2365">
        <v>29</v>
      </c>
      <c r="S2365">
        <v>829</v>
      </c>
      <c r="T2365">
        <v>18</v>
      </c>
      <c r="U2365">
        <v>29.8182958013114</v>
      </c>
      <c r="V2365" t="s">
        <v>39</v>
      </c>
      <c r="W2365">
        <v>1.3868462247668301</v>
      </c>
      <c r="X2365" t="s">
        <v>46</v>
      </c>
      <c r="Y2365" t="s">
        <v>41</v>
      </c>
      <c r="Z2365">
        <v>650.87381323093496</v>
      </c>
    </row>
    <row r="2366" spans="1:26" x14ac:dyDescent="0.3">
      <c r="A2366" t="s">
        <v>33</v>
      </c>
      <c r="B2366" t="s">
        <v>2422</v>
      </c>
      <c r="C2366">
        <v>32.343973390902498</v>
      </c>
      <c r="D2366">
        <v>75</v>
      </c>
      <c r="E2366">
        <v>904</v>
      </c>
      <c r="F2366">
        <v>4890.4415900935101</v>
      </c>
      <c r="H2366">
        <v>16</v>
      </c>
      <c r="I2366">
        <v>4</v>
      </c>
      <c r="J2366">
        <v>20</v>
      </c>
      <c r="K2366">
        <v>6</v>
      </c>
      <c r="L2366" t="s">
        <v>27</v>
      </c>
      <c r="M2366">
        <v>8.7850340802120499</v>
      </c>
      <c r="N2366" t="s">
        <v>51</v>
      </c>
      <c r="O2366" t="s">
        <v>65</v>
      </c>
      <c r="P2366">
        <f>VLOOKUP(O2366, Coordinates!$A$2:$C$6, 2, FALSE)</f>
        <v>41.878100000000003</v>
      </c>
      <c r="Q2366">
        <f>VLOOKUP(O2366, Coordinates!$A$2:$C$6, 3, FALSE)</f>
        <v>-87.629800000000003</v>
      </c>
      <c r="R2366">
        <v>10</v>
      </c>
      <c r="S2366">
        <v>554</v>
      </c>
      <c r="T2366">
        <v>24</v>
      </c>
      <c r="U2366">
        <v>80.877082683911794</v>
      </c>
      <c r="V2366" t="s">
        <v>30</v>
      </c>
      <c r="W2366">
        <v>2.93857818929277</v>
      </c>
      <c r="X2366" t="s">
        <v>40</v>
      </c>
      <c r="Y2366" t="s">
        <v>32</v>
      </c>
      <c r="Z2366">
        <v>972.47896964768495</v>
      </c>
    </row>
    <row r="2367" spans="1:26" x14ac:dyDescent="0.3">
      <c r="A2367" t="s">
        <v>33</v>
      </c>
      <c r="B2367" t="s">
        <v>2423</v>
      </c>
      <c r="C2367">
        <v>13.8607874439261</v>
      </c>
      <c r="D2367">
        <v>86</v>
      </c>
      <c r="E2367">
        <v>506</v>
      </c>
      <c r="F2367">
        <v>4714.8676547391397</v>
      </c>
      <c r="G2367" t="s">
        <v>48</v>
      </c>
      <c r="H2367">
        <v>17</v>
      </c>
      <c r="I2367">
        <v>10</v>
      </c>
      <c r="J2367">
        <v>47</v>
      </c>
      <c r="K2367">
        <v>6</v>
      </c>
      <c r="L2367" t="s">
        <v>27</v>
      </c>
      <c r="M2367">
        <v>9.8416267995376092</v>
      </c>
      <c r="N2367" t="s">
        <v>37</v>
      </c>
      <c r="O2367" t="s">
        <v>38</v>
      </c>
      <c r="P2367">
        <f>VLOOKUP(O2367, Coordinates!$A$2:$C$6, 2, FALSE)</f>
        <v>25.761700000000001</v>
      </c>
      <c r="Q2367">
        <f>VLOOKUP(O2367, Coordinates!$A$2:$C$6, 3, FALSE)</f>
        <v>-80.191800000000001</v>
      </c>
      <c r="R2367">
        <v>8</v>
      </c>
      <c r="S2367">
        <v>726</v>
      </c>
      <c r="T2367">
        <v>9</v>
      </c>
      <c r="U2367">
        <v>31.115547318727899</v>
      </c>
      <c r="V2367" t="s">
        <v>30</v>
      </c>
      <c r="W2367">
        <v>3.66133968555167</v>
      </c>
      <c r="X2367" t="s">
        <v>46</v>
      </c>
      <c r="Y2367" t="s">
        <v>41</v>
      </c>
      <c r="Z2367">
        <v>393.060600139016</v>
      </c>
    </row>
    <row r="2368" spans="1:26" x14ac:dyDescent="0.3">
      <c r="A2368" t="s">
        <v>33</v>
      </c>
      <c r="B2368" t="s">
        <v>2424</v>
      </c>
      <c r="C2368">
        <v>96.563200283454904</v>
      </c>
      <c r="D2368">
        <v>24</v>
      </c>
      <c r="E2368">
        <v>170</v>
      </c>
      <c r="F2368">
        <v>7878.2105876714204</v>
      </c>
      <c r="G2368" t="s">
        <v>48</v>
      </c>
      <c r="H2368">
        <v>80</v>
      </c>
      <c r="I2368">
        <v>20</v>
      </c>
      <c r="J2368">
        <v>89</v>
      </c>
      <c r="K2368">
        <v>7</v>
      </c>
      <c r="L2368" t="s">
        <v>44</v>
      </c>
      <c r="M2368">
        <v>14.849983802329801</v>
      </c>
      <c r="N2368" t="s">
        <v>57</v>
      </c>
      <c r="O2368" t="s">
        <v>29</v>
      </c>
      <c r="P2368">
        <f>VLOOKUP(O2368, Coordinates!$A$2:$C$6, 2, FALSE)</f>
        <v>29.760400000000001</v>
      </c>
      <c r="Q2368">
        <f>VLOOKUP(O2368, Coordinates!$A$2:$C$6, 3, FALSE)</f>
        <v>-95.369799999999998</v>
      </c>
      <c r="R2368">
        <v>25</v>
      </c>
      <c r="S2368">
        <v>340</v>
      </c>
      <c r="T2368">
        <v>25</v>
      </c>
      <c r="U2368">
        <v>19.9656559935564</v>
      </c>
      <c r="V2368" t="s">
        <v>55</v>
      </c>
      <c r="W2368">
        <v>3.55478111383866</v>
      </c>
      <c r="X2368" t="s">
        <v>31</v>
      </c>
      <c r="Y2368" t="s">
        <v>32</v>
      </c>
      <c r="Z2368">
        <v>245.371858795854</v>
      </c>
    </row>
    <row r="2369" spans="1:26" x14ac:dyDescent="0.3">
      <c r="A2369" t="s">
        <v>72</v>
      </c>
      <c r="B2369" t="s">
        <v>2425</v>
      </c>
      <c r="C2369">
        <v>39.945224455263997</v>
      </c>
      <c r="D2369">
        <v>65</v>
      </c>
      <c r="E2369">
        <v>707</v>
      </c>
      <c r="F2369">
        <v>25417.146320884502</v>
      </c>
      <c r="G2369" t="s">
        <v>26</v>
      </c>
      <c r="H2369">
        <v>65</v>
      </c>
      <c r="I2369">
        <v>1</v>
      </c>
      <c r="J2369">
        <v>66</v>
      </c>
      <c r="K2369">
        <v>8</v>
      </c>
      <c r="L2369" t="s">
        <v>27</v>
      </c>
      <c r="M2369">
        <v>13.845885014070699</v>
      </c>
      <c r="N2369" t="s">
        <v>37</v>
      </c>
      <c r="O2369" t="s">
        <v>67</v>
      </c>
      <c r="P2369">
        <f>VLOOKUP(O2369, Coordinates!$A$2:$C$6, 2, FALSE)</f>
        <v>40.712800000000001</v>
      </c>
      <c r="Q2369">
        <f>VLOOKUP(O2369, Coordinates!$A$2:$C$6, 3, FALSE)</f>
        <v>-74.006</v>
      </c>
      <c r="R2369">
        <v>27</v>
      </c>
      <c r="S2369">
        <v>919</v>
      </c>
      <c r="T2369">
        <v>2</v>
      </c>
      <c r="U2369">
        <v>83.449867639773899</v>
      </c>
      <c r="V2369" t="s">
        <v>30</v>
      </c>
      <c r="W2369">
        <v>0.106730497141817</v>
      </c>
      <c r="X2369" t="s">
        <v>46</v>
      </c>
      <c r="Y2369" t="s">
        <v>32</v>
      </c>
      <c r="Z2369">
        <v>775.51873855789097</v>
      </c>
    </row>
    <row r="2370" spans="1:26" x14ac:dyDescent="0.3">
      <c r="A2370" t="s">
        <v>33</v>
      </c>
      <c r="B2370" t="s">
        <v>2426</v>
      </c>
      <c r="C2370">
        <v>19.4186639358546</v>
      </c>
      <c r="D2370">
        <v>18</v>
      </c>
      <c r="E2370">
        <v>179</v>
      </c>
      <c r="F2370">
        <v>1639.06102200329</v>
      </c>
      <c r="G2370" t="s">
        <v>26</v>
      </c>
      <c r="H2370">
        <v>50</v>
      </c>
      <c r="I2370">
        <v>21</v>
      </c>
      <c r="J2370">
        <v>31</v>
      </c>
      <c r="K2370">
        <v>4</v>
      </c>
      <c r="L2370" t="s">
        <v>27</v>
      </c>
      <c r="M2370">
        <v>6.54909883844019</v>
      </c>
      <c r="N2370" t="s">
        <v>51</v>
      </c>
      <c r="O2370" t="s">
        <v>65</v>
      </c>
      <c r="P2370">
        <f>VLOOKUP(O2370, Coordinates!$A$2:$C$6, 2, FALSE)</f>
        <v>41.878100000000003</v>
      </c>
      <c r="Q2370">
        <f>VLOOKUP(O2370, Coordinates!$A$2:$C$6, 3, FALSE)</f>
        <v>-87.629800000000003</v>
      </c>
      <c r="R2370">
        <v>6</v>
      </c>
      <c r="S2370">
        <v>311</v>
      </c>
      <c r="T2370">
        <v>28</v>
      </c>
      <c r="U2370">
        <v>66.022310471645696</v>
      </c>
      <c r="V2370" t="s">
        <v>30</v>
      </c>
      <c r="W2370">
        <v>4.9914458174494198</v>
      </c>
      <c r="X2370" t="s">
        <v>46</v>
      </c>
      <c r="Y2370" t="s">
        <v>41</v>
      </c>
      <c r="Z2370">
        <v>139.29129244279699</v>
      </c>
    </row>
    <row r="2371" spans="1:26" x14ac:dyDescent="0.3">
      <c r="A2371" t="s">
        <v>33</v>
      </c>
      <c r="B2371" t="s">
        <v>2427</v>
      </c>
      <c r="C2371">
        <v>89.509778741396701</v>
      </c>
      <c r="D2371">
        <v>44</v>
      </c>
      <c r="E2371">
        <v>5</v>
      </c>
      <c r="F2371">
        <v>9029.0081412197305</v>
      </c>
      <c r="G2371" t="s">
        <v>48</v>
      </c>
      <c r="H2371">
        <v>64</v>
      </c>
      <c r="I2371">
        <v>8</v>
      </c>
      <c r="J2371">
        <v>25</v>
      </c>
      <c r="K2371">
        <v>8</v>
      </c>
      <c r="L2371" t="s">
        <v>44</v>
      </c>
      <c r="M2371">
        <v>2.5883516077899298</v>
      </c>
      <c r="N2371" t="s">
        <v>45</v>
      </c>
      <c r="O2371" t="s">
        <v>38</v>
      </c>
      <c r="P2371">
        <f>VLOOKUP(O2371, Coordinates!$A$2:$C$6, 2, FALSE)</f>
        <v>25.761700000000001</v>
      </c>
      <c r="Q2371">
        <f>VLOOKUP(O2371, Coordinates!$A$2:$C$6, 3, FALSE)</f>
        <v>-80.191800000000001</v>
      </c>
      <c r="R2371">
        <v>25</v>
      </c>
      <c r="S2371">
        <v>462</v>
      </c>
      <c r="T2371">
        <v>8</v>
      </c>
      <c r="U2371">
        <v>15.4023354492099</v>
      </c>
      <c r="V2371" t="s">
        <v>39</v>
      </c>
      <c r="W2371">
        <v>4.8085261801929802</v>
      </c>
      <c r="X2371" t="s">
        <v>40</v>
      </c>
      <c r="Y2371" t="s">
        <v>32</v>
      </c>
      <c r="Z2371">
        <v>243.600285630249</v>
      </c>
    </row>
    <row r="2372" spans="1:26" x14ac:dyDescent="0.3">
      <c r="A2372" t="s">
        <v>61</v>
      </c>
      <c r="B2372" t="s">
        <v>2428</v>
      </c>
      <c r="C2372">
        <v>94.67318693</v>
      </c>
      <c r="D2372">
        <v>76</v>
      </c>
      <c r="E2372">
        <v>903</v>
      </c>
      <c r="F2372">
        <v>1277.04792013876</v>
      </c>
      <c r="G2372" t="s">
        <v>48</v>
      </c>
      <c r="H2372">
        <v>42</v>
      </c>
      <c r="I2372">
        <v>7</v>
      </c>
      <c r="J2372">
        <v>86</v>
      </c>
      <c r="K2372">
        <v>1</v>
      </c>
      <c r="L2372" t="s">
        <v>27</v>
      </c>
      <c r="M2372">
        <v>4.0070823751173901</v>
      </c>
      <c r="N2372" t="s">
        <v>28</v>
      </c>
      <c r="O2372" t="s">
        <v>29</v>
      </c>
      <c r="P2372">
        <f>VLOOKUP(O2372, Coordinates!$A$2:$C$6, 2, FALSE)</f>
        <v>29.760400000000001</v>
      </c>
      <c r="Q2372">
        <f>VLOOKUP(O2372, Coordinates!$A$2:$C$6, 3, FALSE)</f>
        <v>-95.369799999999998</v>
      </c>
      <c r="R2372">
        <v>21</v>
      </c>
      <c r="S2372">
        <v>697</v>
      </c>
      <c r="T2372">
        <v>2</v>
      </c>
      <c r="U2372">
        <v>15.6019569845412</v>
      </c>
      <c r="V2372" t="s">
        <v>55</v>
      </c>
      <c r="W2372">
        <v>0.59876040636305305</v>
      </c>
      <c r="X2372" t="s">
        <v>31</v>
      </c>
      <c r="Y2372" t="s">
        <v>32</v>
      </c>
      <c r="Z2372">
        <v>556.25475789999996</v>
      </c>
    </row>
    <row r="2373" spans="1:26" x14ac:dyDescent="0.3">
      <c r="A2373" t="s">
        <v>82</v>
      </c>
      <c r="B2373" t="s">
        <v>2429</v>
      </c>
      <c r="C2373">
        <v>77.753758727316395</v>
      </c>
      <c r="D2373">
        <v>57</v>
      </c>
      <c r="E2373">
        <v>745</v>
      </c>
      <c r="F2373">
        <v>7735.5672058876798</v>
      </c>
      <c r="G2373" t="s">
        <v>54</v>
      </c>
      <c r="H2373">
        <v>56</v>
      </c>
      <c r="I2373">
        <v>5</v>
      </c>
      <c r="J2373">
        <v>85</v>
      </c>
      <c r="K2373">
        <v>6</v>
      </c>
      <c r="L2373" t="s">
        <v>44</v>
      </c>
      <c r="M2373">
        <v>3.4331947196678798</v>
      </c>
      <c r="N2373" t="s">
        <v>51</v>
      </c>
      <c r="O2373" t="s">
        <v>65</v>
      </c>
      <c r="P2373">
        <f>VLOOKUP(O2373, Coordinates!$A$2:$C$6, 2, FALSE)</f>
        <v>41.878100000000003</v>
      </c>
      <c r="Q2373">
        <f>VLOOKUP(O2373, Coordinates!$A$2:$C$6, 3, FALSE)</f>
        <v>-87.629800000000003</v>
      </c>
      <c r="R2373">
        <v>18</v>
      </c>
      <c r="S2373">
        <v>232</v>
      </c>
      <c r="T2373">
        <v>23</v>
      </c>
      <c r="U2373">
        <v>65.090991312925198</v>
      </c>
      <c r="V2373" t="s">
        <v>55</v>
      </c>
      <c r="W2373">
        <v>2.7178338714758499</v>
      </c>
      <c r="X2373" t="s">
        <v>31</v>
      </c>
      <c r="Y2373" t="s">
        <v>60</v>
      </c>
      <c r="Z2373">
        <v>778.18479483474198</v>
      </c>
    </row>
    <row r="2374" spans="1:26" x14ac:dyDescent="0.3">
      <c r="A2374" t="s">
        <v>49</v>
      </c>
      <c r="B2374" t="s">
        <v>2430</v>
      </c>
      <c r="C2374">
        <v>5.5134677489036301</v>
      </c>
      <c r="D2374">
        <v>28</v>
      </c>
      <c r="E2374">
        <v>90</v>
      </c>
      <c r="F2374">
        <v>7829.1472843388101</v>
      </c>
      <c r="G2374" t="s">
        <v>35</v>
      </c>
      <c r="H2374">
        <v>9</v>
      </c>
      <c r="I2374">
        <v>3</v>
      </c>
      <c r="J2374">
        <v>91</v>
      </c>
      <c r="K2374">
        <v>6</v>
      </c>
      <c r="L2374" t="s">
        <v>27</v>
      </c>
      <c r="M2374">
        <v>5.9841781800859497</v>
      </c>
      <c r="N2374" t="s">
        <v>37</v>
      </c>
      <c r="O2374" t="s">
        <v>65</v>
      </c>
      <c r="P2374">
        <f>VLOOKUP(O2374, Coordinates!$A$2:$C$6, 2, FALSE)</f>
        <v>41.878100000000003</v>
      </c>
      <c r="Q2374">
        <f>VLOOKUP(O2374, Coordinates!$A$2:$C$6, 3, FALSE)</f>
        <v>-87.629800000000003</v>
      </c>
      <c r="R2374">
        <v>27</v>
      </c>
      <c r="S2374">
        <v>879</v>
      </c>
      <c r="T2374">
        <v>24</v>
      </c>
      <c r="U2374">
        <v>58.611592185841999</v>
      </c>
      <c r="V2374" t="s">
        <v>55</v>
      </c>
      <c r="W2374">
        <v>1.57278227659708</v>
      </c>
      <c r="X2374" t="s">
        <v>52</v>
      </c>
      <c r="Y2374" t="s">
        <v>41</v>
      </c>
      <c r="Z2374">
        <v>640.87298551891502</v>
      </c>
    </row>
    <row r="2375" spans="1:26" x14ac:dyDescent="0.3">
      <c r="A2375" t="s">
        <v>82</v>
      </c>
      <c r="B2375" t="s">
        <v>2431</v>
      </c>
      <c r="C2375">
        <v>5.1278957408735497</v>
      </c>
      <c r="D2375">
        <v>71</v>
      </c>
      <c r="E2375">
        <v>578</v>
      </c>
      <c r="F2375">
        <v>9577.9997675373706</v>
      </c>
      <c r="G2375" t="s">
        <v>26</v>
      </c>
      <c r="H2375">
        <v>36</v>
      </c>
      <c r="I2375">
        <v>15</v>
      </c>
      <c r="J2375">
        <v>38</v>
      </c>
      <c r="K2375">
        <v>3</v>
      </c>
      <c r="L2375" t="s">
        <v>36</v>
      </c>
      <c r="M2375">
        <v>13.270849975233199</v>
      </c>
      <c r="N2375" t="s">
        <v>37</v>
      </c>
      <c r="O2375" t="s">
        <v>67</v>
      </c>
      <c r="P2375">
        <f>VLOOKUP(O2375, Coordinates!$A$2:$C$6, 2, FALSE)</f>
        <v>40.712800000000001</v>
      </c>
      <c r="Q2375">
        <f>VLOOKUP(O2375, Coordinates!$A$2:$C$6, 3, FALSE)</f>
        <v>-74.006</v>
      </c>
      <c r="R2375">
        <v>20</v>
      </c>
      <c r="S2375">
        <v>608</v>
      </c>
      <c r="T2375">
        <v>1</v>
      </c>
      <c r="U2375">
        <v>16.1537295153686</v>
      </c>
      <c r="V2375" t="s">
        <v>55</v>
      </c>
      <c r="W2375">
        <v>4.3944700796214304</v>
      </c>
      <c r="X2375" t="s">
        <v>40</v>
      </c>
      <c r="Y2375" t="s">
        <v>41</v>
      </c>
      <c r="Z2375">
        <v>995.40331153616501</v>
      </c>
    </row>
    <row r="2376" spans="1:26" x14ac:dyDescent="0.3">
      <c r="A2376" t="s">
        <v>33</v>
      </c>
      <c r="B2376" t="s">
        <v>2432</v>
      </c>
      <c r="C2376">
        <v>40.919573129807802</v>
      </c>
      <c r="D2376">
        <v>23</v>
      </c>
      <c r="E2376">
        <v>324</v>
      </c>
      <c r="F2376">
        <v>1487.20967562088</v>
      </c>
      <c r="G2376" t="s">
        <v>35</v>
      </c>
      <c r="H2376">
        <v>47</v>
      </c>
      <c r="I2376">
        <v>27</v>
      </c>
      <c r="J2376">
        <v>91</v>
      </c>
      <c r="K2376">
        <v>9</v>
      </c>
      <c r="L2376" t="s">
        <v>44</v>
      </c>
      <c r="M2376">
        <v>7.1315590860820697</v>
      </c>
      <c r="N2376" t="s">
        <v>51</v>
      </c>
      <c r="O2376" t="s">
        <v>38</v>
      </c>
      <c r="P2376">
        <f>VLOOKUP(O2376, Coordinates!$A$2:$C$6, 2, FALSE)</f>
        <v>25.761700000000001</v>
      </c>
      <c r="Q2376">
        <f>VLOOKUP(O2376, Coordinates!$A$2:$C$6, 3, FALSE)</f>
        <v>-80.191800000000001</v>
      </c>
      <c r="R2376">
        <v>18</v>
      </c>
      <c r="S2376">
        <v>376</v>
      </c>
      <c r="T2376">
        <v>24</v>
      </c>
      <c r="U2376">
        <v>30.188392747600101</v>
      </c>
      <c r="V2376" t="s">
        <v>30</v>
      </c>
      <c r="W2376">
        <v>3.48759815294077</v>
      </c>
      <c r="X2376" t="s">
        <v>46</v>
      </c>
      <c r="Y2376" t="s">
        <v>32</v>
      </c>
      <c r="Z2376">
        <v>689.44636463600705</v>
      </c>
    </row>
    <row r="2377" spans="1:26" x14ac:dyDescent="0.3">
      <c r="A2377" t="s">
        <v>61</v>
      </c>
      <c r="B2377" t="s">
        <v>2433</v>
      </c>
      <c r="C2377">
        <v>18.622560151034701</v>
      </c>
      <c r="D2377">
        <v>85</v>
      </c>
      <c r="E2377">
        <v>405</v>
      </c>
      <c r="F2377">
        <v>6371.7117470604098</v>
      </c>
      <c r="G2377" t="s">
        <v>48</v>
      </c>
      <c r="H2377">
        <v>68</v>
      </c>
      <c r="I2377">
        <v>17</v>
      </c>
      <c r="J2377">
        <v>11</v>
      </c>
      <c r="K2377">
        <v>10</v>
      </c>
      <c r="L2377" t="s">
        <v>44</v>
      </c>
      <c r="M2377">
        <v>8.9418831999999995</v>
      </c>
      <c r="N2377" t="s">
        <v>57</v>
      </c>
      <c r="O2377" t="s">
        <v>38</v>
      </c>
      <c r="P2377">
        <f>VLOOKUP(O2377, Coordinates!$A$2:$C$6, 2, FALSE)</f>
        <v>25.761700000000001</v>
      </c>
      <c r="Q2377">
        <f>VLOOKUP(O2377, Coordinates!$A$2:$C$6, 3, FALSE)</f>
        <v>-80.191800000000001</v>
      </c>
      <c r="R2377">
        <v>2</v>
      </c>
      <c r="S2377">
        <v>364</v>
      </c>
      <c r="T2377">
        <v>3</v>
      </c>
      <c r="U2377">
        <v>93.613862303702902</v>
      </c>
      <c r="V2377" t="s">
        <v>30</v>
      </c>
      <c r="W2377">
        <v>1.11758578366196</v>
      </c>
      <c r="X2377" t="s">
        <v>46</v>
      </c>
      <c r="Y2377" t="s">
        <v>41</v>
      </c>
      <c r="Z2377">
        <v>878.07969149999997</v>
      </c>
    </row>
    <row r="2378" spans="1:26" x14ac:dyDescent="0.3">
      <c r="A2378" t="s">
        <v>42</v>
      </c>
      <c r="B2378" t="s">
        <v>2434</v>
      </c>
      <c r="C2378">
        <v>6.7466835044017399</v>
      </c>
      <c r="D2378">
        <v>34</v>
      </c>
      <c r="E2378">
        <v>386</v>
      </c>
      <c r="G2378" t="s">
        <v>35</v>
      </c>
      <c r="H2378">
        <v>55</v>
      </c>
      <c r="I2378">
        <v>29</v>
      </c>
      <c r="J2378">
        <v>63</v>
      </c>
      <c r="K2378">
        <v>1</v>
      </c>
      <c r="L2378" t="s">
        <v>27</v>
      </c>
      <c r="M2378">
        <v>3.5083362477420001</v>
      </c>
      <c r="N2378" t="s">
        <v>37</v>
      </c>
      <c r="O2378" t="s">
        <v>58</v>
      </c>
      <c r="P2378">
        <f>VLOOKUP(O2378, Coordinates!$A$2:$C$6, 2, FALSE)</f>
        <v>34.052199999999999</v>
      </c>
      <c r="Q2378">
        <f>VLOOKUP(O2378, Coordinates!$A$2:$C$6, 3, FALSE)</f>
        <v>-118.2437</v>
      </c>
      <c r="R2378">
        <v>12</v>
      </c>
      <c r="S2378">
        <v>704</v>
      </c>
      <c r="T2378">
        <v>29</v>
      </c>
      <c r="U2378">
        <v>61.480972943291498</v>
      </c>
      <c r="V2378" t="s">
        <v>39</v>
      </c>
      <c r="W2378">
        <v>0.16930572683645301</v>
      </c>
      <c r="X2378" t="s">
        <v>46</v>
      </c>
      <c r="Y2378" t="s">
        <v>32</v>
      </c>
      <c r="Z2378">
        <v>994.52439647236201</v>
      </c>
    </row>
    <row r="2379" spans="1:26" x14ac:dyDescent="0.3">
      <c r="A2379" t="s">
        <v>61</v>
      </c>
      <c r="B2379" t="s">
        <v>2435</v>
      </c>
      <c r="C2379">
        <v>49.086335493427903</v>
      </c>
      <c r="D2379">
        <v>11</v>
      </c>
      <c r="E2379">
        <v>722</v>
      </c>
      <c r="F2379">
        <v>3975.69659373587</v>
      </c>
      <c r="G2379" t="s">
        <v>26</v>
      </c>
      <c r="H2379">
        <v>75</v>
      </c>
      <c r="I2379">
        <v>23</v>
      </c>
      <c r="J2379">
        <v>11</v>
      </c>
      <c r="K2379">
        <v>7</v>
      </c>
      <c r="L2379" t="s">
        <v>44</v>
      </c>
      <c r="M2379">
        <v>7.8998759337815496</v>
      </c>
      <c r="N2379" t="s">
        <v>57</v>
      </c>
      <c r="O2379" t="s">
        <v>58</v>
      </c>
      <c r="P2379">
        <f>VLOOKUP(O2379, Coordinates!$A$2:$C$6, 2, FALSE)</f>
        <v>34.052199999999999</v>
      </c>
      <c r="Q2379">
        <f>VLOOKUP(O2379, Coordinates!$A$2:$C$6, 3, FALSE)</f>
        <v>-118.2437</v>
      </c>
      <c r="R2379">
        <v>8</v>
      </c>
      <c r="S2379">
        <v>702</v>
      </c>
      <c r="T2379">
        <v>17</v>
      </c>
      <c r="U2379">
        <v>49.629285833304699</v>
      </c>
      <c r="V2379" t="s">
        <v>30</v>
      </c>
      <c r="W2379">
        <v>1.45870901307387</v>
      </c>
      <c r="X2379" t="s">
        <v>31</v>
      </c>
      <c r="Y2379" t="s">
        <v>32</v>
      </c>
      <c r="Z2379">
        <v>633.21627356589397</v>
      </c>
    </row>
    <row r="2380" spans="1:26" x14ac:dyDescent="0.3">
      <c r="A2380" t="s">
        <v>33</v>
      </c>
      <c r="B2380" t="s">
        <v>2436</v>
      </c>
      <c r="C2380">
        <v>94.590880253662206</v>
      </c>
      <c r="D2380">
        <v>86</v>
      </c>
      <c r="E2380">
        <v>621</v>
      </c>
      <c r="F2380">
        <v>1812.8670426916501</v>
      </c>
      <c r="G2380" t="s">
        <v>26</v>
      </c>
      <c r="H2380">
        <v>35</v>
      </c>
      <c r="I2380">
        <v>13</v>
      </c>
      <c r="J2380">
        <v>12</v>
      </c>
      <c r="K2380">
        <v>10</v>
      </c>
      <c r="L2380" t="s">
        <v>27</v>
      </c>
      <c r="M2380">
        <v>13.230788099604</v>
      </c>
      <c r="N2380" t="s">
        <v>57</v>
      </c>
      <c r="O2380" t="s">
        <v>65</v>
      </c>
      <c r="P2380">
        <f>VLOOKUP(O2380, Coordinates!$A$2:$C$6, 2, FALSE)</f>
        <v>41.878100000000003</v>
      </c>
      <c r="Q2380">
        <f>VLOOKUP(O2380, Coordinates!$A$2:$C$6, 3, FALSE)</f>
        <v>-87.629800000000003</v>
      </c>
      <c r="R2380">
        <v>4</v>
      </c>
      <c r="S2380">
        <v>756</v>
      </c>
      <c r="T2380">
        <v>7</v>
      </c>
      <c r="U2380">
        <v>32.513987072832897</v>
      </c>
      <c r="V2380" t="s">
        <v>30</v>
      </c>
      <c r="W2380">
        <v>0.19068636403919001</v>
      </c>
      <c r="X2380" t="s">
        <v>31</v>
      </c>
      <c r="Y2380" t="s">
        <v>41</v>
      </c>
      <c r="Z2380">
        <v>743.15652700344401</v>
      </c>
    </row>
    <row r="2381" spans="1:26" x14ac:dyDescent="0.3">
      <c r="A2381" t="s">
        <v>61</v>
      </c>
      <c r="B2381" t="s">
        <v>2437</v>
      </c>
      <c r="C2381">
        <v>35.762859615730903</v>
      </c>
      <c r="D2381">
        <v>35</v>
      </c>
      <c r="E2381">
        <v>322</v>
      </c>
      <c r="F2381">
        <v>6063.8870770417798</v>
      </c>
      <c r="G2381" t="s">
        <v>35</v>
      </c>
      <c r="H2381">
        <v>30</v>
      </c>
      <c r="I2381">
        <v>15</v>
      </c>
      <c r="J2381">
        <v>65</v>
      </c>
      <c r="K2381">
        <v>3</v>
      </c>
      <c r="L2381" t="s">
        <v>44</v>
      </c>
      <c r="M2381">
        <v>11.828485689253</v>
      </c>
      <c r="N2381" t="s">
        <v>45</v>
      </c>
      <c r="O2381" t="s">
        <v>38</v>
      </c>
      <c r="P2381">
        <f>VLOOKUP(O2381, Coordinates!$A$2:$C$6, 2, FALSE)</f>
        <v>25.761700000000001</v>
      </c>
      <c r="Q2381">
        <f>VLOOKUP(O2381, Coordinates!$A$2:$C$6, 3, FALSE)</f>
        <v>-80.191800000000001</v>
      </c>
      <c r="R2381">
        <v>28</v>
      </c>
      <c r="S2381">
        <v>459</v>
      </c>
      <c r="T2381">
        <v>10</v>
      </c>
      <c r="U2381">
        <v>22.032823807168299</v>
      </c>
      <c r="V2381" t="s">
        <v>39</v>
      </c>
      <c r="W2381">
        <v>4.3656653580000002</v>
      </c>
      <c r="X2381" t="s">
        <v>46</v>
      </c>
      <c r="Y2381" t="s">
        <v>32</v>
      </c>
      <c r="Z2381">
        <v>368.49482930891202</v>
      </c>
    </row>
    <row r="2382" spans="1:26" x14ac:dyDescent="0.3">
      <c r="A2382" t="s">
        <v>24</v>
      </c>
      <c r="B2382" t="s">
        <v>2438</v>
      </c>
      <c r="C2382">
        <v>37.7187768403506</v>
      </c>
      <c r="D2382">
        <v>93</v>
      </c>
      <c r="E2382">
        <v>807</v>
      </c>
      <c r="F2382">
        <v>27395.147619146599</v>
      </c>
      <c r="G2382" t="s">
        <v>26</v>
      </c>
      <c r="H2382">
        <v>54</v>
      </c>
      <c r="I2382">
        <v>27</v>
      </c>
      <c r="J2382">
        <v>81</v>
      </c>
      <c r="K2382">
        <v>10</v>
      </c>
      <c r="L2382" t="s">
        <v>44</v>
      </c>
      <c r="M2382">
        <v>2.1366700211862999</v>
      </c>
      <c r="N2382" t="s">
        <v>51</v>
      </c>
      <c r="O2382" t="s">
        <v>65</v>
      </c>
      <c r="P2382">
        <f>VLOOKUP(O2382, Coordinates!$A$2:$C$6, 2, FALSE)</f>
        <v>41.878100000000003</v>
      </c>
      <c r="Q2382">
        <f>VLOOKUP(O2382, Coordinates!$A$2:$C$6, 3, FALSE)</f>
        <v>-87.629800000000003</v>
      </c>
      <c r="R2382">
        <v>30</v>
      </c>
      <c r="S2382">
        <v>763</v>
      </c>
      <c r="T2382">
        <v>19</v>
      </c>
      <c r="U2382">
        <v>92.971573669999998</v>
      </c>
      <c r="V2382" t="s">
        <v>30</v>
      </c>
      <c r="W2382">
        <v>3.1806902080685502</v>
      </c>
      <c r="X2382" t="s">
        <v>31</v>
      </c>
      <c r="Y2382" t="s">
        <v>60</v>
      </c>
      <c r="Z2382">
        <v>583.07996557922399</v>
      </c>
    </row>
    <row r="2383" spans="1:26" x14ac:dyDescent="0.3">
      <c r="A2383" t="s">
        <v>61</v>
      </c>
      <c r="B2383" t="s">
        <v>2439</v>
      </c>
      <c r="C2383">
        <v>66.9623585475818</v>
      </c>
      <c r="D2383">
        <v>42</v>
      </c>
      <c r="E2383">
        <v>254</v>
      </c>
      <c r="F2383">
        <v>1940.99012335921</v>
      </c>
      <c r="G2383" t="s">
        <v>54</v>
      </c>
      <c r="H2383">
        <v>37</v>
      </c>
      <c r="I2383">
        <v>19</v>
      </c>
      <c r="J2383">
        <v>20</v>
      </c>
      <c r="K2383">
        <v>10</v>
      </c>
      <c r="L2383" t="s">
        <v>36</v>
      </c>
      <c r="M2383">
        <v>13.069011762501599</v>
      </c>
      <c r="N2383" t="s">
        <v>51</v>
      </c>
      <c r="O2383" t="s">
        <v>67</v>
      </c>
      <c r="P2383">
        <f>VLOOKUP(O2383, Coordinates!$A$2:$C$6, 2, FALSE)</f>
        <v>40.712800000000001</v>
      </c>
      <c r="Q2383">
        <f>VLOOKUP(O2383, Coordinates!$A$2:$C$6, 3, FALSE)</f>
        <v>-74.006</v>
      </c>
      <c r="R2383">
        <v>20</v>
      </c>
      <c r="S2383">
        <v>766</v>
      </c>
      <c r="T2383">
        <v>24</v>
      </c>
      <c r="U2383">
        <v>93.012990339816994</v>
      </c>
      <c r="V2383" t="s">
        <v>30</v>
      </c>
      <c r="W2383">
        <v>3.7254253405901201</v>
      </c>
      <c r="X2383" t="s">
        <v>52</v>
      </c>
      <c r="Y2383" t="s">
        <v>41</v>
      </c>
      <c r="Z2383">
        <v>920.75716633223897</v>
      </c>
    </row>
    <row r="2384" spans="1:26" x14ac:dyDescent="0.3">
      <c r="A2384" t="s">
        <v>33</v>
      </c>
      <c r="B2384" t="s">
        <v>2440</v>
      </c>
      <c r="C2384">
        <v>28.852609848190902</v>
      </c>
      <c r="D2384">
        <v>28</v>
      </c>
      <c r="E2384">
        <v>529</v>
      </c>
      <c r="F2384">
        <v>6512.40556387375</v>
      </c>
      <c r="G2384" t="s">
        <v>48</v>
      </c>
      <c r="H2384">
        <v>72</v>
      </c>
      <c r="I2384">
        <v>20</v>
      </c>
      <c r="J2384">
        <v>85</v>
      </c>
      <c r="K2384">
        <v>4</v>
      </c>
      <c r="L2384" t="s">
        <v>27</v>
      </c>
      <c r="M2384">
        <v>4.8335933638789701</v>
      </c>
      <c r="N2384" t="s">
        <v>57</v>
      </c>
      <c r="O2384" t="s">
        <v>29</v>
      </c>
      <c r="P2384">
        <f>VLOOKUP(O2384, Coordinates!$A$2:$C$6, 2, FALSE)</f>
        <v>29.760400000000001</v>
      </c>
      <c r="Q2384">
        <f>VLOOKUP(O2384, Coordinates!$A$2:$C$6, 3, FALSE)</f>
        <v>-95.369799999999998</v>
      </c>
      <c r="R2384">
        <v>23</v>
      </c>
      <c r="S2384">
        <v>235</v>
      </c>
      <c r="T2384">
        <v>9</v>
      </c>
      <c r="U2384">
        <v>14.3840256109787</v>
      </c>
      <c r="V2384" t="s">
        <v>30</v>
      </c>
      <c r="W2384">
        <v>2.34008450002879</v>
      </c>
      <c r="X2384" t="s">
        <v>46</v>
      </c>
      <c r="Y2384" t="s">
        <v>41</v>
      </c>
      <c r="Z2384">
        <v>867.98975876288603</v>
      </c>
    </row>
    <row r="2385" spans="1:26" x14ac:dyDescent="0.3">
      <c r="A2385" t="s">
        <v>72</v>
      </c>
      <c r="B2385" t="s">
        <v>2441</v>
      </c>
      <c r="C2385">
        <v>37.245131430488101</v>
      </c>
      <c r="D2385">
        <v>82</v>
      </c>
      <c r="E2385">
        <v>679</v>
      </c>
      <c r="F2385">
        <v>22760.4998171712</v>
      </c>
      <c r="G2385" t="s">
        <v>48</v>
      </c>
      <c r="H2385">
        <v>89</v>
      </c>
      <c r="I2385">
        <v>14</v>
      </c>
      <c r="J2385">
        <v>41</v>
      </c>
      <c r="K2385">
        <v>6</v>
      </c>
      <c r="L2385" t="s">
        <v>36</v>
      </c>
      <c r="M2385">
        <v>10.3200274907595</v>
      </c>
      <c r="N2385" t="s">
        <v>45</v>
      </c>
      <c r="O2385" t="s">
        <v>38</v>
      </c>
      <c r="P2385">
        <f>VLOOKUP(O2385, Coordinates!$A$2:$C$6, 2, FALSE)</f>
        <v>25.761700000000001</v>
      </c>
      <c r="Q2385">
        <f>VLOOKUP(O2385, Coordinates!$A$2:$C$6, 3, FALSE)</f>
        <v>-80.191800000000001</v>
      </c>
      <c r="R2385">
        <v>28</v>
      </c>
      <c r="S2385">
        <v>864</v>
      </c>
      <c r="T2385">
        <v>18</v>
      </c>
      <c r="U2385">
        <v>80.592215420000002</v>
      </c>
      <c r="V2385" t="s">
        <v>39</v>
      </c>
      <c r="W2385">
        <v>3.59740633399467</v>
      </c>
      <c r="X2385" t="s">
        <v>46</v>
      </c>
      <c r="Y2385" t="s">
        <v>32</v>
      </c>
      <c r="Z2385">
        <v>375.65912370200601</v>
      </c>
    </row>
    <row r="2386" spans="1:26" x14ac:dyDescent="0.3">
      <c r="A2386" t="s">
        <v>24</v>
      </c>
      <c r="B2386" t="s">
        <v>2442</v>
      </c>
      <c r="C2386">
        <v>31.3450653499551</v>
      </c>
      <c r="D2386">
        <v>78</v>
      </c>
      <c r="E2386">
        <v>559</v>
      </c>
      <c r="F2386">
        <v>15769.7023775624</v>
      </c>
      <c r="G2386" t="s">
        <v>26</v>
      </c>
      <c r="H2386">
        <v>14</v>
      </c>
      <c r="I2386">
        <v>21</v>
      </c>
      <c r="J2386">
        <v>13</v>
      </c>
      <c r="K2386">
        <v>8</v>
      </c>
      <c r="L2386" t="s">
        <v>44</v>
      </c>
      <c r="M2386">
        <v>3.04936067199823</v>
      </c>
      <c r="N2386" t="s">
        <v>37</v>
      </c>
      <c r="O2386" t="s">
        <v>65</v>
      </c>
      <c r="P2386">
        <f>VLOOKUP(O2386, Coordinates!$A$2:$C$6, 2, FALSE)</f>
        <v>41.878100000000003</v>
      </c>
      <c r="Q2386">
        <f>VLOOKUP(O2386, Coordinates!$A$2:$C$6, 3, FALSE)</f>
        <v>-87.629800000000003</v>
      </c>
      <c r="R2386">
        <v>9</v>
      </c>
      <c r="S2386">
        <v>527</v>
      </c>
      <c r="T2386">
        <v>15</v>
      </c>
      <c r="U2386">
        <v>89.354540552849897</v>
      </c>
      <c r="V2386" t="s">
        <v>55</v>
      </c>
      <c r="W2386">
        <v>0.77942518133004701</v>
      </c>
      <c r="X2386" t="s">
        <v>52</v>
      </c>
      <c r="Y2386" t="s">
        <v>41</v>
      </c>
      <c r="Z2386">
        <v>421.49610100539797</v>
      </c>
    </row>
    <row r="2387" spans="1:26" x14ac:dyDescent="0.3">
      <c r="A2387" t="s">
        <v>61</v>
      </c>
      <c r="B2387" t="s">
        <v>2443</v>
      </c>
      <c r="C2387">
        <v>16.5907042898044</v>
      </c>
      <c r="D2387">
        <v>82</v>
      </c>
      <c r="E2387">
        <v>902</v>
      </c>
      <c r="F2387">
        <v>9148.3586943618393</v>
      </c>
      <c r="G2387" t="s">
        <v>48</v>
      </c>
      <c r="H2387">
        <v>15</v>
      </c>
      <c r="I2387">
        <v>13</v>
      </c>
      <c r="J2387">
        <v>18</v>
      </c>
      <c r="K2387">
        <v>4</v>
      </c>
      <c r="L2387" t="s">
        <v>27</v>
      </c>
      <c r="M2387">
        <v>10.4450211812012</v>
      </c>
      <c r="N2387" t="s">
        <v>37</v>
      </c>
      <c r="O2387" t="s">
        <v>29</v>
      </c>
      <c r="P2387">
        <f>VLOOKUP(O2387, Coordinates!$A$2:$C$6, 2, FALSE)</f>
        <v>29.760400000000001</v>
      </c>
      <c r="Q2387">
        <f>VLOOKUP(O2387, Coordinates!$A$2:$C$6, 3, FALSE)</f>
        <v>-95.369799999999998</v>
      </c>
      <c r="R2387">
        <v>9</v>
      </c>
      <c r="S2387">
        <v>929</v>
      </c>
      <c r="T2387">
        <v>17</v>
      </c>
      <c r="U2387">
        <v>46.7890624359108</v>
      </c>
      <c r="V2387" t="s">
        <v>39</v>
      </c>
      <c r="W2387">
        <v>1.5839758526635299</v>
      </c>
      <c r="X2387" t="s">
        <v>31</v>
      </c>
      <c r="Y2387" t="s">
        <v>41</v>
      </c>
      <c r="Z2387">
        <v>861.736248648686</v>
      </c>
    </row>
    <row r="2388" spans="1:26" x14ac:dyDescent="0.3">
      <c r="A2388" t="s">
        <v>49</v>
      </c>
      <c r="B2388" t="s">
        <v>2444</v>
      </c>
      <c r="C2388">
        <v>71.631412128170496</v>
      </c>
      <c r="D2388">
        <v>92</v>
      </c>
      <c r="E2388">
        <v>956</v>
      </c>
      <c r="F2388">
        <v>4685.2366769989903</v>
      </c>
      <c r="G2388" t="s">
        <v>54</v>
      </c>
      <c r="H2388">
        <v>76</v>
      </c>
      <c r="I2388">
        <v>12</v>
      </c>
      <c r="J2388">
        <v>97</v>
      </c>
      <c r="K2388">
        <v>9</v>
      </c>
      <c r="L2388" t="s">
        <v>36</v>
      </c>
      <c r="M2388">
        <v>1.49982000400028</v>
      </c>
      <c r="N2388" t="s">
        <v>51</v>
      </c>
      <c r="O2388" t="s">
        <v>38</v>
      </c>
      <c r="P2388">
        <f>VLOOKUP(O2388, Coordinates!$A$2:$C$6, 2, FALSE)</f>
        <v>25.761700000000001</v>
      </c>
      <c r="Q2388">
        <f>VLOOKUP(O2388, Coordinates!$A$2:$C$6, 3, FALSE)</f>
        <v>-80.191800000000001</v>
      </c>
      <c r="R2388">
        <v>12</v>
      </c>
      <c r="S2388">
        <v>128</v>
      </c>
      <c r="T2388">
        <v>24</v>
      </c>
      <c r="U2388">
        <v>14.054617734914499</v>
      </c>
      <c r="V2388" t="s">
        <v>55</v>
      </c>
      <c r="W2388">
        <v>3.5644192363887601</v>
      </c>
      <c r="X2388" t="s">
        <v>46</v>
      </c>
      <c r="Y2388" t="s">
        <v>60</v>
      </c>
      <c r="Z2388">
        <v>356.20652038632397</v>
      </c>
    </row>
    <row r="2389" spans="1:26" x14ac:dyDescent="0.3">
      <c r="A2389" t="s">
        <v>49</v>
      </c>
      <c r="B2389" t="s">
        <v>2445</v>
      </c>
      <c r="C2389">
        <v>15.776877624872</v>
      </c>
      <c r="D2389">
        <v>24</v>
      </c>
      <c r="E2389">
        <v>627</v>
      </c>
      <c r="F2389">
        <v>9577.6549175992295</v>
      </c>
      <c r="G2389" t="s">
        <v>26</v>
      </c>
      <c r="H2389">
        <v>88</v>
      </c>
      <c r="I2389">
        <v>24</v>
      </c>
      <c r="J2389">
        <v>65</v>
      </c>
      <c r="K2389">
        <v>8</v>
      </c>
      <c r="L2389" t="s">
        <v>44</v>
      </c>
      <c r="M2389">
        <v>9.4090258149999997</v>
      </c>
      <c r="N2389" t="s">
        <v>57</v>
      </c>
      <c r="O2389" t="s">
        <v>58</v>
      </c>
      <c r="P2389">
        <f>VLOOKUP(O2389, Coordinates!$A$2:$C$6, 2, FALSE)</f>
        <v>34.052199999999999</v>
      </c>
      <c r="Q2389">
        <f>VLOOKUP(O2389, Coordinates!$A$2:$C$6, 3, FALSE)</f>
        <v>-118.2437</v>
      </c>
      <c r="R2389">
        <v>14</v>
      </c>
      <c r="S2389">
        <v>694</v>
      </c>
      <c r="T2389">
        <v>26</v>
      </c>
      <c r="U2389">
        <v>62.630398279722797</v>
      </c>
      <c r="V2389" t="s">
        <v>30</v>
      </c>
      <c r="W2389">
        <v>1.8244555804254701</v>
      </c>
      <c r="X2389" t="s">
        <v>52</v>
      </c>
      <c r="Y2389" t="s">
        <v>60</v>
      </c>
      <c r="Z2389">
        <v>898.85617144011803</v>
      </c>
    </row>
    <row r="2390" spans="1:26" x14ac:dyDescent="0.3">
      <c r="A2390" t="s">
        <v>61</v>
      </c>
      <c r="B2390" t="s">
        <v>2446</v>
      </c>
      <c r="C2390">
        <v>99.706375765988696</v>
      </c>
      <c r="D2390">
        <v>8</v>
      </c>
      <c r="E2390">
        <v>721</v>
      </c>
      <c r="F2390">
        <v>8788.86464574417</v>
      </c>
      <c r="G2390" t="s">
        <v>54</v>
      </c>
      <c r="H2390">
        <v>93</v>
      </c>
      <c r="I2390">
        <v>29</v>
      </c>
      <c r="J2390">
        <v>25</v>
      </c>
      <c r="K2390">
        <v>10</v>
      </c>
      <c r="L2390" t="s">
        <v>36</v>
      </c>
      <c r="M2390">
        <v>10.0431623906588</v>
      </c>
      <c r="N2390" t="s">
        <v>45</v>
      </c>
      <c r="O2390" t="s">
        <v>38</v>
      </c>
      <c r="P2390">
        <f>VLOOKUP(O2390, Coordinates!$A$2:$C$6, 2, FALSE)</f>
        <v>25.761700000000001</v>
      </c>
      <c r="Q2390">
        <f>VLOOKUP(O2390, Coordinates!$A$2:$C$6, 3, FALSE)</f>
        <v>-80.191800000000001</v>
      </c>
      <c r="R2390">
        <v>28</v>
      </c>
      <c r="S2390">
        <v>429</v>
      </c>
      <c r="T2390">
        <v>22</v>
      </c>
      <c r="U2390">
        <v>53.519973886089197</v>
      </c>
      <c r="V2390" t="s">
        <v>39</v>
      </c>
      <c r="W2390">
        <v>4.7346804714059401</v>
      </c>
      <c r="X2390" t="s">
        <v>40</v>
      </c>
      <c r="Y2390" t="s">
        <v>41</v>
      </c>
      <c r="Z2390">
        <v>796.39249840000002</v>
      </c>
    </row>
    <row r="2391" spans="1:26" x14ac:dyDescent="0.3">
      <c r="A2391" t="s">
        <v>72</v>
      </c>
      <c r="B2391" t="s">
        <v>2447</v>
      </c>
      <c r="C2391">
        <v>35.598506944356501</v>
      </c>
      <c r="D2391">
        <v>53</v>
      </c>
      <c r="E2391">
        <v>900</v>
      </c>
      <c r="F2391">
        <v>28834.790624928701</v>
      </c>
      <c r="G2391" t="s">
        <v>54</v>
      </c>
      <c r="H2391">
        <v>52</v>
      </c>
      <c r="I2391">
        <v>23</v>
      </c>
      <c r="J2391">
        <v>90</v>
      </c>
      <c r="K2391">
        <v>10</v>
      </c>
      <c r="L2391" t="s">
        <v>44</v>
      </c>
      <c r="M2391">
        <v>4.4229539968268901</v>
      </c>
      <c r="N2391" t="s">
        <v>45</v>
      </c>
      <c r="O2391" t="s">
        <v>38</v>
      </c>
      <c r="P2391">
        <f>VLOOKUP(O2391, Coordinates!$A$2:$C$6, 2, FALSE)</f>
        <v>25.761700000000001</v>
      </c>
      <c r="Q2391">
        <f>VLOOKUP(O2391, Coordinates!$A$2:$C$6, 3, FALSE)</f>
        <v>-80.191800000000001</v>
      </c>
      <c r="R2391">
        <v>27</v>
      </c>
      <c r="S2391">
        <v>133</v>
      </c>
      <c r="T2391">
        <v>26</v>
      </c>
      <c r="U2391">
        <v>92.898207011150205</v>
      </c>
      <c r="V2391" t="s">
        <v>39</v>
      </c>
      <c r="W2391">
        <v>4.8601545463660898</v>
      </c>
      <c r="X2391" t="s">
        <v>52</v>
      </c>
      <c r="Y2391" t="s">
        <v>32</v>
      </c>
      <c r="Z2391">
        <v>237.120834088018</v>
      </c>
    </row>
    <row r="2392" spans="1:26" x14ac:dyDescent="0.3">
      <c r="A2392" t="s">
        <v>42</v>
      </c>
      <c r="B2392" t="s">
        <v>2448</v>
      </c>
      <c r="C2392">
        <v>61.443476961863396</v>
      </c>
      <c r="D2392">
        <v>72</v>
      </c>
      <c r="E2392">
        <v>260</v>
      </c>
      <c r="F2392">
        <v>2433.54733614512</v>
      </c>
      <c r="G2392" t="s">
        <v>48</v>
      </c>
      <c r="H2392">
        <v>55</v>
      </c>
      <c r="I2392">
        <v>9</v>
      </c>
      <c r="J2392">
        <v>95</v>
      </c>
      <c r="K2392">
        <v>6</v>
      </c>
      <c r="L2392" t="s">
        <v>44</v>
      </c>
      <c r="M2392">
        <v>14.117665255946701</v>
      </c>
      <c r="N2392" t="s">
        <v>37</v>
      </c>
      <c r="O2392" t="s">
        <v>38</v>
      </c>
      <c r="P2392">
        <f>VLOOKUP(O2392, Coordinates!$A$2:$C$6, 2, FALSE)</f>
        <v>25.761700000000001</v>
      </c>
      <c r="Q2392">
        <f>VLOOKUP(O2392, Coordinates!$A$2:$C$6, 3, FALSE)</f>
        <v>-80.191800000000001</v>
      </c>
      <c r="R2392">
        <v>6</v>
      </c>
      <c r="S2392">
        <v>603</v>
      </c>
      <c r="T2392">
        <v>17</v>
      </c>
      <c r="U2392">
        <v>58.8410314562325</v>
      </c>
      <c r="V2392" t="s">
        <v>39</v>
      </c>
      <c r="W2392">
        <v>2.9741243803262001</v>
      </c>
      <c r="X2392" t="s">
        <v>46</v>
      </c>
      <c r="Y2392" t="s">
        <v>60</v>
      </c>
      <c r="Z2392">
        <v>747.78848208712805</v>
      </c>
    </row>
    <row r="2393" spans="1:26" x14ac:dyDescent="0.3">
      <c r="A2393" t="s">
        <v>33</v>
      </c>
      <c r="B2393" t="s">
        <v>2449</v>
      </c>
      <c r="C2393">
        <v>44.080584284195901</v>
      </c>
      <c r="D2393">
        <v>4</v>
      </c>
      <c r="E2393">
        <v>311</v>
      </c>
      <c r="F2393">
        <v>4918.5045651521204</v>
      </c>
      <c r="G2393" t="s">
        <v>48</v>
      </c>
      <c r="H2393">
        <v>6</v>
      </c>
      <c r="I2393">
        <v>27</v>
      </c>
      <c r="J2393">
        <v>80</v>
      </c>
      <c r="K2393">
        <v>7</v>
      </c>
      <c r="L2393" t="s">
        <v>27</v>
      </c>
      <c r="M2393">
        <v>1.6436134208067099</v>
      </c>
      <c r="N2393" t="s">
        <v>37</v>
      </c>
      <c r="O2393" t="s">
        <v>29</v>
      </c>
      <c r="P2393">
        <f>VLOOKUP(O2393, Coordinates!$A$2:$C$6, 2, FALSE)</f>
        <v>29.760400000000001</v>
      </c>
      <c r="Q2393">
        <f>VLOOKUP(O2393, Coordinates!$A$2:$C$6, 3, FALSE)</f>
        <v>-95.369799999999998</v>
      </c>
      <c r="R2393">
        <v>15</v>
      </c>
      <c r="S2393">
        <v>927</v>
      </c>
      <c r="T2393">
        <v>19</v>
      </c>
      <c r="U2393">
        <v>45.836000618236199</v>
      </c>
      <c r="V2393" t="s">
        <v>55</v>
      </c>
      <c r="W2393">
        <v>4.0476930299999996</v>
      </c>
      <c r="X2393" t="s">
        <v>52</v>
      </c>
      <c r="Y2393" t="s">
        <v>60</v>
      </c>
      <c r="Z2393">
        <v>850.89420588511996</v>
      </c>
    </row>
    <row r="2394" spans="1:26" x14ac:dyDescent="0.3">
      <c r="A2394" t="s">
        <v>49</v>
      </c>
      <c r="B2394" t="s">
        <v>2450</v>
      </c>
      <c r="C2394">
        <v>17.006710128538302</v>
      </c>
      <c r="D2394">
        <v>91</v>
      </c>
      <c r="E2394">
        <v>954</v>
      </c>
      <c r="F2394">
        <v>4617.0883720000002</v>
      </c>
      <c r="G2394" t="s">
        <v>35</v>
      </c>
      <c r="H2394">
        <v>56</v>
      </c>
      <c r="I2394">
        <v>3</v>
      </c>
      <c r="J2394">
        <v>19</v>
      </c>
      <c r="K2394">
        <v>8</v>
      </c>
      <c r="L2394" t="s">
        <v>27</v>
      </c>
      <c r="M2394">
        <v>13.483930574989101</v>
      </c>
      <c r="N2394" t="s">
        <v>28</v>
      </c>
      <c r="O2394" t="s">
        <v>65</v>
      </c>
      <c r="P2394">
        <f>VLOOKUP(O2394, Coordinates!$A$2:$C$6, 2, FALSE)</f>
        <v>41.878100000000003</v>
      </c>
      <c r="Q2394">
        <f>VLOOKUP(O2394, Coordinates!$A$2:$C$6, 3, FALSE)</f>
        <v>-87.629800000000003</v>
      </c>
      <c r="R2394">
        <v>23</v>
      </c>
      <c r="S2394">
        <v>203</v>
      </c>
      <c r="T2394">
        <v>9</v>
      </c>
      <c r="U2394">
        <v>76.398102803050307</v>
      </c>
      <c r="V2394" t="s">
        <v>30</v>
      </c>
      <c r="W2394">
        <v>2.3472251430281701</v>
      </c>
      <c r="X2394" t="s">
        <v>31</v>
      </c>
      <c r="Y2394" t="s">
        <v>60</v>
      </c>
      <c r="Z2394">
        <v>229.90847694856799</v>
      </c>
    </row>
    <row r="2395" spans="1:26" x14ac:dyDescent="0.3">
      <c r="A2395" t="s">
        <v>42</v>
      </c>
      <c r="B2395" t="s">
        <v>2451</v>
      </c>
      <c r="C2395">
        <v>7.6451712198542703</v>
      </c>
      <c r="D2395">
        <v>100</v>
      </c>
      <c r="E2395">
        <v>148</v>
      </c>
      <c r="F2395">
        <v>6181.47374798083</v>
      </c>
      <c r="H2395">
        <v>54</v>
      </c>
      <c r="I2395">
        <v>30</v>
      </c>
      <c r="J2395">
        <v>45</v>
      </c>
      <c r="K2395">
        <v>2</v>
      </c>
      <c r="L2395" t="s">
        <v>27</v>
      </c>
      <c r="M2395">
        <v>6.3465648269954302</v>
      </c>
      <c r="N2395" t="s">
        <v>28</v>
      </c>
      <c r="O2395" t="s">
        <v>65</v>
      </c>
      <c r="P2395">
        <f>VLOOKUP(O2395, Coordinates!$A$2:$C$6, 2, FALSE)</f>
        <v>41.878100000000003</v>
      </c>
      <c r="Q2395">
        <f>VLOOKUP(O2395, Coordinates!$A$2:$C$6, 3, FALSE)</f>
        <v>-87.629800000000003</v>
      </c>
      <c r="R2395">
        <v>19</v>
      </c>
      <c r="S2395">
        <v>593</v>
      </c>
      <c r="T2395">
        <v>25</v>
      </c>
      <c r="U2395">
        <v>12.251901500826101</v>
      </c>
      <c r="V2395" t="s">
        <v>55</v>
      </c>
      <c r="W2395">
        <v>0.57769628200000001</v>
      </c>
      <c r="X2395" t="s">
        <v>46</v>
      </c>
      <c r="Y2395" t="s">
        <v>32</v>
      </c>
      <c r="Z2395">
        <v>511.61392446599899</v>
      </c>
    </row>
    <row r="2396" spans="1:26" x14ac:dyDescent="0.3">
      <c r="A2396" t="s">
        <v>61</v>
      </c>
      <c r="B2396" t="s">
        <v>2452</v>
      </c>
      <c r="C2396">
        <v>64.159566817819098</v>
      </c>
      <c r="D2396">
        <v>5</v>
      </c>
      <c r="E2396">
        <v>662</v>
      </c>
      <c r="F2396">
        <v>6250.47609094973</v>
      </c>
      <c r="G2396" t="s">
        <v>48</v>
      </c>
      <c r="H2396">
        <v>51</v>
      </c>
      <c r="I2396">
        <v>11</v>
      </c>
      <c r="J2396">
        <v>33</v>
      </c>
      <c r="K2396">
        <v>10</v>
      </c>
      <c r="L2396" t="s">
        <v>44</v>
      </c>
      <c r="M2396">
        <v>10.994806383835</v>
      </c>
      <c r="N2396" t="s">
        <v>57</v>
      </c>
      <c r="O2396" t="s">
        <v>29</v>
      </c>
      <c r="P2396">
        <f>VLOOKUP(O2396, Coordinates!$A$2:$C$6, 2, FALSE)</f>
        <v>29.760400000000001</v>
      </c>
      <c r="Q2396">
        <f>VLOOKUP(O2396, Coordinates!$A$2:$C$6, 3, FALSE)</f>
        <v>-95.369799999999998</v>
      </c>
      <c r="R2396">
        <v>4</v>
      </c>
      <c r="S2396">
        <v>470</v>
      </c>
      <c r="T2396">
        <v>6</v>
      </c>
      <c r="U2396">
        <v>58.6926118787135</v>
      </c>
      <c r="V2396" t="s">
        <v>39</v>
      </c>
      <c r="W2396">
        <v>4.1918371595472399</v>
      </c>
      <c r="X2396" t="s">
        <v>46</v>
      </c>
      <c r="Y2396" t="s">
        <v>41</v>
      </c>
      <c r="Z2396">
        <v>982.14548330876096</v>
      </c>
    </row>
    <row r="2397" spans="1:26" x14ac:dyDescent="0.3">
      <c r="A2397" t="s">
        <v>42</v>
      </c>
      <c r="B2397" t="s">
        <v>2453</v>
      </c>
      <c r="C2397">
        <v>81.641968559966898</v>
      </c>
      <c r="D2397">
        <v>97</v>
      </c>
      <c r="E2397">
        <v>395</v>
      </c>
      <c r="F2397">
        <v>7749.8828594197703</v>
      </c>
      <c r="G2397" t="s">
        <v>54</v>
      </c>
      <c r="H2397">
        <v>3</v>
      </c>
      <c r="I2397">
        <v>10</v>
      </c>
      <c r="J2397">
        <v>73</v>
      </c>
      <c r="K2397">
        <v>7</v>
      </c>
      <c r="L2397" t="s">
        <v>36</v>
      </c>
      <c r="M2397">
        <v>10.121677982871001</v>
      </c>
      <c r="N2397" t="s">
        <v>28</v>
      </c>
      <c r="O2397" t="s">
        <v>38</v>
      </c>
      <c r="P2397">
        <f>VLOOKUP(O2397, Coordinates!$A$2:$C$6, 2, FALSE)</f>
        <v>25.761700000000001</v>
      </c>
      <c r="Q2397">
        <f>VLOOKUP(O2397, Coordinates!$A$2:$C$6, 3, FALSE)</f>
        <v>-80.191800000000001</v>
      </c>
      <c r="R2397">
        <v>30</v>
      </c>
      <c r="S2397">
        <v>487</v>
      </c>
      <c r="T2397">
        <v>19</v>
      </c>
      <c r="U2397">
        <v>20.248858344610799</v>
      </c>
      <c r="V2397" t="s">
        <v>30</v>
      </c>
      <c r="W2397">
        <v>0.35698552300766601</v>
      </c>
      <c r="X2397" t="s">
        <v>31</v>
      </c>
      <c r="Y2397" t="s">
        <v>41</v>
      </c>
      <c r="Z2397">
        <v>278.78500708497899</v>
      </c>
    </row>
    <row r="2398" spans="1:26" x14ac:dyDescent="0.3">
      <c r="A2398" t="s">
        <v>24</v>
      </c>
      <c r="B2398" t="s">
        <v>2454</v>
      </c>
      <c r="C2398">
        <v>26.7177090486142</v>
      </c>
      <c r="D2398">
        <v>49</v>
      </c>
      <c r="E2398">
        <v>817</v>
      </c>
      <c r="F2398">
        <v>19645.531463446001</v>
      </c>
      <c r="G2398" t="s">
        <v>35</v>
      </c>
      <c r="H2398">
        <v>42</v>
      </c>
      <c r="I2398">
        <v>1</v>
      </c>
      <c r="J2398">
        <v>65</v>
      </c>
      <c r="K2398">
        <v>8</v>
      </c>
      <c r="L2398" t="s">
        <v>27</v>
      </c>
      <c r="M2398">
        <v>3.3554470243919301</v>
      </c>
      <c r="N2398" t="s">
        <v>45</v>
      </c>
      <c r="O2398" t="s">
        <v>38</v>
      </c>
      <c r="P2398">
        <f>VLOOKUP(O2398, Coordinates!$A$2:$C$6, 2, FALSE)</f>
        <v>25.761700000000001</v>
      </c>
      <c r="Q2398">
        <f>VLOOKUP(O2398, Coordinates!$A$2:$C$6, 3, FALSE)</f>
        <v>-80.191800000000001</v>
      </c>
      <c r="R2398">
        <v>28</v>
      </c>
      <c r="S2398">
        <v>844</v>
      </c>
      <c r="T2398">
        <v>8</v>
      </c>
      <c r="U2398">
        <v>92.134011942345495</v>
      </c>
      <c r="V2398" t="s">
        <v>39</v>
      </c>
      <c r="W2398">
        <v>4.0837834258543797</v>
      </c>
      <c r="X2398" t="s">
        <v>31</v>
      </c>
      <c r="Y2398" t="s">
        <v>60</v>
      </c>
      <c r="Z2398">
        <v>504.18023005407701</v>
      </c>
    </row>
    <row r="2399" spans="1:26" x14ac:dyDescent="0.3">
      <c r="A2399" t="s">
        <v>82</v>
      </c>
      <c r="B2399" t="s">
        <v>2455</v>
      </c>
      <c r="C2399">
        <v>50.857779942308703</v>
      </c>
      <c r="D2399">
        <v>98</v>
      </c>
      <c r="E2399">
        <v>680</v>
      </c>
      <c r="F2399">
        <v>1943.4037679999999</v>
      </c>
      <c r="G2399" t="s">
        <v>54</v>
      </c>
      <c r="H2399">
        <v>39</v>
      </c>
      <c r="I2399">
        <v>17</v>
      </c>
      <c r="J2399">
        <v>87</v>
      </c>
      <c r="K2399">
        <v>5</v>
      </c>
      <c r="L2399" t="s">
        <v>27</v>
      </c>
      <c r="M2399">
        <v>5.4659898582580198</v>
      </c>
      <c r="N2399" t="s">
        <v>28</v>
      </c>
      <c r="O2399" t="s">
        <v>38</v>
      </c>
      <c r="P2399">
        <f>VLOOKUP(O2399, Coordinates!$A$2:$C$6, 2, FALSE)</f>
        <v>25.761700000000001</v>
      </c>
      <c r="Q2399">
        <f>VLOOKUP(O2399, Coordinates!$A$2:$C$6, 3, FALSE)</f>
        <v>-80.191800000000001</v>
      </c>
      <c r="R2399">
        <v>27</v>
      </c>
      <c r="S2399">
        <v>336</v>
      </c>
      <c r="T2399">
        <v>6</v>
      </c>
      <c r="U2399">
        <v>81.201278517221397</v>
      </c>
      <c r="V2399" t="s">
        <v>39</v>
      </c>
      <c r="W2399">
        <v>1.30538668078623</v>
      </c>
      <c r="X2399" t="s">
        <v>31</v>
      </c>
      <c r="Y2399" t="s">
        <v>41</v>
      </c>
      <c r="Z2399">
        <v>651.49318919104496</v>
      </c>
    </row>
    <row r="2400" spans="1:26" x14ac:dyDescent="0.3">
      <c r="A2400" t="s">
        <v>49</v>
      </c>
      <c r="B2400" t="s">
        <v>2456</v>
      </c>
      <c r="C2400">
        <v>78.858269382326597</v>
      </c>
      <c r="D2400">
        <v>30</v>
      </c>
      <c r="E2400">
        <v>173</v>
      </c>
      <c r="F2400">
        <v>8724.6220199779491</v>
      </c>
      <c r="G2400" t="s">
        <v>26</v>
      </c>
      <c r="H2400">
        <v>29</v>
      </c>
      <c r="I2400">
        <v>28</v>
      </c>
      <c r="J2400">
        <v>87</v>
      </c>
      <c r="K2400">
        <v>3</v>
      </c>
      <c r="L2400" t="s">
        <v>27</v>
      </c>
      <c r="M2400">
        <v>8.4154287327754709</v>
      </c>
      <c r="N2400" t="s">
        <v>51</v>
      </c>
      <c r="O2400" t="s">
        <v>29</v>
      </c>
      <c r="P2400">
        <f>VLOOKUP(O2400, Coordinates!$A$2:$C$6, 2, FALSE)</f>
        <v>29.760400000000001</v>
      </c>
      <c r="Q2400">
        <f>VLOOKUP(O2400, Coordinates!$A$2:$C$6, 3, FALSE)</f>
        <v>-95.369799999999998</v>
      </c>
      <c r="R2400">
        <v>9</v>
      </c>
      <c r="S2400">
        <v>834</v>
      </c>
      <c r="T2400">
        <v>17</v>
      </c>
      <c r="U2400">
        <v>22.821467163436001</v>
      </c>
      <c r="V2400" t="s">
        <v>30</v>
      </c>
      <c r="W2400">
        <v>4.6815907816004199</v>
      </c>
      <c r="X2400" t="s">
        <v>40</v>
      </c>
      <c r="Y2400" t="s">
        <v>60</v>
      </c>
      <c r="Z2400">
        <v>187.52712346836501</v>
      </c>
    </row>
    <row r="2401" spans="1:26" x14ac:dyDescent="0.3">
      <c r="A2401" t="s">
        <v>61</v>
      </c>
      <c r="B2401" t="s">
        <v>2457</v>
      </c>
      <c r="C2401">
        <v>68.920477681411697</v>
      </c>
      <c r="D2401">
        <v>72</v>
      </c>
      <c r="E2401">
        <v>994</v>
      </c>
      <c r="F2401">
        <v>3787.8812486666802</v>
      </c>
      <c r="G2401" t="s">
        <v>35</v>
      </c>
      <c r="H2401">
        <v>9</v>
      </c>
      <c r="I2401">
        <v>26</v>
      </c>
      <c r="J2401">
        <v>98</v>
      </c>
      <c r="K2401">
        <v>6</v>
      </c>
      <c r="L2401" t="s">
        <v>27</v>
      </c>
      <c r="M2401">
        <v>12.8511437853844</v>
      </c>
      <c r="N2401" t="s">
        <v>51</v>
      </c>
      <c r="O2401" t="s">
        <v>38</v>
      </c>
      <c r="P2401">
        <f>VLOOKUP(O2401, Coordinates!$A$2:$C$6, 2, FALSE)</f>
        <v>25.761700000000001</v>
      </c>
      <c r="Q2401">
        <f>VLOOKUP(O2401, Coordinates!$A$2:$C$6, 3, FALSE)</f>
        <v>-80.191800000000001</v>
      </c>
      <c r="R2401">
        <v>23</v>
      </c>
      <c r="S2401">
        <v>189</v>
      </c>
      <c r="T2401">
        <v>6</v>
      </c>
      <c r="U2401">
        <v>94.222931389523595</v>
      </c>
      <c r="V2401" t="s">
        <v>30</v>
      </c>
      <c r="W2401">
        <v>3.6877159897426899</v>
      </c>
      <c r="X2401" t="s">
        <v>46</v>
      </c>
      <c r="Y2401" t="s">
        <v>60</v>
      </c>
      <c r="Z2401">
        <v>290.85020936017202</v>
      </c>
    </row>
    <row r="2402" spans="1:26" x14ac:dyDescent="0.3">
      <c r="A2402" t="s">
        <v>33</v>
      </c>
      <c r="B2402" t="s">
        <v>2458</v>
      </c>
      <c r="D2402">
        <v>63</v>
      </c>
      <c r="E2402">
        <v>302</v>
      </c>
      <c r="F2402">
        <v>9741.6771427593194</v>
      </c>
      <c r="G2402" t="s">
        <v>35</v>
      </c>
      <c r="H2402">
        <v>93</v>
      </c>
      <c r="I2402">
        <v>13</v>
      </c>
      <c r="J2402">
        <v>31</v>
      </c>
      <c r="K2402">
        <v>5</v>
      </c>
      <c r="L2402" t="s">
        <v>44</v>
      </c>
      <c r="M2402">
        <v>14.3680410630965</v>
      </c>
      <c r="N2402" t="s">
        <v>37</v>
      </c>
      <c r="O2402" t="s">
        <v>38</v>
      </c>
      <c r="P2402">
        <f>VLOOKUP(O2402, Coordinates!$A$2:$C$6, 2, FALSE)</f>
        <v>25.761700000000001</v>
      </c>
      <c r="Q2402">
        <f>VLOOKUP(O2402, Coordinates!$A$2:$C$6, 3, FALSE)</f>
        <v>-80.191800000000001</v>
      </c>
      <c r="R2402">
        <v>26</v>
      </c>
      <c r="S2402">
        <v>432</v>
      </c>
      <c r="T2402">
        <v>13</v>
      </c>
      <c r="U2402">
        <v>89.965422320000002</v>
      </c>
      <c r="V2402" t="s">
        <v>55</v>
      </c>
      <c r="W2402">
        <v>2.8320449148395999</v>
      </c>
      <c r="X2402" t="s">
        <v>46</v>
      </c>
      <c r="Y2402" t="s">
        <v>32</v>
      </c>
      <c r="Z2402">
        <v>520.05733903181203</v>
      </c>
    </row>
    <row r="2403" spans="1:26" x14ac:dyDescent="0.3">
      <c r="A2403" t="s">
        <v>72</v>
      </c>
      <c r="B2403" t="s">
        <v>2459</v>
      </c>
      <c r="C2403">
        <v>26.597010991786</v>
      </c>
      <c r="D2403">
        <v>47</v>
      </c>
      <c r="E2403">
        <v>237</v>
      </c>
      <c r="F2403">
        <v>5673.1424445479497</v>
      </c>
      <c r="G2403" t="s">
        <v>54</v>
      </c>
      <c r="H2403">
        <v>6</v>
      </c>
      <c r="I2403">
        <v>14</v>
      </c>
      <c r="J2403">
        <v>61</v>
      </c>
      <c r="K2403">
        <v>8</v>
      </c>
      <c r="L2403" t="s">
        <v>36</v>
      </c>
      <c r="M2403">
        <v>1.2882128667213799</v>
      </c>
      <c r="N2403" t="s">
        <v>37</v>
      </c>
      <c r="O2403" t="s">
        <v>38</v>
      </c>
      <c r="P2403">
        <f>VLOOKUP(O2403, Coordinates!$A$2:$C$6, 2, FALSE)</f>
        <v>25.761700000000001</v>
      </c>
      <c r="Q2403">
        <f>VLOOKUP(O2403, Coordinates!$A$2:$C$6, 3, FALSE)</f>
        <v>-80.191800000000001</v>
      </c>
      <c r="R2403">
        <v>16</v>
      </c>
      <c r="S2403">
        <v>476</v>
      </c>
      <c r="T2403">
        <v>21</v>
      </c>
      <c r="U2403">
        <v>78.979382209313499</v>
      </c>
      <c r="V2403" t="s">
        <v>39</v>
      </c>
      <c r="W2403">
        <v>3.3387772034467802</v>
      </c>
      <c r="X2403" t="s">
        <v>46</v>
      </c>
      <c r="Y2403" t="s">
        <v>32</v>
      </c>
      <c r="Z2403">
        <v>436.31322043103899</v>
      </c>
    </row>
    <row r="2404" spans="1:26" x14ac:dyDescent="0.3">
      <c r="A2404" t="s">
        <v>24</v>
      </c>
      <c r="B2404" t="s">
        <v>2460</v>
      </c>
      <c r="C2404">
        <v>37.841061996690598</v>
      </c>
      <c r="D2404">
        <v>26</v>
      </c>
      <c r="E2404">
        <v>907</v>
      </c>
      <c r="F2404">
        <v>30889.658907898502</v>
      </c>
      <c r="G2404" t="s">
        <v>54</v>
      </c>
      <c r="H2404">
        <v>35</v>
      </c>
      <c r="I2404">
        <v>1</v>
      </c>
      <c r="J2404">
        <v>59</v>
      </c>
      <c r="K2404">
        <v>9</v>
      </c>
      <c r="L2404" t="s">
        <v>44</v>
      </c>
      <c r="M2404">
        <v>5.9358155765941198</v>
      </c>
      <c r="N2404" t="s">
        <v>57</v>
      </c>
      <c r="O2404" t="s">
        <v>38</v>
      </c>
      <c r="P2404">
        <f>VLOOKUP(O2404, Coordinates!$A$2:$C$6, 2, FALSE)</f>
        <v>25.761700000000001</v>
      </c>
      <c r="Q2404">
        <f>VLOOKUP(O2404, Coordinates!$A$2:$C$6, 3, FALSE)</f>
        <v>-80.191800000000001</v>
      </c>
      <c r="R2404">
        <v>23</v>
      </c>
      <c r="S2404">
        <v>339</v>
      </c>
      <c r="T2404">
        <v>24</v>
      </c>
      <c r="U2404">
        <v>80.5944000279694</v>
      </c>
      <c r="V2404" t="s">
        <v>30</v>
      </c>
      <c r="W2404">
        <v>2.6636363140624502</v>
      </c>
      <c r="X2404" t="s">
        <v>52</v>
      </c>
      <c r="Y2404" t="s">
        <v>60</v>
      </c>
      <c r="Z2404">
        <v>392.29839199999998</v>
      </c>
    </row>
    <row r="2405" spans="1:26" x14ac:dyDescent="0.3">
      <c r="A2405" t="s">
        <v>61</v>
      </c>
      <c r="B2405" t="s">
        <v>2461</v>
      </c>
      <c r="C2405">
        <v>81.524961789725396</v>
      </c>
      <c r="D2405">
        <v>57</v>
      </c>
      <c r="E2405">
        <v>275</v>
      </c>
      <c r="F2405">
        <v>1819.10626194265</v>
      </c>
      <c r="G2405" t="s">
        <v>48</v>
      </c>
      <c r="H2405">
        <v>34</v>
      </c>
      <c r="I2405">
        <v>2</v>
      </c>
      <c r="J2405">
        <v>56</v>
      </c>
      <c r="K2405">
        <v>9</v>
      </c>
      <c r="L2405" t="s">
        <v>44</v>
      </c>
      <c r="M2405">
        <v>10.3540149441544</v>
      </c>
      <c r="N2405" t="s">
        <v>51</v>
      </c>
      <c r="O2405" t="s">
        <v>58</v>
      </c>
      <c r="P2405">
        <f>VLOOKUP(O2405, Coordinates!$A$2:$C$6, 2, FALSE)</f>
        <v>34.052199999999999</v>
      </c>
      <c r="Q2405">
        <f>VLOOKUP(O2405, Coordinates!$A$2:$C$6, 3, FALSE)</f>
        <v>-118.2437</v>
      </c>
      <c r="R2405">
        <v>9</v>
      </c>
      <c r="S2405">
        <v>829</v>
      </c>
      <c r="T2405">
        <v>29</v>
      </c>
      <c r="U2405">
        <v>81.077034400703695</v>
      </c>
      <c r="V2405" t="s">
        <v>55</v>
      </c>
      <c r="W2405">
        <v>0.73800472609704904</v>
      </c>
      <c r="X2405" t="s">
        <v>46</v>
      </c>
      <c r="Y2405" t="s">
        <v>32</v>
      </c>
      <c r="Z2405">
        <v>123.73030154554</v>
      </c>
    </row>
    <row r="2406" spans="1:26" x14ac:dyDescent="0.3">
      <c r="A2406" t="s">
        <v>33</v>
      </c>
      <c r="B2406" t="s">
        <v>2462</v>
      </c>
      <c r="C2406">
        <v>42.798996677917103</v>
      </c>
      <c r="D2406">
        <v>37</v>
      </c>
      <c r="E2406">
        <v>896</v>
      </c>
      <c r="F2406">
        <v>3079.3252415235302</v>
      </c>
      <c r="G2406" t="s">
        <v>26</v>
      </c>
      <c r="H2406">
        <v>5</v>
      </c>
      <c r="I2406">
        <v>25</v>
      </c>
      <c r="J2406">
        <v>32</v>
      </c>
      <c r="K2406">
        <v>6</v>
      </c>
      <c r="L2406" t="s">
        <v>44</v>
      </c>
      <c r="M2406">
        <v>8.3882120649999994</v>
      </c>
      <c r="N2406" t="s">
        <v>57</v>
      </c>
      <c r="O2406" t="s">
        <v>67</v>
      </c>
      <c r="P2406">
        <f>VLOOKUP(O2406, Coordinates!$A$2:$C$6, 2, FALSE)</f>
        <v>40.712800000000001</v>
      </c>
      <c r="Q2406">
        <f>VLOOKUP(O2406, Coordinates!$A$2:$C$6, 3, FALSE)</f>
        <v>-74.006</v>
      </c>
      <c r="R2406">
        <v>12</v>
      </c>
      <c r="S2406">
        <v>281</v>
      </c>
      <c r="T2406">
        <v>2</v>
      </c>
      <c r="U2406">
        <v>89.280622307105403</v>
      </c>
      <c r="V2406" t="s">
        <v>30</v>
      </c>
      <c r="W2406">
        <v>3.5454933999826901</v>
      </c>
      <c r="X2406" t="s">
        <v>46</v>
      </c>
      <c r="Y2406" t="s">
        <v>32</v>
      </c>
      <c r="Z2406">
        <v>935.14147442818796</v>
      </c>
    </row>
    <row r="2407" spans="1:26" x14ac:dyDescent="0.3">
      <c r="A2407" t="s">
        <v>72</v>
      </c>
      <c r="B2407" t="s">
        <v>2463</v>
      </c>
      <c r="C2407">
        <v>31.936666933588</v>
      </c>
      <c r="D2407">
        <v>98</v>
      </c>
      <c r="E2407">
        <v>300</v>
      </c>
      <c r="H2407">
        <v>38</v>
      </c>
      <c r="I2407">
        <v>7</v>
      </c>
      <c r="J2407">
        <v>99</v>
      </c>
      <c r="K2407">
        <v>4</v>
      </c>
      <c r="L2407" t="s">
        <v>27</v>
      </c>
      <c r="M2407">
        <v>14.202309621994599</v>
      </c>
      <c r="N2407" t="s">
        <v>57</v>
      </c>
      <c r="O2407" t="s">
        <v>67</v>
      </c>
      <c r="P2407">
        <f>VLOOKUP(O2407, Coordinates!$A$2:$C$6, 2, FALSE)</f>
        <v>40.712800000000001</v>
      </c>
      <c r="Q2407">
        <f>VLOOKUP(O2407, Coordinates!$A$2:$C$6, 3, FALSE)</f>
        <v>-74.006</v>
      </c>
      <c r="R2407">
        <v>14</v>
      </c>
      <c r="S2407">
        <v>356</v>
      </c>
      <c r="T2407">
        <v>12</v>
      </c>
      <c r="U2407">
        <v>76.088951809999998</v>
      </c>
      <c r="V2407" t="s">
        <v>30</v>
      </c>
      <c r="W2407">
        <v>2.4633697613474501</v>
      </c>
      <c r="X2407" t="s">
        <v>31</v>
      </c>
      <c r="Y2407" t="s">
        <v>32</v>
      </c>
      <c r="Z2407">
        <v>884.28052101067999</v>
      </c>
    </row>
    <row r="2408" spans="1:26" x14ac:dyDescent="0.3">
      <c r="A2408" t="s">
        <v>72</v>
      </c>
      <c r="B2408" t="s">
        <v>2464</v>
      </c>
      <c r="C2408">
        <v>26.8717358053566</v>
      </c>
      <c r="D2408">
        <v>7</v>
      </c>
      <c r="E2408">
        <v>471</v>
      </c>
      <c r="F2408">
        <v>11390.928807890699</v>
      </c>
      <c r="G2408" t="s">
        <v>35</v>
      </c>
      <c r="H2408">
        <v>35</v>
      </c>
      <c r="I2408">
        <v>9</v>
      </c>
      <c r="J2408">
        <v>100</v>
      </c>
      <c r="K2408">
        <v>4</v>
      </c>
      <c r="L2408" t="s">
        <v>36</v>
      </c>
      <c r="M2408">
        <v>1.23757208350326</v>
      </c>
      <c r="N2408" t="s">
        <v>28</v>
      </c>
      <c r="O2408" t="s">
        <v>65</v>
      </c>
      <c r="P2408">
        <f>VLOOKUP(O2408, Coordinates!$A$2:$C$6, 2, FALSE)</f>
        <v>41.878100000000003</v>
      </c>
      <c r="Q2408">
        <f>VLOOKUP(O2408, Coordinates!$A$2:$C$6, 3, FALSE)</f>
        <v>-87.629800000000003</v>
      </c>
      <c r="R2408">
        <v>15</v>
      </c>
      <c r="S2408">
        <v>843</v>
      </c>
      <c r="T2408">
        <v>7</v>
      </c>
      <c r="U2408">
        <v>84.665813959999994</v>
      </c>
      <c r="V2408" t="s">
        <v>30</v>
      </c>
      <c r="W2408">
        <v>3.1715463566136699</v>
      </c>
      <c r="X2408" t="s">
        <v>31</v>
      </c>
      <c r="Y2408" t="s">
        <v>41</v>
      </c>
      <c r="Z2408">
        <v>453.35753140804297</v>
      </c>
    </row>
    <row r="2409" spans="1:26" x14ac:dyDescent="0.3">
      <c r="A2409" t="s">
        <v>61</v>
      </c>
      <c r="B2409" t="s">
        <v>2465</v>
      </c>
      <c r="C2409">
        <v>20.760597315224601</v>
      </c>
      <c r="D2409">
        <v>40</v>
      </c>
      <c r="E2409">
        <v>239</v>
      </c>
      <c r="F2409">
        <v>8652.6886291461196</v>
      </c>
      <c r="G2409" t="s">
        <v>35</v>
      </c>
      <c r="H2409">
        <v>19</v>
      </c>
      <c r="I2409">
        <v>24</v>
      </c>
      <c r="J2409">
        <v>85</v>
      </c>
      <c r="K2409">
        <v>9</v>
      </c>
      <c r="L2409" t="s">
        <v>44</v>
      </c>
      <c r="M2409">
        <v>7.1283515806468998</v>
      </c>
      <c r="N2409" t="s">
        <v>37</v>
      </c>
      <c r="O2409" t="s">
        <v>67</v>
      </c>
      <c r="P2409">
        <f>VLOOKUP(O2409, Coordinates!$A$2:$C$6, 2, FALSE)</f>
        <v>40.712800000000001</v>
      </c>
      <c r="Q2409">
        <f>VLOOKUP(O2409, Coordinates!$A$2:$C$6, 3, FALSE)</f>
        <v>-74.006</v>
      </c>
      <c r="R2409">
        <v>22</v>
      </c>
      <c r="S2409">
        <v>288</v>
      </c>
      <c r="T2409">
        <v>6</v>
      </c>
      <c r="U2409">
        <v>92.268754956522599</v>
      </c>
      <c r="V2409" t="s">
        <v>55</v>
      </c>
      <c r="W2409">
        <v>0.22600831988634901</v>
      </c>
      <c r="X2409" t="s">
        <v>31</v>
      </c>
      <c r="Y2409" t="s">
        <v>41</v>
      </c>
      <c r="Z2409">
        <v>263.23745243003998</v>
      </c>
    </row>
    <row r="2410" spans="1:26" x14ac:dyDescent="0.3">
      <c r="A2410" t="s">
        <v>24</v>
      </c>
      <c r="B2410" t="s">
        <v>2466</v>
      </c>
      <c r="C2410">
        <v>36.9064582127968</v>
      </c>
      <c r="D2410">
        <v>92</v>
      </c>
      <c r="E2410">
        <v>681</v>
      </c>
      <c r="F2410">
        <v>22619.9682386231</v>
      </c>
      <c r="G2410" t="s">
        <v>48</v>
      </c>
      <c r="H2410">
        <v>48</v>
      </c>
      <c r="I2410">
        <v>4</v>
      </c>
      <c r="J2410">
        <v>92</v>
      </c>
      <c r="K2410">
        <v>4</v>
      </c>
      <c r="L2410" t="s">
        <v>44</v>
      </c>
      <c r="M2410">
        <v>10.3632538692647</v>
      </c>
      <c r="N2410" t="s">
        <v>57</v>
      </c>
      <c r="O2410" t="s">
        <v>67</v>
      </c>
      <c r="P2410">
        <f>VLOOKUP(O2410, Coordinates!$A$2:$C$6, 2, FALSE)</f>
        <v>40.712800000000001</v>
      </c>
      <c r="Q2410">
        <f>VLOOKUP(O2410, Coordinates!$A$2:$C$6, 3, FALSE)</f>
        <v>-74.006</v>
      </c>
      <c r="R2410">
        <v>24</v>
      </c>
      <c r="S2410">
        <v>940</v>
      </c>
      <c r="T2410">
        <v>17</v>
      </c>
      <c r="U2410">
        <v>83.105587047039904</v>
      </c>
      <c r="V2410" t="s">
        <v>39</v>
      </c>
      <c r="W2410">
        <v>0.71017396281626499</v>
      </c>
      <c r="X2410" t="s">
        <v>46</v>
      </c>
      <c r="Y2410" t="s">
        <v>32</v>
      </c>
      <c r="Z2410">
        <v>162.14119052032001</v>
      </c>
    </row>
    <row r="2411" spans="1:26" x14ac:dyDescent="0.3">
      <c r="A2411" t="s">
        <v>42</v>
      </c>
      <c r="B2411" t="s">
        <v>2467</v>
      </c>
      <c r="C2411">
        <v>39.461592037919402</v>
      </c>
      <c r="D2411">
        <v>39</v>
      </c>
      <c r="E2411">
        <v>849</v>
      </c>
      <c r="F2411">
        <v>9356.6986753818601</v>
      </c>
      <c r="G2411" t="s">
        <v>26</v>
      </c>
      <c r="H2411">
        <v>0</v>
      </c>
      <c r="I2411">
        <v>26</v>
      </c>
      <c r="J2411">
        <v>28</v>
      </c>
      <c r="K2411">
        <v>8</v>
      </c>
      <c r="L2411" t="s">
        <v>44</v>
      </c>
      <c r="M2411">
        <v>4.0461719941513801</v>
      </c>
      <c r="N2411" t="s">
        <v>57</v>
      </c>
      <c r="O2411" t="s">
        <v>67</v>
      </c>
      <c r="P2411">
        <f>VLOOKUP(O2411, Coordinates!$A$2:$C$6, 2, FALSE)</f>
        <v>40.712800000000001</v>
      </c>
      <c r="Q2411">
        <f>VLOOKUP(O2411, Coordinates!$A$2:$C$6, 3, FALSE)</f>
        <v>-74.006</v>
      </c>
      <c r="R2411">
        <v>21</v>
      </c>
      <c r="S2411">
        <v>514</v>
      </c>
      <c r="T2411">
        <v>28</v>
      </c>
      <c r="U2411">
        <v>81.823132971805705</v>
      </c>
      <c r="V2411" t="s">
        <v>39</v>
      </c>
      <c r="W2411">
        <v>2.9468523796599499</v>
      </c>
      <c r="X2411" t="s">
        <v>31</v>
      </c>
      <c r="Y2411" t="s">
        <v>41</v>
      </c>
      <c r="Z2411">
        <v>210.86909234802101</v>
      </c>
    </row>
    <row r="2412" spans="1:26" x14ac:dyDescent="0.3">
      <c r="A2412" t="s">
        <v>42</v>
      </c>
      <c r="B2412" t="s">
        <v>2468</v>
      </c>
      <c r="C2412">
        <v>56.936151188152202</v>
      </c>
      <c r="D2412">
        <v>62</v>
      </c>
      <c r="E2412">
        <v>238</v>
      </c>
      <c r="F2412">
        <v>6312.6916458003898</v>
      </c>
      <c r="G2412" t="s">
        <v>35</v>
      </c>
      <c r="H2412">
        <v>58</v>
      </c>
      <c r="I2412">
        <v>19</v>
      </c>
      <c r="J2412">
        <v>61</v>
      </c>
      <c r="K2412">
        <v>9</v>
      </c>
      <c r="L2412" t="s">
        <v>27</v>
      </c>
      <c r="M2412">
        <v>11.162199405609201</v>
      </c>
      <c r="N2412" t="s">
        <v>37</v>
      </c>
      <c r="O2412" t="s">
        <v>38</v>
      </c>
      <c r="P2412">
        <f>VLOOKUP(O2412, Coordinates!$A$2:$C$6, 2, FALSE)</f>
        <v>25.761700000000001</v>
      </c>
      <c r="Q2412">
        <f>VLOOKUP(O2412, Coordinates!$A$2:$C$6, 3, FALSE)</f>
        <v>-80.191800000000001</v>
      </c>
      <c r="R2412">
        <v>16</v>
      </c>
      <c r="S2412">
        <v>955</v>
      </c>
      <c r="T2412">
        <v>8</v>
      </c>
      <c r="U2412">
        <v>50.045318044478897</v>
      </c>
      <c r="V2412" t="s">
        <v>55</v>
      </c>
      <c r="W2412">
        <v>2.2971445154147401</v>
      </c>
      <c r="X2412" t="s">
        <v>40</v>
      </c>
      <c r="Y2412" t="s">
        <v>60</v>
      </c>
      <c r="Z2412">
        <v>641.82025839999994</v>
      </c>
    </row>
    <row r="2413" spans="1:26" x14ac:dyDescent="0.3">
      <c r="A2413" t="s">
        <v>72</v>
      </c>
      <c r="B2413" t="s">
        <v>2469</v>
      </c>
      <c r="C2413">
        <v>28.851080469999999</v>
      </c>
      <c r="D2413">
        <v>92</v>
      </c>
      <c r="E2413">
        <v>372</v>
      </c>
      <c r="F2413">
        <v>9659.3417404592692</v>
      </c>
      <c r="G2413" t="s">
        <v>35</v>
      </c>
      <c r="H2413">
        <v>48</v>
      </c>
      <c r="I2413">
        <v>26</v>
      </c>
      <c r="J2413">
        <v>43</v>
      </c>
      <c r="K2413">
        <v>5</v>
      </c>
      <c r="L2413" t="s">
        <v>27</v>
      </c>
      <c r="M2413">
        <v>2.1372007950983098</v>
      </c>
      <c r="N2413" t="s">
        <v>37</v>
      </c>
      <c r="O2413" t="s">
        <v>38</v>
      </c>
      <c r="P2413">
        <f>VLOOKUP(O2413, Coordinates!$A$2:$C$6, 2, FALSE)</f>
        <v>25.761700000000001</v>
      </c>
      <c r="Q2413">
        <f>VLOOKUP(O2413, Coordinates!$A$2:$C$6, 3, FALSE)</f>
        <v>-80.191800000000001</v>
      </c>
      <c r="R2413">
        <v>8</v>
      </c>
      <c r="S2413">
        <v>354</v>
      </c>
      <c r="T2413">
        <v>6</v>
      </c>
      <c r="U2413">
        <v>85.906075139999999</v>
      </c>
      <c r="V2413" t="s">
        <v>55</v>
      </c>
      <c r="W2413">
        <v>1.13436834476827</v>
      </c>
      <c r="X2413" t="s">
        <v>31</v>
      </c>
      <c r="Y2413" t="s">
        <v>60</v>
      </c>
      <c r="Z2413">
        <v>760.52547529730805</v>
      </c>
    </row>
    <row r="2414" spans="1:26" x14ac:dyDescent="0.3">
      <c r="A2414" t="s">
        <v>42</v>
      </c>
      <c r="B2414" t="s">
        <v>2470</v>
      </c>
      <c r="C2414">
        <v>17.111139613323299</v>
      </c>
      <c r="D2414">
        <v>78</v>
      </c>
      <c r="E2414">
        <v>699</v>
      </c>
      <c r="F2414">
        <v>8608.7728150000003</v>
      </c>
      <c r="G2414" t="s">
        <v>48</v>
      </c>
      <c r="H2414">
        <v>89</v>
      </c>
      <c r="I2414">
        <v>5</v>
      </c>
      <c r="J2414">
        <v>38</v>
      </c>
      <c r="K2414">
        <v>6</v>
      </c>
      <c r="L2414" t="s">
        <v>44</v>
      </c>
      <c r="M2414">
        <v>7.3145394127384096</v>
      </c>
      <c r="N2414" t="s">
        <v>51</v>
      </c>
      <c r="O2414" t="s">
        <v>58</v>
      </c>
      <c r="P2414">
        <f>VLOOKUP(O2414, Coordinates!$A$2:$C$6, 2, FALSE)</f>
        <v>34.052199999999999</v>
      </c>
      <c r="Q2414">
        <f>VLOOKUP(O2414, Coordinates!$A$2:$C$6, 3, FALSE)</f>
        <v>-118.2437</v>
      </c>
      <c r="R2414">
        <v>28</v>
      </c>
      <c r="S2414">
        <v>144</v>
      </c>
      <c r="T2414">
        <v>29</v>
      </c>
      <c r="U2414">
        <v>38.785510879999997</v>
      </c>
      <c r="V2414" t="s">
        <v>30</v>
      </c>
      <c r="W2414">
        <v>1.20380460266777</v>
      </c>
      <c r="X2414" t="s">
        <v>40</v>
      </c>
      <c r="Y2414" t="s">
        <v>32</v>
      </c>
      <c r="Z2414">
        <v>240.77978097494301</v>
      </c>
    </row>
    <row r="2415" spans="1:26" x14ac:dyDescent="0.3">
      <c r="A2415" t="s">
        <v>82</v>
      </c>
      <c r="B2415" t="s">
        <v>2471</v>
      </c>
      <c r="C2415">
        <v>81.019603029940001</v>
      </c>
      <c r="D2415">
        <v>53</v>
      </c>
      <c r="E2415">
        <v>849</v>
      </c>
      <c r="F2415">
        <v>3671.2018454665499</v>
      </c>
      <c r="G2415" t="s">
        <v>54</v>
      </c>
      <c r="H2415">
        <v>25</v>
      </c>
      <c r="I2415">
        <v>9</v>
      </c>
      <c r="J2415">
        <v>70</v>
      </c>
      <c r="K2415">
        <v>3</v>
      </c>
      <c r="L2415" t="s">
        <v>27</v>
      </c>
      <c r="M2415">
        <v>10.467289386669799</v>
      </c>
      <c r="N2415" t="s">
        <v>37</v>
      </c>
      <c r="O2415" t="s">
        <v>38</v>
      </c>
      <c r="P2415">
        <f>VLOOKUP(O2415, Coordinates!$A$2:$C$6, 2, FALSE)</f>
        <v>25.761700000000001</v>
      </c>
      <c r="Q2415">
        <f>VLOOKUP(O2415, Coordinates!$A$2:$C$6, 3, FALSE)</f>
        <v>-80.191800000000001</v>
      </c>
      <c r="R2415">
        <v>10</v>
      </c>
      <c r="S2415">
        <v>927</v>
      </c>
      <c r="T2415">
        <v>19</v>
      </c>
      <c r="U2415">
        <v>24.352241079999999</v>
      </c>
      <c r="V2415" t="s">
        <v>55</v>
      </c>
      <c r="W2415">
        <v>3.1582915627797101</v>
      </c>
      <c r="X2415" t="s">
        <v>52</v>
      </c>
      <c r="Y2415" t="s">
        <v>32</v>
      </c>
      <c r="Z2415">
        <v>201.51142083045499</v>
      </c>
    </row>
    <row r="2416" spans="1:26" x14ac:dyDescent="0.3">
      <c r="A2416" t="s">
        <v>72</v>
      </c>
      <c r="B2416" t="s">
        <v>2472</v>
      </c>
      <c r="C2416">
        <v>27.999517659906001</v>
      </c>
      <c r="D2416">
        <v>4</v>
      </c>
      <c r="E2416">
        <v>236</v>
      </c>
      <c r="F2416">
        <v>5947.0975509640502</v>
      </c>
      <c r="G2416" t="s">
        <v>35</v>
      </c>
      <c r="H2416">
        <v>35</v>
      </c>
      <c r="I2416">
        <v>24</v>
      </c>
      <c r="J2416">
        <v>94</v>
      </c>
      <c r="K2416">
        <v>5</v>
      </c>
      <c r="L2416" t="s">
        <v>36</v>
      </c>
      <c r="M2416">
        <v>4.7345997953667398</v>
      </c>
      <c r="N2416" t="s">
        <v>28</v>
      </c>
      <c r="O2416" t="s">
        <v>38</v>
      </c>
      <c r="P2416">
        <f>VLOOKUP(O2416, Coordinates!$A$2:$C$6, 2, FALSE)</f>
        <v>25.761700000000001</v>
      </c>
      <c r="Q2416">
        <f>VLOOKUP(O2416, Coordinates!$A$2:$C$6, 3, FALSE)</f>
        <v>-80.191800000000001</v>
      </c>
      <c r="R2416">
        <v>14</v>
      </c>
      <c r="S2416">
        <v>697</v>
      </c>
      <c r="T2416">
        <v>21</v>
      </c>
      <c r="U2416">
        <v>84.157550183335303</v>
      </c>
      <c r="V2416" t="s">
        <v>55</v>
      </c>
      <c r="W2416">
        <v>0.29483513464536898</v>
      </c>
      <c r="X2416" t="s">
        <v>40</v>
      </c>
      <c r="Y2416" t="s">
        <v>41</v>
      </c>
      <c r="Z2416">
        <v>721.97098614607</v>
      </c>
    </row>
    <row r="2417" spans="1:26" x14ac:dyDescent="0.3">
      <c r="A2417" t="s">
        <v>72</v>
      </c>
      <c r="B2417" t="s">
        <v>2473</v>
      </c>
      <c r="C2417">
        <v>20.523420173331399</v>
      </c>
      <c r="D2417">
        <v>82</v>
      </c>
      <c r="E2417">
        <v>877</v>
      </c>
      <c r="F2417">
        <v>16199.1355428105</v>
      </c>
      <c r="G2417" t="s">
        <v>26</v>
      </c>
      <c r="H2417">
        <v>42</v>
      </c>
      <c r="I2417">
        <v>13</v>
      </c>
      <c r="J2417">
        <v>44</v>
      </c>
      <c r="K2417">
        <v>5</v>
      </c>
      <c r="L2417" t="s">
        <v>27</v>
      </c>
      <c r="M2417">
        <v>2.0338498474536699</v>
      </c>
      <c r="N2417" t="s">
        <v>51</v>
      </c>
      <c r="O2417" t="s">
        <v>67</v>
      </c>
      <c r="P2417">
        <f>VLOOKUP(O2417, Coordinates!$A$2:$C$6, 2, FALSE)</f>
        <v>40.712800000000001</v>
      </c>
      <c r="Q2417">
        <f>VLOOKUP(O2417, Coordinates!$A$2:$C$6, 3, FALSE)</f>
        <v>-74.006</v>
      </c>
      <c r="R2417">
        <v>17</v>
      </c>
      <c r="S2417">
        <v>300</v>
      </c>
      <c r="T2417">
        <v>23</v>
      </c>
      <c r="U2417">
        <v>89.715987240000004</v>
      </c>
      <c r="V2417" t="s">
        <v>30</v>
      </c>
      <c r="W2417">
        <v>2.1712917211178602</v>
      </c>
      <c r="X2417" t="s">
        <v>40</v>
      </c>
      <c r="Y2417" t="s">
        <v>32</v>
      </c>
      <c r="Z2417">
        <v>565.32010397317299</v>
      </c>
    </row>
    <row r="2418" spans="1:26" x14ac:dyDescent="0.3">
      <c r="A2418" t="s">
        <v>33</v>
      </c>
      <c r="B2418" t="s">
        <v>2474</v>
      </c>
      <c r="C2418">
        <v>85.9014603339008</v>
      </c>
      <c r="D2418">
        <v>25</v>
      </c>
      <c r="E2418">
        <v>495</v>
      </c>
      <c r="F2418">
        <v>9108.6714643488704</v>
      </c>
      <c r="G2418" t="s">
        <v>26</v>
      </c>
      <c r="H2418">
        <v>98</v>
      </c>
      <c r="I2418">
        <v>12</v>
      </c>
      <c r="J2418">
        <v>14</v>
      </c>
      <c r="K2418">
        <v>2</v>
      </c>
      <c r="L2418" t="s">
        <v>44</v>
      </c>
      <c r="M2418">
        <v>14.39830254</v>
      </c>
      <c r="N2418" t="s">
        <v>57</v>
      </c>
      <c r="O2418" t="s">
        <v>58</v>
      </c>
      <c r="P2418">
        <f>VLOOKUP(O2418, Coordinates!$A$2:$C$6, 2, FALSE)</f>
        <v>34.052199999999999</v>
      </c>
      <c r="Q2418">
        <f>VLOOKUP(O2418, Coordinates!$A$2:$C$6, 3, FALSE)</f>
        <v>-118.2437</v>
      </c>
      <c r="R2418">
        <v>3</v>
      </c>
      <c r="S2418">
        <v>458</v>
      </c>
      <c r="T2418">
        <v>9</v>
      </c>
      <c r="U2418">
        <v>62.159742068390301</v>
      </c>
      <c r="V2418" t="s">
        <v>30</v>
      </c>
      <c r="W2418">
        <v>2.6155175236330401</v>
      </c>
      <c r="X2418" t="s">
        <v>52</v>
      </c>
      <c r="Y2418" t="s">
        <v>32</v>
      </c>
      <c r="Z2418">
        <v>434.65304026816699</v>
      </c>
    </row>
    <row r="2419" spans="1:26" x14ac:dyDescent="0.3">
      <c r="A2419" t="s">
        <v>42</v>
      </c>
      <c r="B2419" t="s">
        <v>2475</v>
      </c>
      <c r="C2419">
        <v>99.188088945065203</v>
      </c>
      <c r="D2419">
        <v>7</v>
      </c>
      <c r="E2419">
        <v>623</v>
      </c>
      <c r="F2419">
        <v>9788.3449858078293</v>
      </c>
      <c r="G2419" t="s">
        <v>26</v>
      </c>
      <c r="H2419">
        <v>42</v>
      </c>
      <c r="I2419">
        <v>30</v>
      </c>
      <c r="J2419">
        <v>85</v>
      </c>
      <c r="K2419">
        <v>10</v>
      </c>
      <c r="L2419" t="s">
        <v>36</v>
      </c>
      <c r="M2419">
        <v>13.793522403133601</v>
      </c>
      <c r="N2419" t="s">
        <v>28</v>
      </c>
      <c r="O2419" t="s">
        <v>58</v>
      </c>
      <c r="P2419">
        <f>VLOOKUP(O2419, Coordinates!$A$2:$C$6, 2, FALSE)</f>
        <v>34.052199999999999</v>
      </c>
      <c r="Q2419">
        <f>VLOOKUP(O2419, Coordinates!$A$2:$C$6, 3, FALSE)</f>
        <v>-118.2437</v>
      </c>
      <c r="R2419">
        <v>4</v>
      </c>
      <c r="S2419">
        <v>442</v>
      </c>
      <c r="T2419">
        <v>20</v>
      </c>
      <c r="U2419">
        <v>87.821742374061699</v>
      </c>
      <c r="V2419" t="s">
        <v>55</v>
      </c>
      <c r="W2419">
        <v>1.54071301371167</v>
      </c>
      <c r="X2419" t="s">
        <v>40</v>
      </c>
      <c r="Y2419" t="s">
        <v>60</v>
      </c>
      <c r="Z2419">
        <v>752.48115592148497</v>
      </c>
    </row>
    <row r="2420" spans="1:26" x14ac:dyDescent="0.3">
      <c r="A2420" t="s">
        <v>24</v>
      </c>
      <c r="B2420" t="s">
        <v>2476</v>
      </c>
      <c r="C2420">
        <v>33.580050440000001</v>
      </c>
      <c r="D2420">
        <v>28</v>
      </c>
      <c r="E2420">
        <v>507</v>
      </c>
      <c r="F2420">
        <v>15322.577013792499</v>
      </c>
      <c r="G2420" t="s">
        <v>26</v>
      </c>
      <c r="H2420">
        <v>98</v>
      </c>
      <c r="I2420">
        <v>19</v>
      </c>
      <c r="J2420">
        <v>16</v>
      </c>
      <c r="K2420">
        <v>6</v>
      </c>
      <c r="L2420" t="s">
        <v>27</v>
      </c>
      <c r="M2420">
        <v>13.9691787625642</v>
      </c>
      <c r="N2420" t="s">
        <v>28</v>
      </c>
      <c r="O2420" t="s">
        <v>67</v>
      </c>
      <c r="P2420">
        <f>VLOOKUP(O2420, Coordinates!$A$2:$C$6, 2, FALSE)</f>
        <v>40.712800000000001</v>
      </c>
      <c r="Q2420">
        <f>VLOOKUP(O2420, Coordinates!$A$2:$C$6, 3, FALSE)</f>
        <v>-74.006</v>
      </c>
      <c r="R2420">
        <v>16</v>
      </c>
      <c r="S2420">
        <v>311</v>
      </c>
      <c r="T2420">
        <v>28</v>
      </c>
      <c r="U2420">
        <v>88.396727238161901</v>
      </c>
      <c r="V2420" t="s">
        <v>30</v>
      </c>
      <c r="W2420">
        <v>4.10274914246168</v>
      </c>
      <c r="X2420" t="s">
        <v>46</v>
      </c>
      <c r="Y2420" t="s">
        <v>60</v>
      </c>
      <c r="Z2420">
        <v>510.10935525206799</v>
      </c>
    </row>
    <row r="2421" spans="1:26" x14ac:dyDescent="0.3">
      <c r="A2421" t="s">
        <v>72</v>
      </c>
      <c r="B2421" t="s">
        <v>2477</v>
      </c>
      <c r="C2421">
        <v>30.652849058312601</v>
      </c>
      <c r="D2421">
        <v>69</v>
      </c>
      <c r="E2421">
        <v>894</v>
      </c>
      <c r="F2421">
        <v>24663.2823523183</v>
      </c>
      <c r="G2421" t="s">
        <v>48</v>
      </c>
      <c r="H2421">
        <v>75</v>
      </c>
      <c r="I2421">
        <v>9</v>
      </c>
      <c r="J2421">
        <v>50</v>
      </c>
      <c r="K2421">
        <v>10</v>
      </c>
      <c r="L2421" t="s">
        <v>44</v>
      </c>
      <c r="M2421">
        <v>14.6990333661681</v>
      </c>
      <c r="N2421" t="s">
        <v>51</v>
      </c>
      <c r="O2421" t="s">
        <v>67</v>
      </c>
      <c r="P2421">
        <f>VLOOKUP(O2421, Coordinates!$A$2:$C$6, 2, FALSE)</f>
        <v>40.712800000000001</v>
      </c>
      <c r="Q2421">
        <f>VLOOKUP(O2421, Coordinates!$A$2:$C$6, 3, FALSE)</f>
        <v>-74.006</v>
      </c>
      <c r="R2421">
        <v>14</v>
      </c>
      <c r="S2421">
        <v>730</v>
      </c>
      <c r="T2421">
        <v>30</v>
      </c>
      <c r="U2421">
        <v>83.572062970087401</v>
      </c>
      <c r="V2421" t="s">
        <v>30</v>
      </c>
      <c r="W2421">
        <v>0.28384791284421701</v>
      </c>
      <c r="X2421" t="s">
        <v>46</v>
      </c>
      <c r="Y2421" t="s">
        <v>41</v>
      </c>
      <c r="Z2421">
        <v>899.11744484785004</v>
      </c>
    </row>
    <row r="2422" spans="1:26" x14ac:dyDescent="0.3">
      <c r="A2422" t="s">
        <v>24</v>
      </c>
      <c r="B2422" t="s">
        <v>2478</v>
      </c>
      <c r="C2422">
        <v>26.236582403939899</v>
      </c>
      <c r="D2422">
        <v>67</v>
      </c>
      <c r="E2422">
        <v>739</v>
      </c>
      <c r="F2422">
        <v>17449.950956860401</v>
      </c>
      <c r="G2422" t="s">
        <v>35</v>
      </c>
      <c r="H2422">
        <v>32</v>
      </c>
      <c r="I2422">
        <v>10</v>
      </c>
      <c r="J2422">
        <v>11</v>
      </c>
      <c r="K2422">
        <v>7</v>
      </c>
      <c r="L2422" t="s">
        <v>36</v>
      </c>
      <c r="M2422">
        <v>3.5857727617592001</v>
      </c>
      <c r="N2422" t="s">
        <v>57</v>
      </c>
      <c r="O2422" t="s">
        <v>58</v>
      </c>
      <c r="P2422">
        <f>VLOOKUP(O2422, Coordinates!$A$2:$C$6, 2, FALSE)</f>
        <v>34.052199999999999</v>
      </c>
      <c r="Q2422">
        <f>VLOOKUP(O2422, Coordinates!$A$2:$C$6, 3, FALSE)</f>
        <v>-118.2437</v>
      </c>
      <c r="R2422">
        <v>27</v>
      </c>
      <c r="S2422">
        <v>397</v>
      </c>
      <c r="T2422">
        <v>16</v>
      </c>
      <c r="U2422">
        <v>75.756866400925205</v>
      </c>
      <c r="V2422" t="s">
        <v>55</v>
      </c>
      <c r="W2422">
        <v>4.3289139262347502</v>
      </c>
      <c r="X2422" t="s">
        <v>31</v>
      </c>
      <c r="Y2422" t="s">
        <v>41</v>
      </c>
      <c r="Z2422">
        <v>114.16713332363101</v>
      </c>
    </row>
    <row r="2423" spans="1:26" x14ac:dyDescent="0.3">
      <c r="A2423" t="s">
        <v>82</v>
      </c>
      <c r="B2423" t="s">
        <v>2479</v>
      </c>
      <c r="C2423">
        <v>62.520718799964797</v>
      </c>
      <c r="D2423">
        <v>95</v>
      </c>
      <c r="E2423">
        <v>596</v>
      </c>
      <c r="F2423">
        <v>4688.5463029863404</v>
      </c>
      <c r="G2423" t="s">
        <v>48</v>
      </c>
      <c r="H2423">
        <v>99</v>
      </c>
      <c r="I2423">
        <v>19</v>
      </c>
      <c r="J2423">
        <v>98</v>
      </c>
      <c r="K2423">
        <v>8</v>
      </c>
      <c r="L2423" t="s">
        <v>36</v>
      </c>
      <c r="M2423">
        <v>3.2088639690942302</v>
      </c>
      <c r="N2423" t="s">
        <v>51</v>
      </c>
      <c r="O2423" t="s">
        <v>29</v>
      </c>
      <c r="P2423">
        <f>VLOOKUP(O2423, Coordinates!$A$2:$C$6, 2, FALSE)</f>
        <v>29.760400000000001</v>
      </c>
      <c r="Q2423">
        <f>VLOOKUP(O2423, Coordinates!$A$2:$C$6, 3, FALSE)</f>
        <v>-95.369799999999998</v>
      </c>
      <c r="R2423">
        <v>25</v>
      </c>
      <c r="S2423">
        <v>254</v>
      </c>
      <c r="T2423">
        <v>18</v>
      </c>
      <c r="U2423">
        <v>32.218322187802599</v>
      </c>
      <c r="V2423" t="s">
        <v>55</v>
      </c>
      <c r="W2423">
        <v>3.6163149644388501</v>
      </c>
      <c r="X2423" t="s">
        <v>31</v>
      </c>
      <c r="Y2423" t="s">
        <v>41</v>
      </c>
      <c r="Z2423">
        <v>384.40831159895498</v>
      </c>
    </row>
    <row r="2424" spans="1:26" x14ac:dyDescent="0.3">
      <c r="A2424" t="s">
        <v>33</v>
      </c>
      <c r="B2424" t="s">
        <v>2480</v>
      </c>
      <c r="D2424">
        <v>20</v>
      </c>
      <c r="E2424">
        <v>750</v>
      </c>
      <c r="F2424">
        <v>9917.2122035134398</v>
      </c>
      <c r="G2424" t="s">
        <v>26</v>
      </c>
      <c r="H2424">
        <v>77</v>
      </c>
      <c r="I2424">
        <v>10</v>
      </c>
      <c r="J2424">
        <v>19</v>
      </c>
      <c r="K2424">
        <v>2</v>
      </c>
      <c r="L2424" t="s">
        <v>36</v>
      </c>
      <c r="M2424">
        <v>1.47900420690747</v>
      </c>
      <c r="N2424" t="s">
        <v>45</v>
      </c>
      <c r="O2424" t="s">
        <v>38</v>
      </c>
      <c r="P2424">
        <f>VLOOKUP(O2424, Coordinates!$A$2:$C$6, 2, FALSE)</f>
        <v>25.761700000000001</v>
      </c>
      <c r="Q2424">
        <f>VLOOKUP(O2424, Coordinates!$A$2:$C$6, 3, FALSE)</f>
        <v>-80.191800000000001</v>
      </c>
      <c r="R2424">
        <v>25</v>
      </c>
      <c r="S2424">
        <v>797</v>
      </c>
      <c r="T2424">
        <v>19</v>
      </c>
      <c r="U2424">
        <v>86.273817159770402</v>
      </c>
      <c r="V2424" t="s">
        <v>39</v>
      </c>
      <c r="W2424">
        <v>3.9652053131342599</v>
      </c>
      <c r="X2424" t="s">
        <v>31</v>
      </c>
      <c r="Y2424" t="s">
        <v>32</v>
      </c>
      <c r="Z2424">
        <v>104.531172484403</v>
      </c>
    </row>
    <row r="2425" spans="1:26" x14ac:dyDescent="0.3">
      <c r="A2425" t="s">
        <v>61</v>
      </c>
      <c r="B2425" t="s">
        <v>2481</v>
      </c>
      <c r="C2425">
        <v>84.565429237225203</v>
      </c>
      <c r="D2425">
        <v>83</v>
      </c>
      <c r="E2425">
        <v>385</v>
      </c>
      <c r="F2425">
        <v>5250.5286789592001</v>
      </c>
      <c r="G2425" t="s">
        <v>26</v>
      </c>
      <c r="H2425">
        <v>96</v>
      </c>
      <c r="I2425">
        <v>12</v>
      </c>
      <c r="J2425">
        <v>53</v>
      </c>
      <c r="K2425">
        <v>9</v>
      </c>
      <c r="L2425" t="s">
        <v>27</v>
      </c>
      <c r="M2425">
        <v>13.4855190266489</v>
      </c>
      <c r="N2425" t="s">
        <v>45</v>
      </c>
      <c r="O2425" t="s">
        <v>38</v>
      </c>
      <c r="P2425">
        <f>VLOOKUP(O2425, Coordinates!$A$2:$C$6, 2, FALSE)</f>
        <v>25.761700000000001</v>
      </c>
      <c r="Q2425">
        <f>VLOOKUP(O2425, Coordinates!$A$2:$C$6, 3, FALSE)</f>
        <v>-80.191800000000001</v>
      </c>
      <c r="R2425">
        <v>29</v>
      </c>
      <c r="S2425">
        <v>296</v>
      </c>
      <c r="T2425">
        <v>7</v>
      </c>
      <c r="U2425">
        <v>42.994285040129903</v>
      </c>
      <c r="V2425" t="s">
        <v>39</v>
      </c>
      <c r="W2425">
        <v>4.3150259504727302</v>
      </c>
      <c r="X2425" t="s">
        <v>31</v>
      </c>
      <c r="Y2425" t="s">
        <v>32</v>
      </c>
      <c r="Z2425">
        <v>931.46258160000002</v>
      </c>
    </row>
    <row r="2426" spans="1:26" x14ac:dyDescent="0.3">
      <c r="A2426" t="s">
        <v>24</v>
      </c>
      <c r="B2426" t="s">
        <v>2482</v>
      </c>
      <c r="C2426">
        <v>22.786028624349001</v>
      </c>
      <c r="D2426">
        <v>11</v>
      </c>
      <c r="E2426">
        <v>700</v>
      </c>
      <c r="F2426">
        <v>14355.198033339801</v>
      </c>
      <c r="G2426" t="s">
        <v>26</v>
      </c>
      <c r="H2426">
        <v>44</v>
      </c>
      <c r="I2426">
        <v>14</v>
      </c>
      <c r="J2426">
        <v>79</v>
      </c>
      <c r="K2426">
        <v>3</v>
      </c>
      <c r="L2426" t="s">
        <v>36</v>
      </c>
      <c r="M2426">
        <v>11.538679775903301</v>
      </c>
      <c r="N2426" t="s">
        <v>51</v>
      </c>
      <c r="O2426" t="s">
        <v>58</v>
      </c>
      <c r="P2426">
        <f>VLOOKUP(O2426, Coordinates!$A$2:$C$6, 2, FALSE)</f>
        <v>34.052199999999999</v>
      </c>
      <c r="Q2426">
        <f>VLOOKUP(O2426, Coordinates!$A$2:$C$6, 3, FALSE)</f>
        <v>-118.2437</v>
      </c>
      <c r="R2426">
        <v>16</v>
      </c>
      <c r="S2426">
        <v>948</v>
      </c>
      <c r="T2426">
        <v>8</v>
      </c>
      <c r="U2426">
        <v>81.876069792906804</v>
      </c>
      <c r="V2426" t="s">
        <v>39</v>
      </c>
      <c r="W2426">
        <v>3.5111914824735799</v>
      </c>
      <c r="X2426" t="s">
        <v>46</v>
      </c>
      <c r="Y2426" t="s">
        <v>32</v>
      </c>
      <c r="Z2426">
        <v>364.54518185635101</v>
      </c>
    </row>
    <row r="2427" spans="1:26" x14ac:dyDescent="0.3">
      <c r="A2427" t="s">
        <v>72</v>
      </c>
      <c r="B2427" t="s">
        <v>2483</v>
      </c>
      <c r="C2427">
        <v>23.648312484239799</v>
      </c>
      <c r="D2427">
        <v>67</v>
      </c>
      <c r="E2427">
        <v>432</v>
      </c>
      <c r="F2427">
        <v>9194.4638938724493</v>
      </c>
      <c r="G2427" t="s">
        <v>48</v>
      </c>
      <c r="H2427">
        <v>44</v>
      </c>
      <c r="I2427">
        <v>8</v>
      </c>
      <c r="J2427">
        <v>100</v>
      </c>
      <c r="K2427">
        <v>10</v>
      </c>
      <c r="L2427" t="s">
        <v>27</v>
      </c>
      <c r="M2427">
        <v>9.8656737556589107</v>
      </c>
      <c r="N2427" t="s">
        <v>57</v>
      </c>
      <c r="O2427" t="s">
        <v>29</v>
      </c>
      <c r="P2427">
        <f>VLOOKUP(O2427, Coordinates!$A$2:$C$6, 2, FALSE)</f>
        <v>29.760400000000001</v>
      </c>
      <c r="Q2427">
        <f>VLOOKUP(O2427, Coordinates!$A$2:$C$6, 3, FALSE)</f>
        <v>-95.369799999999998</v>
      </c>
      <c r="R2427">
        <v>8</v>
      </c>
      <c r="S2427">
        <v>581</v>
      </c>
      <c r="T2427">
        <v>21</v>
      </c>
      <c r="U2427">
        <v>81.483635047514696</v>
      </c>
      <c r="V2427" t="s">
        <v>39</v>
      </c>
      <c r="W2427">
        <v>4.6552267482952097</v>
      </c>
      <c r="X2427" t="s">
        <v>31</v>
      </c>
      <c r="Y2427" t="s">
        <v>32</v>
      </c>
      <c r="Z2427">
        <v>262.46808179554398</v>
      </c>
    </row>
    <row r="2428" spans="1:26" x14ac:dyDescent="0.3">
      <c r="A2428" t="s">
        <v>82</v>
      </c>
      <c r="B2428" t="s">
        <v>2484</v>
      </c>
      <c r="D2428">
        <v>87</v>
      </c>
      <c r="E2428">
        <v>701</v>
      </c>
      <c r="F2428">
        <v>3895.6332689999999</v>
      </c>
      <c r="G2428" t="s">
        <v>26</v>
      </c>
      <c r="H2428">
        <v>87</v>
      </c>
      <c r="I2428">
        <v>16</v>
      </c>
      <c r="J2428">
        <v>44</v>
      </c>
      <c r="K2428">
        <v>5</v>
      </c>
      <c r="L2428" t="s">
        <v>44</v>
      </c>
      <c r="M2428">
        <v>13.9874662286059</v>
      </c>
      <c r="N2428" t="s">
        <v>57</v>
      </c>
      <c r="O2428" t="s">
        <v>29</v>
      </c>
      <c r="P2428">
        <f>VLOOKUP(O2428, Coordinates!$A$2:$C$6, 2, FALSE)</f>
        <v>29.760400000000001</v>
      </c>
      <c r="Q2428">
        <f>VLOOKUP(O2428, Coordinates!$A$2:$C$6, 3, FALSE)</f>
        <v>-95.369799999999998</v>
      </c>
      <c r="R2428">
        <v>18</v>
      </c>
      <c r="S2428">
        <v>812</v>
      </c>
      <c r="T2428">
        <v>19</v>
      </c>
      <c r="U2428">
        <v>13.724770329188701</v>
      </c>
      <c r="V2428" t="s">
        <v>55</v>
      </c>
      <c r="W2428">
        <v>2.3629488970778301</v>
      </c>
      <c r="X2428" t="s">
        <v>40</v>
      </c>
      <c r="Y2428" t="s">
        <v>60</v>
      </c>
      <c r="Z2428">
        <v>181.80756753304101</v>
      </c>
    </row>
    <row r="2429" spans="1:26" x14ac:dyDescent="0.3">
      <c r="A2429" t="s">
        <v>49</v>
      </c>
      <c r="B2429" t="s">
        <v>2485</v>
      </c>
      <c r="C2429">
        <v>76.851755610374198</v>
      </c>
      <c r="D2429">
        <v>7</v>
      </c>
      <c r="E2429">
        <v>650</v>
      </c>
      <c r="F2429">
        <v>1675.1988000362601</v>
      </c>
      <c r="G2429" t="s">
        <v>35</v>
      </c>
      <c r="H2429">
        <v>14</v>
      </c>
      <c r="I2429">
        <v>17</v>
      </c>
      <c r="J2429">
        <v>71</v>
      </c>
      <c r="K2429">
        <v>7</v>
      </c>
      <c r="L2429" t="s">
        <v>27</v>
      </c>
      <c r="M2429">
        <v>9.0510726029999997</v>
      </c>
      <c r="N2429" t="s">
        <v>37</v>
      </c>
      <c r="O2429" t="s">
        <v>65</v>
      </c>
      <c r="P2429">
        <f>VLOOKUP(O2429, Coordinates!$A$2:$C$6, 2, FALSE)</f>
        <v>41.878100000000003</v>
      </c>
      <c r="Q2429">
        <f>VLOOKUP(O2429, Coordinates!$A$2:$C$6, 3, FALSE)</f>
        <v>-87.629800000000003</v>
      </c>
      <c r="R2429">
        <v>7</v>
      </c>
      <c r="S2429">
        <v>877</v>
      </c>
      <c r="T2429">
        <v>1</v>
      </c>
      <c r="U2429">
        <v>25.6330239412294</v>
      </c>
      <c r="V2429" t="s">
        <v>39</v>
      </c>
      <c r="W2429">
        <v>2.26486550497693</v>
      </c>
      <c r="X2429" t="s">
        <v>52</v>
      </c>
      <c r="Y2429" t="s">
        <v>41</v>
      </c>
      <c r="Z2429">
        <v>141.972400027351</v>
      </c>
    </row>
    <row r="2430" spans="1:26" x14ac:dyDescent="0.3">
      <c r="A2430" t="s">
        <v>82</v>
      </c>
      <c r="B2430" t="s">
        <v>2486</v>
      </c>
      <c r="C2430">
        <v>12.758391206709099</v>
      </c>
      <c r="D2430">
        <v>23</v>
      </c>
      <c r="E2430">
        <v>736</v>
      </c>
      <c r="F2430">
        <v>9060.8610736172595</v>
      </c>
      <c r="G2430" t="s">
        <v>26</v>
      </c>
      <c r="H2430">
        <v>94</v>
      </c>
      <c r="I2430">
        <v>20</v>
      </c>
      <c r="J2430">
        <v>83</v>
      </c>
      <c r="K2430">
        <v>4</v>
      </c>
      <c r="L2430" t="s">
        <v>27</v>
      </c>
      <c r="M2430">
        <v>2.81623053815767</v>
      </c>
      <c r="N2430" t="s">
        <v>28</v>
      </c>
      <c r="O2430" t="s">
        <v>29</v>
      </c>
      <c r="P2430">
        <f>VLOOKUP(O2430, Coordinates!$A$2:$C$6, 2, FALSE)</f>
        <v>29.760400000000001</v>
      </c>
      <c r="Q2430">
        <f>VLOOKUP(O2430, Coordinates!$A$2:$C$6, 3, FALSE)</f>
        <v>-95.369799999999998</v>
      </c>
      <c r="R2430">
        <v>28</v>
      </c>
      <c r="S2430">
        <v>478</v>
      </c>
      <c r="T2430">
        <v>26</v>
      </c>
      <c r="U2430">
        <v>14.1579043847922</v>
      </c>
      <c r="V2430" t="s">
        <v>39</v>
      </c>
      <c r="W2430">
        <v>2.6537131572308899</v>
      </c>
      <c r="X2430" t="s">
        <v>40</v>
      </c>
      <c r="Y2430" t="s">
        <v>41</v>
      </c>
      <c r="Z2430">
        <v>897.40820181295305</v>
      </c>
    </row>
    <row r="2431" spans="1:26" x14ac:dyDescent="0.3">
      <c r="A2431" t="s">
        <v>82</v>
      </c>
      <c r="B2431" t="s">
        <v>2487</v>
      </c>
      <c r="C2431">
        <v>92.807271725492797</v>
      </c>
      <c r="D2431">
        <v>61</v>
      </c>
      <c r="E2431">
        <v>804</v>
      </c>
      <c r="F2431">
        <v>8224.0823130000008</v>
      </c>
      <c r="G2431" t="s">
        <v>35</v>
      </c>
      <c r="H2431">
        <v>16</v>
      </c>
      <c r="I2431">
        <v>4</v>
      </c>
      <c r="J2431">
        <v>82</v>
      </c>
      <c r="K2431">
        <v>7</v>
      </c>
      <c r="L2431" t="s">
        <v>44</v>
      </c>
      <c r="M2431">
        <v>3.4761026490901101</v>
      </c>
      <c r="N2431" t="s">
        <v>51</v>
      </c>
      <c r="O2431" t="s">
        <v>67</v>
      </c>
      <c r="P2431">
        <f>VLOOKUP(O2431, Coordinates!$A$2:$C$6, 2, FALSE)</f>
        <v>40.712800000000001</v>
      </c>
      <c r="Q2431">
        <f>VLOOKUP(O2431, Coordinates!$A$2:$C$6, 3, FALSE)</f>
        <v>-74.006</v>
      </c>
      <c r="R2431">
        <v>3</v>
      </c>
      <c r="S2431">
        <v>847</v>
      </c>
      <c r="T2431">
        <v>13</v>
      </c>
      <c r="U2431">
        <v>52.174350965189703</v>
      </c>
      <c r="V2431" t="s">
        <v>55</v>
      </c>
      <c r="W2431">
        <v>0.32713351992901302</v>
      </c>
      <c r="X2431" t="s">
        <v>52</v>
      </c>
      <c r="Y2431" t="s">
        <v>60</v>
      </c>
      <c r="Z2431">
        <v>251.66155956055599</v>
      </c>
    </row>
    <row r="2432" spans="1:26" x14ac:dyDescent="0.3">
      <c r="A2432" t="s">
        <v>33</v>
      </c>
      <c r="B2432" t="s">
        <v>2488</v>
      </c>
      <c r="C2432">
        <v>35.953228773196003</v>
      </c>
      <c r="D2432">
        <v>71</v>
      </c>
      <c r="E2432">
        <v>368</v>
      </c>
      <c r="F2432">
        <v>2255.7410250370199</v>
      </c>
      <c r="G2432" t="s">
        <v>35</v>
      </c>
      <c r="H2432">
        <v>11</v>
      </c>
      <c r="I2432">
        <v>6</v>
      </c>
      <c r="J2432">
        <v>29</v>
      </c>
      <c r="K2432">
        <v>8</v>
      </c>
      <c r="L2432" t="s">
        <v>27</v>
      </c>
      <c r="M2432">
        <v>2.8505750247333501</v>
      </c>
      <c r="N2432" t="s">
        <v>28</v>
      </c>
      <c r="O2432" t="s">
        <v>38</v>
      </c>
      <c r="P2432">
        <f>VLOOKUP(O2432, Coordinates!$A$2:$C$6, 2, FALSE)</f>
        <v>25.761700000000001</v>
      </c>
      <c r="Q2432">
        <f>VLOOKUP(O2432, Coordinates!$A$2:$C$6, 3, FALSE)</f>
        <v>-80.191800000000001</v>
      </c>
      <c r="R2432">
        <v>6</v>
      </c>
      <c r="S2432">
        <v>805</v>
      </c>
      <c r="T2432">
        <v>1</v>
      </c>
      <c r="U2432">
        <v>62.797365182624397</v>
      </c>
      <c r="V2432" t="s">
        <v>30</v>
      </c>
      <c r="W2432">
        <v>4.5424712566831804</v>
      </c>
      <c r="X2432" t="s">
        <v>46</v>
      </c>
      <c r="Y2432" t="s">
        <v>60</v>
      </c>
      <c r="Z2432">
        <v>655.73636950744799</v>
      </c>
    </row>
    <row r="2433" spans="1:26" x14ac:dyDescent="0.3">
      <c r="A2433" t="s">
        <v>61</v>
      </c>
      <c r="B2433" t="s">
        <v>2489</v>
      </c>
      <c r="C2433">
        <v>17.138592015048999</v>
      </c>
      <c r="D2433">
        <v>34</v>
      </c>
      <c r="E2433">
        <v>206</v>
      </c>
      <c r="F2433">
        <v>7990.9144421506498</v>
      </c>
      <c r="G2433" t="s">
        <v>26</v>
      </c>
      <c r="H2433">
        <v>21</v>
      </c>
      <c r="I2433">
        <v>12</v>
      </c>
      <c r="J2433">
        <v>44</v>
      </c>
      <c r="K2433">
        <v>10</v>
      </c>
      <c r="L2433" t="s">
        <v>27</v>
      </c>
      <c r="M2433">
        <v>5.3072121781224499</v>
      </c>
      <c r="N2433" t="s">
        <v>28</v>
      </c>
      <c r="O2433" t="s">
        <v>58</v>
      </c>
      <c r="P2433">
        <f>VLOOKUP(O2433, Coordinates!$A$2:$C$6, 2, FALSE)</f>
        <v>34.052199999999999</v>
      </c>
      <c r="Q2433">
        <f>VLOOKUP(O2433, Coordinates!$A$2:$C$6, 3, FALSE)</f>
        <v>-118.2437</v>
      </c>
      <c r="R2433">
        <v>20</v>
      </c>
      <c r="S2433">
        <v>466</v>
      </c>
      <c r="T2433">
        <v>11</v>
      </c>
      <c r="U2433">
        <v>14.0207686916907</v>
      </c>
      <c r="V2433" t="s">
        <v>30</v>
      </c>
      <c r="W2433">
        <v>3.3385852582092501</v>
      </c>
      <c r="X2433" t="s">
        <v>52</v>
      </c>
      <c r="Y2433" t="s">
        <v>32</v>
      </c>
      <c r="Z2433">
        <v>686.09629824757405</v>
      </c>
    </row>
    <row r="2434" spans="1:26" x14ac:dyDescent="0.3">
      <c r="A2434" t="s">
        <v>49</v>
      </c>
      <c r="B2434" t="s">
        <v>2490</v>
      </c>
      <c r="C2434">
        <v>47.024820644729701</v>
      </c>
      <c r="D2434">
        <v>19</v>
      </c>
      <c r="E2434">
        <v>886</v>
      </c>
      <c r="F2434">
        <v>6632.6199939999997</v>
      </c>
      <c r="G2434" t="s">
        <v>48</v>
      </c>
      <c r="H2434">
        <v>22</v>
      </c>
      <c r="I2434">
        <v>28</v>
      </c>
      <c r="J2434">
        <v>46</v>
      </c>
      <c r="K2434">
        <v>10</v>
      </c>
      <c r="L2434" t="s">
        <v>44</v>
      </c>
      <c r="M2434">
        <v>6.3129556635905901</v>
      </c>
      <c r="N2434" t="s">
        <v>45</v>
      </c>
      <c r="O2434" t="s">
        <v>38</v>
      </c>
      <c r="P2434">
        <f>VLOOKUP(O2434, Coordinates!$A$2:$C$6, 2, FALSE)</f>
        <v>25.761700000000001</v>
      </c>
      <c r="Q2434">
        <f>VLOOKUP(O2434, Coordinates!$A$2:$C$6, 3, FALSE)</f>
        <v>-80.191800000000001</v>
      </c>
      <c r="R2434">
        <v>25</v>
      </c>
      <c r="S2434">
        <v>636</v>
      </c>
      <c r="T2434">
        <v>2</v>
      </c>
      <c r="U2434">
        <v>18.1433999384139</v>
      </c>
      <c r="V2434" t="s">
        <v>39</v>
      </c>
      <c r="W2434">
        <v>4.9761321133693599</v>
      </c>
      <c r="X2434" t="s">
        <v>31</v>
      </c>
      <c r="Y2434" t="s">
        <v>41</v>
      </c>
      <c r="Z2434">
        <v>385.79000163888998</v>
      </c>
    </row>
    <row r="2435" spans="1:26" x14ac:dyDescent="0.3">
      <c r="A2435" t="s">
        <v>42</v>
      </c>
      <c r="B2435" t="s">
        <v>2491</v>
      </c>
      <c r="C2435">
        <v>9.0346413793706493</v>
      </c>
      <c r="D2435">
        <v>58</v>
      </c>
      <c r="E2435">
        <v>150</v>
      </c>
      <c r="F2435">
        <v>4682.2940909999998</v>
      </c>
      <c r="G2435" t="s">
        <v>54</v>
      </c>
      <c r="H2435">
        <v>89</v>
      </c>
      <c r="I2435">
        <v>18</v>
      </c>
      <c r="J2435">
        <v>81</v>
      </c>
      <c r="K2435">
        <v>4</v>
      </c>
      <c r="L2435" t="s">
        <v>36</v>
      </c>
      <c r="M2435">
        <v>12.1557469055856</v>
      </c>
      <c r="N2435" t="s">
        <v>45</v>
      </c>
      <c r="O2435" t="s">
        <v>38</v>
      </c>
      <c r="P2435">
        <f>VLOOKUP(O2435, Coordinates!$A$2:$C$6, 2, FALSE)</f>
        <v>25.761700000000001</v>
      </c>
      <c r="Q2435">
        <f>VLOOKUP(O2435, Coordinates!$A$2:$C$6, 3, FALSE)</f>
        <v>-80.191800000000001</v>
      </c>
      <c r="R2435">
        <v>29</v>
      </c>
      <c r="S2435">
        <v>870</v>
      </c>
      <c r="T2435">
        <v>21</v>
      </c>
      <c r="U2435">
        <v>53.697252412931498</v>
      </c>
      <c r="V2435" t="s">
        <v>55</v>
      </c>
      <c r="W2435">
        <v>4.7561963850026103</v>
      </c>
      <c r="X2435" t="s">
        <v>46</v>
      </c>
      <c r="Y2435" t="s">
        <v>41</v>
      </c>
      <c r="Z2435">
        <v>849.92154756589798</v>
      </c>
    </row>
    <row r="2436" spans="1:26" x14ac:dyDescent="0.3">
      <c r="A2436" t="s">
        <v>42</v>
      </c>
      <c r="B2436" t="s">
        <v>2492</v>
      </c>
      <c r="C2436">
        <v>70.039488455171707</v>
      </c>
      <c r="D2436">
        <v>9</v>
      </c>
      <c r="E2436">
        <v>840</v>
      </c>
      <c r="F2436">
        <v>3286.19034186006</v>
      </c>
      <c r="G2436" t="s">
        <v>54</v>
      </c>
      <c r="H2436">
        <v>77</v>
      </c>
      <c r="I2436">
        <v>7</v>
      </c>
      <c r="J2436">
        <v>63</v>
      </c>
      <c r="K2436">
        <v>5</v>
      </c>
      <c r="L2436" t="s">
        <v>44</v>
      </c>
      <c r="M2436">
        <v>3.6775547602348002</v>
      </c>
      <c r="N2436" t="s">
        <v>51</v>
      </c>
      <c r="O2436" t="s">
        <v>29</v>
      </c>
      <c r="P2436">
        <f>VLOOKUP(O2436, Coordinates!$A$2:$C$6, 2, FALSE)</f>
        <v>29.760400000000001</v>
      </c>
      <c r="Q2436">
        <f>VLOOKUP(O2436, Coordinates!$A$2:$C$6, 3, FALSE)</f>
        <v>-95.369799999999998</v>
      </c>
      <c r="R2436">
        <v>4</v>
      </c>
      <c r="S2436">
        <v>170</v>
      </c>
      <c r="T2436">
        <v>3</v>
      </c>
      <c r="U2436">
        <v>81.926193898087803</v>
      </c>
      <c r="V2436" t="s">
        <v>30</v>
      </c>
      <c r="W2436">
        <v>4.9681858880419298</v>
      </c>
      <c r="X2436" t="s">
        <v>31</v>
      </c>
      <c r="Y2436" t="s">
        <v>60</v>
      </c>
      <c r="Z2436">
        <v>292.62723225475099</v>
      </c>
    </row>
    <row r="2437" spans="1:26" x14ac:dyDescent="0.3">
      <c r="A2437" t="s">
        <v>24</v>
      </c>
      <c r="B2437" t="s">
        <v>2493</v>
      </c>
      <c r="C2437">
        <v>24.497240295605199</v>
      </c>
      <c r="D2437">
        <v>48</v>
      </c>
      <c r="E2437">
        <v>643</v>
      </c>
      <c r="F2437">
        <v>14176.552959066699</v>
      </c>
      <c r="G2437" t="s">
        <v>35</v>
      </c>
      <c r="H2437">
        <v>11</v>
      </c>
      <c r="I2437">
        <v>5</v>
      </c>
      <c r="J2437">
        <v>89</v>
      </c>
      <c r="K2437">
        <v>3</v>
      </c>
      <c r="L2437" t="s">
        <v>36</v>
      </c>
      <c r="M2437">
        <v>11.1551121398118</v>
      </c>
      <c r="N2437" t="s">
        <v>51</v>
      </c>
      <c r="O2437" t="s">
        <v>58</v>
      </c>
      <c r="P2437">
        <f>VLOOKUP(O2437, Coordinates!$A$2:$C$6, 2, FALSE)</f>
        <v>34.052199999999999</v>
      </c>
      <c r="Q2437">
        <f>VLOOKUP(O2437, Coordinates!$A$2:$C$6, 3, FALSE)</f>
        <v>-118.2437</v>
      </c>
      <c r="R2437">
        <v>19</v>
      </c>
      <c r="S2437">
        <v>127</v>
      </c>
      <c r="T2437">
        <v>13</v>
      </c>
      <c r="U2437">
        <v>76.787160088211806</v>
      </c>
      <c r="V2437" t="s">
        <v>30</v>
      </c>
      <c r="W2437">
        <v>0.816966953292384</v>
      </c>
      <c r="X2437" t="s">
        <v>40</v>
      </c>
      <c r="Y2437" t="s">
        <v>41</v>
      </c>
      <c r="Z2437">
        <v>164.31216839999999</v>
      </c>
    </row>
    <row r="2438" spans="1:26" x14ac:dyDescent="0.3">
      <c r="A2438" t="s">
        <v>82</v>
      </c>
      <c r="B2438" t="s">
        <v>2494</v>
      </c>
      <c r="C2438">
        <v>84.539985678158303</v>
      </c>
      <c r="D2438">
        <v>82</v>
      </c>
      <c r="E2438">
        <v>461</v>
      </c>
      <c r="F2438">
        <v>7301.6943336464701</v>
      </c>
      <c r="G2438" t="s">
        <v>48</v>
      </c>
      <c r="H2438">
        <v>67</v>
      </c>
      <c r="I2438">
        <v>10</v>
      </c>
      <c r="J2438">
        <v>37</v>
      </c>
      <c r="K2438">
        <v>5</v>
      </c>
      <c r="L2438" t="s">
        <v>27</v>
      </c>
      <c r="M2438">
        <v>7.8771990296030996</v>
      </c>
      <c r="N2438" t="s">
        <v>57</v>
      </c>
      <c r="O2438" t="s">
        <v>67</v>
      </c>
      <c r="P2438">
        <f>VLOOKUP(O2438, Coordinates!$A$2:$C$6, 2, FALSE)</f>
        <v>40.712800000000001</v>
      </c>
      <c r="Q2438">
        <f>VLOOKUP(O2438, Coordinates!$A$2:$C$6, 3, FALSE)</f>
        <v>-74.006</v>
      </c>
      <c r="R2438">
        <v>2</v>
      </c>
      <c r="S2438">
        <v>492</v>
      </c>
      <c r="T2438">
        <v>7</v>
      </c>
      <c r="U2438">
        <v>19.423919809348199</v>
      </c>
      <c r="V2438" t="s">
        <v>39</v>
      </c>
      <c r="W2438">
        <v>3.7449849245251099</v>
      </c>
      <c r="X2438" t="s">
        <v>40</v>
      </c>
      <c r="Y2438" t="s">
        <v>60</v>
      </c>
      <c r="Z2438">
        <v>161.687747967901</v>
      </c>
    </row>
    <row r="2439" spans="1:26" x14ac:dyDescent="0.3">
      <c r="A2439" t="s">
        <v>33</v>
      </c>
      <c r="B2439" t="s">
        <v>2495</v>
      </c>
      <c r="C2439">
        <v>17.10009998</v>
      </c>
      <c r="D2439">
        <v>41</v>
      </c>
      <c r="E2439">
        <v>139</v>
      </c>
      <c r="F2439">
        <v>5929.65918522223</v>
      </c>
      <c r="G2439" t="s">
        <v>54</v>
      </c>
      <c r="H2439">
        <v>50</v>
      </c>
      <c r="I2439">
        <v>6</v>
      </c>
      <c r="J2439">
        <v>79</v>
      </c>
      <c r="K2439">
        <v>8</v>
      </c>
      <c r="L2439" t="s">
        <v>44</v>
      </c>
      <c r="M2439">
        <v>14.995238895795801</v>
      </c>
      <c r="N2439" t="s">
        <v>51</v>
      </c>
      <c r="O2439" t="s">
        <v>38</v>
      </c>
      <c r="P2439">
        <f>VLOOKUP(O2439, Coordinates!$A$2:$C$6, 2, FALSE)</f>
        <v>25.761700000000001</v>
      </c>
      <c r="Q2439">
        <f>VLOOKUP(O2439, Coordinates!$A$2:$C$6, 3, FALSE)</f>
        <v>-80.191800000000001</v>
      </c>
      <c r="R2439">
        <v>4</v>
      </c>
      <c r="S2439">
        <v>622</v>
      </c>
      <c r="T2439">
        <v>2</v>
      </c>
      <c r="U2439">
        <v>89.878804645734505</v>
      </c>
      <c r="V2439" t="s">
        <v>55</v>
      </c>
      <c r="W2439">
        <v>2.8997258724419299</v>
      </c>
      <c r="X2439" t="s">
        <v>31</v>
      </c>
      <c r="Y2439" t="s">
        <v>41</v>
      </c>
      <c r="Z2439">
        <v>370.38414423497602</v>
      </c>
    </row>
    <row r="2440" spans="1:26" x14ac:dyDescent="0.3">
      <c r="A2440" t="s">
        <v>33</v>
      </c>
      <c r="B2440" t="s">
        <v>2496</v>
      </c>
      <c r="C2440">
        <v>16.995758025234501</v>
      </c>
      <c r="D2440">
        <v>48</v>
      </c>
      <c r="E2440">
        <v>919</v>
      </c>
      <c r="F2440">
        <v>6486.1168050861697</v>
      </c>
      <c r="G2440" t="s">
        <v>26</v>
      </c>
      <c r="H2440">
        <v>7</v>
      </c>
      <c r="I2440">
        <v>28</v>
      </c>
      <c r="J2440">
        <v>41</v>
      </c>
      <c r="K2440">
        <v>3</v>
      </c>
      <c r="L2440" t="s">
        <v>36</v>
      </c>
      <c r="M2440">
        <v>11.872154454628101</v>
      </c>
      <c r="N2440" t="s">
        <v>57</v>
      </c>
      <c r="O2440" t="s">
        <v>67</v>
      </c>
      <c r="P2440">
        <f>VLOOKUP(O2440, Coordinates!$A$2:$C$6, 2, FALSE)</f>
        <v>40.712800000000001</v>
      </c>
      <c r="Q2440">
        <f>VLOOKUP(O2440, Coordinates!$A$2:$C$6, 3, FALSE)</f>
        <v>-74.006</v>
      </c>
      <c r="R2440">
        <v>26</v>
      </c>
      <c r="S2440">
        <v>448</v>
      </c>
      <c r="T2440">
        <v>2</v>
      </c>
      <c r="U2440">
        <v>92.570521130000003</v>
      </c>
      <c r="V2440" t="s">
        <v>30</v>
      </c>
      <c r="W2440">
        <v>2.3049859429513901</v>
      </c>
      <c r="X2440" t="s">
        <v>52</v>
      </c>
      <c r="Y2440" t="s">
        <v>60</v>
      </c>
      <c r="Z2440">
        <v>516.92184236431103</v>
      </c>
    </row>
    <row r="2441" spans="1:26" x14ac:dyDescent="0.3">
      <c r="A2441" t="s">
        <v>42</v>
      </c>
      <c r="B2441" t="s">
        <v>2497</v>
      </c>
      <c r="C2441">
        <v>82.276275820804997</v>
      </c>
      <c r="D2441">
        <v>45</v>
      </c>
      <c r="E2441">
        <v>268</v>
      </c>
      <c r="F2441">
        <v>1819.59563873962</v>
      </c>
      <c r="G2441" t="s">
        <v>26</v>
      </c>
      <c r="H2441">
        <v>56</v>
      </c>
      <c r="I2441">
        <v>14</v>
      </c>
      <c r="J2441">
        <v>20</v>
      </c>
      <c r="K2441">
        <v>5</v>
      </c>
      <c r="L2441" t="s">
        <v>27</v>
      </c>
      <c r="M2441">
        <v>14.565341841145999</v>
      </c>
      <c r="N2441" t="s">
        <v>57</v>
      </c>
      <c r="O2441" t="s">
        <v>65</v>
      </c>
      <c r="P2441">
        <f>VLOOKUP(O2441, Coordinates!$A$2:$C$6, 2, FALSE)</f>
        <v>41.878100000000003</v>
      </c>
      <c r="Q2441">
        <f>VLOOKUP(O2441, Coordinates!$A$2:$C$6, 3, FALSE)</f>
        <v>-87.629800000000003</v>
      </c>
      <c r="R2441">
        <v>2</v>
      </c>
      <c r="S2441">
        <v>217</v>
      </c>
      <c r="T2441">
        <v>3</v>
      </c>
      <c r="U2441">
        <v>39.246114506451399</v>
      </c>
      <c r="V2441" t="s">
        <v>39</v>
      </c>
      <c r="W2441">
        <v>4.8880630082357204</v>
      </c>
      <c r="X2441" t="s">
        <v>40</v>
      </c>
      <c r="Y2441" t="s">
        <v>32</v>
      </c>
      <c r="Z2441">
        <v>666.42688914367102</v>
      </c>
    </row>
    <row r="2442" spans="1:26" x14ac:dyDescent="0.3">
      <c r="A2442" t="s">
        <v>24</v>
      </c>
      <c r="B2442" t="s">
        <v>2498</v>
      </c>
      <c r="C2442">
        <v>37.304071142352598</v>
      </c>
      <c r="D2442">
        <v>25</v>
      </c>
      <c r="E2442">
        <v>68</v>
      </c>
      <c r="F2442">
        <v>2283.0091539119799</v>
      </c>
      <c r="G2442" t="s">
        <v>35</v>
      </c>
      <c r="H2442">
        <v>54</v>
      </c>
      <c r="I2442">
        <v>6</v>
      </c>
      <c r="J2442">
        <v>51</v>
      </c>
      <c r="K2442">
        <v>10</v>
      </c>
      <c r="L2442" t="s">
        <v>27</v>
      </c>
      <c r="M2442">
        <v>5.79292102289459</v>
      </c>
      <c r="N2442" t="s">
        <v>51</v>
      </c>
      <c r="O2442" t="s">
        <v>58</v>
      </c>
      <c r="P2442">
        <f>VLOOKUP(O2442, Coordinates!$A$2:$C$6, 2, FALSE)</f>
        <v>34.052199999999999</v>
      </c>
      <c r="Q2442">
        <f>VLOOKUP(O2442, Coordinates!$A$2:$C$6, 3, FALSE)</f>
        <v>-118.2437</v>
      </c>
      <c r="R2442">
        <v>7</v>
      </c>
      <c r="S2442">
        <v>479</v>
      </c>
      <c r="T2442">
        <v>13</v>
      </c>
      <c r="U2442">
        <v>81.084694659999997</v>
      </c>
      <c r="V2442" t="s">
        <v>30</v>
      </c>
      <c r="W2442">
        <v>4.2513150557755601</v>
      </c>
      <c r="X2442" t="s">
        <v>52</v>
      </c>
      <c r="Y2442" t="s">
        <v>41</v>
      </c>
      <c r="Z2442">
        <v>755.83746985008895</v>
      </c>
    </row>
    <row r="2443" spans="1:26" x14ac:dyDescent="0.3">
      <c r="A2443" t="s">
        <v>24</v>
      </c>
      <c r="B2443" t="s">
        <v>2499</v>
      </c>
      <c r="C2443">
        <v>29.612721335504101</v>
      </c>
      <c r="D2443">
        <v>78</v>
      </c>
      <c r="E2443">
        <v>495</v>
      </c>
      <c r="F2443">
        <v>13192.467354967001</v>
      </c>
      <c r="G2443" t="s">
        <v>48</v>
      </c>
      <c r="H2443">
        <v>81</v>
      </c>
      <c r="I2443">
        <v>30</v>
      </c>
      <c r="J2443">
        <v>32</v>
      </c>
      <c r="K2443">
        <v>1</v>
      </c>
      <c r="L2443" t="s">
        <v>27</v>
      </c>
      <c r="M2443">
        <v>2.72270270432761</v>
      </c>
      <c r="N2443" t="s">
        <v>57</v>
      </c>
      <c r="O2443" t="s">
        <v>67</v>
      </c>
      <c r="P2443">
        <f>VLOOKUP(O2443, Coordinates!$A$2:$C$6, 2, FALSE)</f>
        <v>40.712800000000001</v>
      </c>
      <c r="Q2443">
        <f>VLOOKUP(O2443, Coordinates!$A$2:$C$6, 3, FALSE)</f>
        <v>-74.006</v>
      </c>
      <c r="R2443">
        <v>15</v>
      </c>
      <c r="S2443">
        <v>307</v>
      </c>
      <c r="T2443">
        <v>12</v>
      </c>
      <c r="U2443">
        <v>94.747308468578694</v>
      </c>
      <c r="V2443" t="s">
        <v>39</v>
      </c>
      <c r="W2443">
        <v>3.4837499204673401</v>
      </c>
      <c r="X2443" t="s">
        <v>40</v>
      </c>
      <c r="Y2443" t="s">
        <v>32</v>
      </c>
      <c r="Z2443">
        <v>260.82185514875101</v>
      </c>
    </row>
    <row r="2444" spans="1:26" x14ac:dyDescent="0.3">
      <c r="A2444" t="s">
        <v>24</v>
      </c>
      <c r="B2444" t="s">
        <v>2500</v>
      </c>
      <c r="C2444">
        <v>33.909942219999998</v>
      </c>
      <c r="D2444">
        <v>25</v>
      </c>
      <c r="E2444">
        <v>651</v>
      </c>
      <c r="F2444">
        <v>19867.835147526399</v>
      </c>
      <c r="G2444" t="s">
        <v>48</v>
      </c>
      <c r="H2444">
        <v>27</v>
      </c>
      <c r="I2444">
        <v>14</v>
      </c>
      <c r="J2444">
        <v>39</v>
      </c>
      <c r="K2444">
        <v>2</v>
      </c>
      <c r="L2444" t="s">
        <v>36</v>
      </c>
      <c r="M2444">
        <v>8.0825412720328806</v>
      </c>
      <c r="N2444" t="s">
        <v>28</v>
      </c>
      <c r="O2444" t="s">
        <v>29</v>
      </c>
      <c r="P2444">
        <f>VLOOKUP(O2444, Coordinates!$A$2:$C$6, 2, FALSE)</f>
        <v>29.760400000000001</v>
      </c>
      <c r="Q2444">
        <f>VLOOKUP(O2444, Coordinates!$A$2:$C$6, 3, FALSE)</f>
        <v>-95.369799999999998</v>
      </c>
      <c r="R2444">
        <v>17</v>
      </c>
      <c r="S2444">
        <v>522</v>
      </c>
      <c r="T2444">
        <v>1</v>
      </c>
      <c r="U2444">
        <v>91.425029113825801</v>
      </c>
      <c r="V2444" t="s">
        <v>39</v>
      </c>
      <c r="W2444">
        <v>1.9133808359506901</v>
      </c>
      <c r="X2444" t="s">
        <v>31</v>
      </c>
      <c r="Y2444" t="s">
        <v>60</v>
      </c>
      <c r="Z2444">
        <v>715.53072968545803</v>
      </c>
    </row>
    <row r="2445" spans="1:26" x14ac:dyDescent="0.3">
      <c r="A2445" t="s">
        <v>49</v>
      </c>
      <c r="B2445" t="s">
        <v>2501</v>
      </c>
      <c r="C2445">
        <v>35.234893931643903</v>
      </c>
      <c r="D2445">
        <v>19</v>
      </c>
      <c r="E2445">
        <v>45</v>
      </c>
      <c r="F2445">
        <v>6951.7356609999997</v>
      </c>
      <c r="G2445" t="s">
        <v>54</v>
      </c>
      <c r="H2445">
        <v>43</v>
      </c>
      <c r="I2445">
        <v>12</v>
      </c>
      <c r="J2445">
        <v>18</v>
      </c>
      <c r="K2445">
        <v>3</v>
      </c>
      <c r="L2445" t="s">
        <v>36</v>
      </c>
      <c r="M2445">
        <v>2.7393526340886298</v>
      </c>
      <c r="N2445" t="s">
        <v>57</v>
      </c>
      <c r="O2445" t="s">
        <v>29</v>
      </c>
      <c r="P2445">
        <f>VLOOKUP(O2445, Coordinates!$A$2:$C$6, 2, FALSE)</f>
        <v>29.760400000000001</v>
      </c>
      <c r="Q2445">
        <f>VLOOKUP(O2445, Coordinates!$A$2:$C$6, 3, FALSE)</f>
        <v>-95.369799999999998</v>
      </c>
      <c r="R2445">
        <v>14</v>
      </c>
      <c r="S2445">
        <v>192</v>
      </c>
      <c r="T2445">
        <v>18</v>
      </c>
      <c r="U2445">
        <v>55.787367965386203</v>
      </c>
      <c r="V2445" t="s">
        <v>55</v>
      </c>
      <c r="W2445">
        <v>3.33020402077342</v>
      </c>
      <c r="X2445" t="s">
        <v>31</v>
      </c>
      <c r="Y2445" t="s">
        <v>41</v>
      </c>
      <c r="Z2445">
        <v>264.28604700955498</v>
      </c>
    </row>
    <row r="2446" spans="1:26" x14ac:dyDescent="0.3">
      <c r="A2446" t="s">
        <v>61</v>
      </c>
      <c r="B2446" t="s">
        <v>2502</v>
      </c>
      <c r="C2446">
        <v>89.955186234359303</v>
      </c>
      <c r="D2446">
        <v>39</v>
      </c>
      <c r="E2446">
        <v>300</v>
      </c>
      <c r="F2446">
        <v>9201.3053665085899</v>
      </c>
      <c r="G2446" t="s">
        <v>54</v>
      </c>
      <c r="H2446">
        <v>18</v>
      </c>
      <c r="I2446">
        <v>30</v>
      </c>
      <c r="J2446">
        <v>97</v>
      </c>
      <c r="K2446">
        <v>1</v>
      </c>
      <c r="L2446" t="s">
        <v>36</v>
      </c>
      <c r="M2446">
        <v>7.8943238680689003</v>
      </c>
      <c r="N2446" t="s">
        <v>28</v>
      </c>
      <c r="O2446" t="s">
        <v>67</v>
      </c>
      <c r="P2446">
        <f>VLOOKUP(O2446, Coordinates!$A$2:$C$6, 2, FALSE)</f>
        <v>40.712800000000001</v>
      </c>
      <c r="Q2446">
        <f>VLOOKUP(O2446, Coordinates!$A$2:$C$6, 3, FALSE)</f>
        <v>-74.006</v>
      </c>
      <c r="R2446">
        <v>11</v>
      </c>
      <c r="S2446">
        <v>240</v>
      </c>
      <c r="T2446">
        <v>5</v>
      </c>
      <c r="U2446">
        <v>96.396923234085705</v>
      </c>
      <c r="V2446" t="s">
        <v>30</v>
      </c>
      <c r="W2446">
        <v>2.6584706177970099</v>
      </c>
      <c r="X2446" t="s">
        <v>40</v>
      </c>
      <c r="Y2446" t="s">
        <v>41</v>
      </c>
      <c r="Z2446">
        <v>997.47373531100004</v>
      </c>
    </row>
    <row r="2447" spans="1:26" x14ac:dyDescent="0.3">
      <c r="A2447" t="s">
        <v>49</v>
      </c>
      <c r="B2447" t="s">
        <v>2503</v>
      </c>
      <c r="C2447">
        <v>66.265776000000002</v>
      </c>
      <c r="D2447">
        <v>79</v>
      </c>
      <c r="E2447">
        <v>7</v>
      </c>
      <c r="F2447">
        <v>4633.8094943051101</v>
      </c>
      <c r="G2447" t="s">
        <v>26</v>
      </c>
      <c r="H2447">
        <v>45</v>
      </c>
      <c r="I2447">
        <v>27</v>
      </c>
      <c r="J2447">
        <v>68</v>
      </c>
      <c r="K2447">
        <v>9</v>
      </c>
      <c r="L2447" t="s">
        <v>27</v>
      </c>
      <c r="M2447">
        <v>4.7791743664553197</v>
      </c>
      <c r="N2447" t="s">
        <v>28</v>
      </c>
      <c r="O2447" t="s">
        <v>65</v>
      </c>
      <c r="P2447">
        <f>VLOOKUP(O2447, Coordinates!$A$2:$C$6, 2, FALSE)</f>
        <v>41.878100000000003</v>
      </c>
      <c r="Q2447">
        <f>VLOOKUP(O2447, Coordinates!$A$2:$C$6, 3, FALSE)</f>
        <v>-87.629800000000003</v>
      </c>
      <c r="R2447">
        <v>17</v>
      </c>
      <c r="S2447">
        <v>454</v>
      </c>
      <c r="T2447">
        <v>19</v>
      </c>
      <c r="U2447">
        <v>27.940829547718501</v>
      </c>
      <c r="V2447" t="s">
        <v>30</v>
      </c>
      <c r="W2447">
        <v>1.24684224871349</v>
      </c>
      <c r="X2447" t="s">
        <v>40</v>
      </c>
      <c r="Y2447" t="s">
        <v>32</v>
      </c>
      <c r="Z2447">
        <v>963.16124460800495</v>
      </c>
    </row>
    <row r="2448" spans="1:26" x14ac:dyDescent="0.3">
      <c r="A2448" t="s">
        <v>72</v>
      </c>
      <c r="B2448" t="s">
        <v>2504</v>
      </c>
      <c r="C2448">
        <v>29.2263684255439</v>
      </c>
      <c r="D2448">
        <v>80</v>
      </c>
      <c r="E2448">
        <v>917</v>
      </c>
      <c r="F2448">
        <v>24120.521861601399</v>
      </c>
      <c r="G2448" t="s">
        <v>35</v>
      </c>
      <c r="H2448">
        <v>2</v>
      </c>
      <c r="I2448">
        <v>22</v>
      </c>
      <c r="J2448">
        <v>37</v>
      </c>
      <c r="K2448">
        <v>9</v>
      </c>
      <c r="L2448" t="s">
        <v>36</v>
      </c>
      <c r="M2448">
        <v>7.8746609739932101</v>
      </c>
      <c r="N2448" t="s">
        <v>28</v>
      </c>
      <c r="O2448" t="s">
        <v>58</v>
      </c>
      <c r="P2448">
        <f>VLOOKUP(O2448, Coordinates!$A$2:$C$6, 2, FALSE)</f>
        <v>34.052199999999999</v>
      </c>
      <c r="Q2448">
        <f>VLOOKUP(O2448, Coordinates!$A$2:$C$6, 3, FALSE)</f>
        <v>-118.2437</v>
      </c>
      <c r="R2448">
        <v>5</v>
      </c>
      <c r="S2448">
        <v>622</v>
      </c>
      <c r="T2448">
        <v>27</v>
      </c>
      <c r="U2448">
        <v>91.032765865839707</v>
      </c>
      <c r="V2448" t="s">
        <v>30</v>
      </c>
      <c r="W2448">
        <v>2.25190661572837</v>
      </c>
      <c r="X2448" t="s">
        <v>52</v>
      </c>
      <c r="Y2448" t="s">
        <v>32</v>
      </c>
      <c r="Z2448">
        <v>192.166740987493</v>
      </c>
    </row>
    <row r="2449" spans="1:26" x14ac:dyDescent="0.3">
      <c r="A2449" t="s">
        <v>72</v>
      </c>
      <c r="B2449" t="s">
        <v>2505</v>
      </c>
      <c r="C2449">
        <v>29.474613783074801</v>
      </c>
      <c r="D2449">
        <v>27</v>
      </c>
      <c r="E2449">
        <v>710</v>
      </c>
      <c r="F2449">
        <v>18834.278207384799</v>
      </c>
      <c r="G2449" t="s">
        <v>48</v>
      </c>
      <c r="H2449">
        <v>82</v>
      </c>
      <c r="I2449">
        <v>26</v>
      </c>
      <c r="J2449">
        <v>97</v>
      </c>
      <c r="K2449">
        <v>5</v>
      </c>
      <c r="L2449" t="s">
        <v>44</v>
      </c>
      <c r="M2449">
        <v>14.2949068507075</v>
      </c>
      <c r="N2449" t="s">
        <v>37</v>
      </c>
      <c r="O2449" t="s">
        <v>65</v>
      </c>
      <c r="P2449">
        <f>VLOOKUP(O2449, Coordinates!$A$2:$C$6, 2, FALSE)</f>
        <v>41.878100000000003</v>
      </c>
      <c r="Q2449">
        <f>VLOOKUP(O2449, Coordinates!$A$2:$C$6, 3, FALSE)</f>
        <v>-87.629800000000003</v>
      </c>
      <c r="R2449">
        <v>23</v>
      </c>
      <c r="S2449">
        <v>902</v>
      </c>
      <c r="T2449">
        <v>10</v>
      </c>
      <c r="U2449">
        <v>91.866088776863705</v>
      </c>
      <c r="V2449" t="s">
        <v>39</v>
      </c>
      <c r="W2449">
        <v>1.0610598405085601</v>
      </c>
      <c r="X2449" t="s">
        <v>52</v>
      </c>
      <c r="Y2449" t="s">
        <v>60</v>
      </c>
      <c r="Z2449">
        <v>689.60808299999997</v>
      </c>
    </row>
    <row r="2450" spans="1:26" x14ac:dyDescent="0.3">
      <c r="A2450" t="s">
        <v>61</v>
      </c>
      <c r="B2450" t="s">
        <v>2506</v>
      </c>
      <c r="C2450">
        <v>89.664006941042203</v>
      </c>
      <c r="D2450">
        <v>74</v>
      </c>
      <c r="E2450">
        <v>979</v>
      </c>
      <c r="F2450">
        <v>8840.6834170000002</v>
      </c>
      <c r="G2450" t="s">
        <v>54</v>
      </c>
      <c r="H2450">
        <v>19</v>
      </c>
      <c r="I2450">
        <v>12</v>
      </c>
      <c r="J2450">
        <v>88</v>
      </c>
      <c r="K2450">
        <v>4</v>
      </c>
      <c r="L2450" t="s">
        <v>36</v>
      </c>
      <c r="M2450">
        <v>5.0464768991289599</v>
      </c>
      <c r="N2450" t="s">
        <v>37</v>
      </c>
      <c r="O2450" t="s">
        <v>38</v>
      </c>
      <c r="P2450">
        <f>VLOOKUP(O2450, Coordinates!$A$2:$C$6, 2, FALSE)</f>
        <v>25.761700000000001</v>
      </c>
      <c r="Q2450">
        <f>VLOOKUP(O2450, Coordinates!$A$2:$C$6, 3, FALSE)</f>
        <v>-80.191800000000001</v>
      </c>
      <c r="R2450">
        <v>14</v>
      </c>
      <c r="S2450">
        <v>850</v>
      </c>
      <c r="T2450">
        <v>6</v>
      </c>
      <c r="U2450">
        <v>80.524966199999994</v>
      </c>
      <c r="V2450" t="s">
        <v>55</v>
      </c>
      <c r="W2450">
        <v>2.5021014660259202</v>
      </c>
      <c r="X2450" t="s">
        <v>52</v>
      </c>
      <c r="Y2450" t="s">
        <v>32</v>
      </c>
      <c r="Z2450">
        <v>912.94020363825496</v>
      </c>
    </row>
    <row r="2451" spans="1:26" x14ac:dyDescent="0.3">
      <c r="A2451" t="s">
        <v>42</v>
      </c>
      <c r="B2451" t="s">
        <v>2507</v>
      </c>
      <c r="C2451">
        <v>6.2952322709999997</v>
      </c>
      <c r="D2451">
        <v>63</v>
      </c>
      <c r="E2451">
        <v>915</v>
      </c>
      <c r="F2451">
        <v>7734.8692101024099</v>
      </c>
      <c r="G2451" t="s">
        <v>54</v>
      </c>
      <c r="H2451">
        <v>1</v>
      </c>
      <c r="I2451">
        <v>30</v>
      </c>
      <c r="J2451">
        <v>42</v>
      </c>
      <c r="K2451">
        <v>5</v>
      </c>
      <c r="L2451" t="s">
        <v>36</v>
      </c>
      <c r="M2451">
        <v>14.9080766911738</v>
      </c>
      <c r="N2451" t="s">
        <v>57</v>
      </c>
      <c r="O2451" t="s">
        <v>67</v>
      </c>
      <c r="P2451">
        <f>VLOOKUP(O2451, Coordinates!$A$2:$C$6, 2, FALSE)</f>
        <v>40.712800000000001</v>
      </c>
      <c r="Q2451">
        <f>VLOOKUP(O2451, Coordinates!$A$2:$C$6, 3, FALSE)</f>
        <v>-74.006</v>
      </c>
      <c r="R2451">
        <v>17</v>
      </c>
      <c r="S2451">
        <v>875</v>
      </c>
      <c r="T2451">
        <v>18</v>
      </c>
      <c r="U2451">
        <v>75.8964946561034</v>
      </c>
      <c r="V2451" t="s">
        <v>55</v>
      </c>
      <c r="W2451">
        <v>3.6011903797256002</v>
      </c>
      <c r="X2451" t="s">
        <v>31</v>
      </c>
      <c r="Y2451" t="s">
        <v>41</v>
      </c>
      <c r="Z2451">
        <v>172.632187586068</v>
      </c>
    </row>
    <row r="2452" spans="1:26" x14ac:dyDescent="0.3">
      <c r="A2452" t="s">
        <v>61</v>
      </c>
      <c r="B2452" t="s">
        <v>2508</v>
      </c>
      <c r="C2452">
        <v>35.6590244090306</v>
      </c>
      <c r="D2452">
        <v>68</v>
      </c>
      <c r="E2452">
        <v>225</v>
      </c>
      <c r="F2452">
        <v>8818.8150748292792</v>
      </c>
      <c r="G2452" t="s">
        <v>35</v>
      </c>
      <c r="H2452">
        <v>74</v>
      </c>
      <c r="I2452">
        <v>10</v>
      </c>
      <c r="J2452">
        <v>56</v>
      </c>
      <c r="K2452">
        <v>4</v>
      </c>
      <c r="L2452" t="s">
        <v>27</v>
      </c>
      <c r="M2452">
        <v>4.2106125716571903</v>
      </c>
      <c r="N2452" t="s">
        <v>51</v>
      </c>
      <c r="O2452" t="s">
        <v>65</v>
      </c>
      <c r="P2452">
        <f>VLOOKUP(O2452, Coordinates!$A$2:$C$6, 2, FALSE)</f>
        <v>41.878100000000003</v>
      </c>
      <c r="Q2452">
        <f>VLOOKUP(O2452, Coordinates!$A$2:$C$6, 3, FALSE)</f>
        <v>-87.629800000000003</v>
      </c>
      <c r="R2452">
        <v>28</v>
      </c>
      <c r="S2452">
        <v>874</v>
      </c>
      <c r="T2452">
        <v>15</v>
      </c>
      <c r="U2452">
        <v>87.365031819877302</v>
      </c>
      <c r="V2452" t="s">
        <v>30</v>
      </c>
      <c r="W2452">
        <v>0.18323111909564399</v>
      </c>
      <c r="X2452" t="s">
        <v>40</v>
      </c>
      <c r="Y2452" t="s">
        <v>41</v>
      </c>
      <c r="Z2452">
        <v>211.58336883525399</v>
      </c>
    </row>
    <row r="2453" spans="1:26" x14ac:dyDescent="0.3">
      <c r="A2453" t="s">
        <v>33</v>
      </c>
      <c r="B2453" t="s">
        <v>2509</v>
      </c>
      <c r="C2453">
        <v>57.663884715555</v>
      </c>
      <c r="D2453">
        <v>19</v>
      </c>
      <c r="E2453">
        <v>374</v>
      </c>
      <c r="F2453">
        <v>5828.9920390971902</v>
      </c>
      <c r="G2453" t="s">
        <v>35</v>
      </c>
      <c r="H2453">
        <v>55</v>
      </c>
      <c r="I2453">
        <v>16</v>
      </c>
      <c r="J2453">
        <v>31</v>
      </c>
      <c r="K2453">
        <v>8</v>
      </c>
      <c r="L2453" t="s">
        <v>44</v>
      </c>
      <c r="M2453">
        <v>3.91351730595846</v>
      </c>
      <c r="N2453" t="s">
        <v>57</v>
      </c>
      <c r="O2453" t="s">
        <v>38</v>
      </c>
      <c r="P2453">
        <f>VLOOKUP(O2453, Coordinates!$A$2:$C$6, 2, FALSE)</f>
        <v>25.761700000000001</v>
      </c>
      <c r="Q2453">
        <f>VLOOKUP(O2453, Coordinates!$A$2:$C$6, 3, FALSE)</f>
        <v>-80.191800000000001</v>
      </c>
      <c r="R2453">
        <v>28</v>
      </c>
      <c r="S2453">
        <v>168</v>
      </c>
      <c r="T2453">
        <v>14</v>
      </c>
      <c r="U2453">
        <v>73.229155564942999</v>
      </c>
      <c r="V2453" t="s">
        <v>55</v>
      </c>
      <c r="W2453">
        <v>3.8268985469999999</v>
      </c>
      <c r="X2453" t="s">
        <v>46</v>
      </c>
      <c r="Y2453" t="s">
        <v>41</v>
      </c>
      <c r="Z2453">
        <v>966.23012580126203</v>
      </c>
    </row>
    <row r="2454" spans="1:26" x14ac:dyDescent="0.3">
      <c r="A2454" t="s">
        <v>72</v>
      </c>
      <c r="B2454" t="s">
        <v>2510</v>
      </c>
      <c r="C2454">
        <v>36.442957497623503</v>
      </c>
      <c r="D2454">
        <v>28</v>
      </c>
      <c r="E2454">
        <v>372</v>
      </c>
      <c r="F2454">
        <v>12201.1021702043</v>
      </c>
      <c r="G2454" t="s">
        <v>26</v>
      </c>
      <c r="H2454">
        <v>80</v>
      </c>
      <c r="I2454">
        <v>20</v>
      </c>
      <c r="J2454">
        <v>38</v>
      </c>
      <c r="K2454">
        <v>7</v>
      </c>
      <c r="L2454" t="s">
        <v>44</v>
      </c>
      <c r="M2454">
        <v>8.6270393219886401</v>
      </c>
      <c r="N2454" t="s">
        <v>37</v>
      </c>
      <c r="O2454" t="s">
        <v>65</v>
      </c>
      <c r="P2454">
        <f>VLOOKUP(O2454, Coordinates!$A$2:$C$6, 2, FALSE)</f>
        <v>41.878100000000003</v>
      </c>
      <c r="Q2454">
        <f>VLOOKUP(O2454, Coordinates!$A$2:$C$6, 3, FALSE)</f>
        <v>-87.629800000000003</v>
      </c>
      <c r="R2454">
        <v>20</v>
      </c>
      <c r="S2454">
        <v>681</v>
      </c>
      <c r="T2454">
        <v>24</v>
      </c>
      <c r="U2454">
        <v>92.3010214104753</v>
      </c>
      <c r="V2454" t="s">
        <v>30</v>
      </c>
      <c r="W2454">
        <v>9.9969959999999997E-2</v>
      </c>
      <c r="X2454" t="s">
        <v>52</v>
      </c>
      <c r="Y2454" t="s">
        <v>41</v>
      </c>
      <c r="Z2454">
        <v>186.15565244883399</v>
      </c>
    </row>
    <row r="2455" spans="1:26" x14ac:dyDescent="0.3">
      <c r="A2455" t="s">
        <v>82</v>
      </c>
      <c r="B2455" t="s">
        <v>2511</v>
      </c>
      <c r="C2455">
        <v>13.749381648961</v>
      </c>
      <c r="D2455">
        <v>85</v>
      </c>
      <c r="E2455">
        <v>440</v>
      </c>
      <c r="F2455">
        <v>2260.5810342304198</v>
      </c>
      <c r="G2455" t="s">
        <v>35</v>
      </c>
      <c r="H2455">
        <v>60</v>
      </c>
      <c r="I2455">
        <v>26</v>
      </c>
      <c r="J2455">
        <v>43</v>
      </c>
      <c r="K2455">
        <v>8</v>
      </c>
      <c r="L2455" t="s">
        <v>44</v>
      </c>
      <c r="M2455">
        <v>12.788629136425101</v>
      </c>
      <c r="N2455" t="s">
        <v>45</v>
      </c>
      <c r="O2455" t="s">
        <v>38</v>
      </c>
      <c r="P2455">
        <f>VLOOKUP(O2455, Coordinates!$A$2:$C$6, 2, FALSE)</f>
        <v>25.761700000000001</v>
      </c>
      <c r="Q2455">
        <f>VLOOKUP(O2455, Coordinates!$A$2:$C$6, 3, FALSE)</f>
        <v>-80.191800000000001</v>
      </c>
      <c r="R2455">
        <v>28</v>
      </c>
      <c r="S2455">
        <v>796</v>
      </c>
      <c r="T2455">
        <v>16</v>
      </c>
      <c r="U2455">
        <v>51.303251176975998</v>
      </c>
      <c r="V2455" t="s">
        <v>39</v>
      </c>
      <c r="W2455">
        <v>4.7165836884063603</v>
      </c>
      <c r="X2455" t="s">
        <v>46</v>
      </c>
      <c r="Y2455" t="s">
        <v>32</v>
      </c>
      <c r="Z2455">
        <v>897.03293721107002</v>
      </c>
    </row>
    <row r="2456" spans="1:26" x14ac:dyDescent="0.3">
      <c r="A2456" t="s">
        <v>82</v>
      </c>
      <c r="B2456" t="s">
        <v>2512</v>
      </c>
      <c r="C2456">
        <v>82.451251453603106</v>
      </c>
      <c r="D2456">
        <v>78</v>
      </c>
      <c r="E2456">
        <v>922</v>
      </c>
      <c r="F2456">
        <v>4134.47153826872</v>
      </c>
      <c r="G2456" t="s">
        <v>26</v>
      </c>
      <c r="H2456">
        <v>54</v>
      </c>
      <c r="I2456">
        <v>8</v>
      </c>
      <c r="J2456">
        <v>51</v>
      </c>
      <c r="K2456">
        <v>2</v>
      </c>
      <c r="L2456" t="s">
        <v>36</v>
      </c>
      <c r="M2456">
        <v>11.493049268544301</v>
      </c>
      <c r="N2456" t="s">
        <v>45</v>
      </c>
      <c r="O2456" t="s">
        <v>38</v>
      </c>
      <c r="P2456">
        <f>VLOOKUP(O2456, Coordinates!$A$2:$C$6, 2, FALSE)</f>
        <v>25.761700000000001</v>
      </c>
      <c r="Q2456">
        <f>VLOOKUP(O2456, Coordinates!$A$2:$C$6, 3, FALSE)</f>
        <v>-80.191800000000001</v>
      </c>
      <c r="R2456">
        <v>30</v>
      </c>
      <c r="S2456">
        <v>982</v>
      </c>
      <c r="T2456">
        <v>4</v>
      </c>
      <c r="U2456">
        <v>52.037896899639399</v>
      </c>
      <c r="V2456" t="s">
        <v>39</v>
      </c>
      <c r="W2456">
        <v>3.7897152746634002</v>
      </c>
      <c r="X2456" t="s">
        <v>31</v>
      </c>
      <c r="Y2456" t="s">
        <v>32</v>
      </c>
      <c r="Z2456">
        <v>887.99035919673895</v>
      </c>
    </row>
    <row r="2457" spans="1:26" x14ac:dyDescent="0.3">
      <c r="A2457" t="s">
        <v>42</v>
      </c>
      <c r="B2457" t="s">
        <v>2513</v>
      </c>
      <c r="C2457">
        <v>89.968416921608096</v>
      </c>
      <c r="D2457">
        <v>33</v>
      </c>
      <c r="E2457">
        <v>8</v>
      </c>
      <c r="F2457">
        <v>4505.9424803336997</v>
      </c>
      <c r="G2457" t="s">
        <v>26</v>
      </c>
      <c r="H2457">
        <v>34</v>
      </c>
      <c r="I2457">
        <v>9</v>
      </c>
      <c r="J2457">
        <v>61</v>
      </c>
      <c r="K2457">
        <v>4</v>
      </c>
      <c r="L2457" t="s">
        <v>27</v>
      </c>
      <c r="M2457">
        <v>11.1295170941435</v>
      </c>
      <c r="N2457" t="s">
        <v>57</v>
      </c>
      <c r="O2457" t="s">
        <v>29</v>
      </c>
      <c r="P2457">
        <f>VLOOKUP(O2457, Coordinates!$A$2:$C$6, 2, FALSE)</f>
        <v>29.760400000000001</v>
      </c>
      <c r="Q2457">
        <f>VLOOKUP(O2457, Coordinates!$A$2:$C$6, 3, FALSE)</f>
        <v>-95.369799999999998</v>
      </c>
      <c r="R2457">
        <v>7</v>
      </c>
      <c r="S2457">
        <v>223</v>
      </c>
      <c r="T2457">
        <v>19</v>
      </c>
      <c r="U2457">
        <v>46.554534388381697</v>
      </c>
      <c r="V2457" t="s">
        <v>30</v>
      </c>
      <c r="W2457">
        <v>3.8062172981389502</v>
      </c>
      <c r="X2457" t="s">
        <v>52</v>
      </c>
      <c r="Y2457" t="s">
        <v>60</v>
      </c>
      <c r="Z2457">
        <v>953.84141448016203</v>
      </c>
    </row>
    <row r="2458" spans="1:26" x14ac:dyDescent="0.3">
      <c r="A2458" t="s">
        <v>33</v>
      </c>
      <c r="B2458" t="s">
        <v>2514</v>
      </c>
      <c r="C2458">
        <v>83.242609979999997</v>
      </c>
      <c r="D2458">
        <v>10</v>
      </c>
      <c r="E2458">
        <v>861</v>
      </c>
      <c r="F2458">
        <v>5601.6617162143102</v>
      </c>
      <c r="G2458" t="s">
        <v>35</v>
      </c>
      <c r="H2458">
        <v>0</v>
      </c>
      <c r="I2458">
        <v>25</v>
      </c>
      <c r="J2458">
        <v>56</v>
      </c>
      <c r="K2458">
        <v>8</v>
      </c>
      <c r="L2458" t="s">
        <v>36</v>
      </c>
      <c r="M2458">
        <v>4.9568611761298298</v>
      </c>
      <c r="N2458" t="s">
        <v>37</v>
      </c>
      <c r="O2458" t="s">
        <v>67</v>
      </c>
      <c r="P2458">
        <f>VLOOKUP(O2458, Coordinates!$A$2:$C$6, 2, FALSE)</f>
        <v>40.712800000000001</v>
      </c>
      <c r="Q2458">
        <f>VLOOKUP(O2458, Coordinates!$A$2:$C$6, 3, FALSE)</f>
        <v>-74.006</v>
      </c>
      <c r="R2458">
        <v>4</v>
      </c>
      <c r="S2458">
        <v>518</v>
      </c>
      <c r="T2458">
        <v>21</v>
      </c>
      <c r="U2458">
        <v>65.819061973343807</v>
      </c>
      <c r="V2458" t="s">
        <v>30</v>
      </c>
      <c r="W2458">
        <v>3.80514411670408</v>
      </c>
      <c r="X2458" t="s">
        <v>52</v>
      </c>
      <c r="Y2458" t="s">
        <v>32</v>
      </c>
      <c r="Z2458">
        <v>284.492873069067</v>
      </c>
    </row>
    <row r="2459" spans="1:26" x14ac:dyDescent="0.3">
      <c r="A2459" t="s">
        <v>49</v>
      </c>
      <c r="B2459" t="s">
        <v>2515</v>
      </c>
      <c r="C2459">
        <v>90.384849525047997</v>
      </c>
      <c r="D2459">
        <v>83</v>
      </c>
      <c r="E2459">
        <v>906</v>
      </c>
      <c r="F2459">
        <v>9361.6872423114091</v>
      </c>
      <c r="G2459" t="s">
        <v>35</v>
      </c>
      <c r="H2459">
        <v>58</v>
      </c>
      <c r="I2459">
        <v>29</v>
      </c>
      <c r="J2459">
        <v>83</v>
      </c>
      <c r="K2459">
        <v>7</v>
      </c>
      <c r="L2459" t="s">
        <v>27</v>
      </c>
      <c r="M2459">
        <v>1.31523486498453</v>
      </c>
      <c r="N2459" t="s">
        <v>28</v>
      </c>
      <c r="O2459" t="s">
        <v>65</v>
      </c>
      <c r="P2459">
        <f>VLOOKUP(O2459, Coordinates!$A$2:$C$6, 2, FALSE)</f>
        <v>41.878100000000003</v>
      </c>
      <c r="Q2459">
        <f>VLOOKUP(O2459, Coordinates!$A$2:$C$6, 3, FALSE)</f>
        <v>-87.629800000000003</v>
      </c>
      <c r="R2459">
        <v>8</v>
      </c>
      <c r="S2459">
        <v>833</v>
      </c>
      <c r="T2459">
        <v>30</v>
      </c>
      <c r="U2459">
        <v>46.599753630969403</v>
      </c>
      <c r="V2459" t="s">
        <v>30</v>
      </c>
      <c r="W2459">
        <v>2.0872772292145299</v>
      </c>
      <c r="X2459" t="s">
        <v>46</v>
      </c>
      <c r="Y2459" t="s">
        <v>60</v>
      </c>
      <c r="Z2459">
        <v>140.816073265797</v>
      </c>
    </row>
    <row r="2460" spans="1:26" x14ac:dyDescent="0.3">
      <c r="A2460" t="s">
        <v>33</v>
      </c>
      <c r="B2460" t="s">
        <v>2516</v>
      </c>
      <c r="C2460">
        <v>57.545637250545198</v>
      </c>
      <c r="D2460">
        <v>30</v>
      </c>
      <c r="E2460">
        <v>170</v>
      </c>
      <c r="F2460">
        <v>8868.6690419995593</v>
      </c>
      <c r="G2460" t="s">
        <v>35</v>
      </c>
      <c r="H2460">
        <v>38</v>
      </c>
      <c r="I2460">
        <v>20</v>
      </c>
      <c r="J2460">
        <v>60</v>
      </c>
      <c r="K2460">
        <v>9</v>
      </c>
      <c r="L2460" t="s">
        <v>44</v>
      </c>
      <c r="M2460">
        <v>3.2644760620195301</v>
      </c>
      <c r="N2460" t="s">
        <v>37</v>
      </c>
      <c r="O2460" t="s">
        <v>29</v>
      </c>
      <c r="P2460">
        <f>VLOOKUP(O2460, Coordinates!$A$2:$C$6, 2, FALSE)</f>
        <v>29.760400000000001</v>
      </c>
      <c r="Q2460">
        <f>VLOOKUP(O2460, Coordinates!$A$2:$C$6, 3, FALSE)</f>
        <v>-95.369799999999998</v>
      </c>
      <c r="R2460">
        <v>30</v>
      </c>
      <c r="S2460">
        <v>622</v>
      </c>
      <c r="T2460">
        <v>8</v>
      </c>
      <c r="U2460">
        <v>23.2744882677937</v>
      </c>
      <c r="V2460" t="s">
        <v>30</v>
      </c>
      <c r="W2460">
        <v>0.331862554492173</v>
      </c>
      <c r="X2460" t="s">
        <v>46</v>
      </c>
      <c r="Y2460" t="s">
        <v>32</v>
      </c>
      <c r="Z2460">
        <v>500.165178849879</v>
      </c>
    </row>
    <row r="2461" spans="1:26" x14ac:dyDescent="0.3">
      <c r="A2461" t="s">
        <v>82</v>
      </c>
      <c r="B2461" t="s">
        <v>2517</v>
      </c>
      <c r="C2461">
        <v>82.164521494082393</v>
      </c>
      <c r="D2461">
        <v>22</v>
      </c>
      <c r="E2461">
        <v>30</v>
      </c>
      <c r="F2461">
        <v>2210.7294306026602</v>
      </c>
      <c r="G2461" t="s">
        <v>35</v>
      </c>
      <c r="H2461">
        <v>56</v>
      </c>
      <c r="I2461">
        <v>17</v>
      </c>
      <c r="J2461">
        <v>54</v>
      </c>
      <c r="K2461">
        <v>5</v>
      </c>
      <c r="L2461" t="s">
        <v>36</v>
      </c>
      <c r="M2461">
        <v>5.8926262159484102</v>
      </c>
      <c r="N2461" t="s">
        <v>57</v>
      </c>
      <c r="O2461" t="s">
        <v>58</v>
      </c>
      <c r="P2461">
        <f>VLOOKUP(O2461, Coordinates!$A$2:$C$6, 2, FALSE)</f>
        <v>34.052199999999999</v>
      </c>
      <c r="Q2461">
        <f>VLOOKUP(O2461, Coordinates!$A$2:$C$6, 3, FALSE)</f>
        <v>-118.2437</v>
      </c>
      <c r="R2461">
        <v>30</v>
      </c>
      <c r="S2461">
        <v>777</v>
      </c>
      <c r="T2461">
        <v>25</v>
      </c>
      <c r="U2461">
        <v>19.587665458778201</v>
      </c>
      <c r="V2461" t="s">
        <v>30</v>
      </c>
      <c r="W2461">
        <v>3.4675007638790798</v>
      </c>
      <c r="X2461" t="s">
        <v>40</v>
      </c>
      <c r="Y2461" t="s">
        <v>32</v>
      </c>
      <c r="Z2461">
        <v>892.49795749999998</v>
      </c>
    </row>
    <row r="2462" spans="1:26" x14ac:dyDescent="0.3">
      <c r="A2462" t="s">
        <v>82</v>
      </c>
      <c r="B2462" t="s">
        <v>2518</v>
      </c>
      <c r="C2462">
        <v>41.484050647154497</v>
      </c>
      <c r="D2462">
        <v>3</v>
      </c>
      <c r="E2462">
        <v>399</v>
      </c>
      <c r="F2462">
        <v>2555.1068669421602</v>
      </c>
      <c r="G2462" t="s">
        <v>35</v>
      </c>
      <c r="H2462">
        <v>82</v>
      </c>
      <c r="I2462">
        <v>19</v>
      </c>
      <c r="J2462">
        <v>84</v>
      </c>
      <c r="K2462">
        <v>6</v>
      </c>
      <c r="L2462" t="s">
        <v>27</v>
      </c>
      <c r="M2462">
        <v>14.6035725079828</v>
      </c>
      <c r="N2462" t="s">
        <v>37</v>
      </c>
      <c r="O2462" t="s">
        <v>29</v>
      </c>
      <c r="P2462">
        <f>VLOOKUP(O2462, Coordinates!$A$2:$C$6, 2, FALSE)</f>
        <v>29.760400000000001</v>
      </c>
      <c r="Q2462">
        <f>VLOOKUP(O2462, Coordinates!$A$2:$C$6, 3, FALSE)</f>
        <v>-95.369799999999998</v>
      </c>
      <c r="R2462">
        <v>1</v>
      </c>
      <c r="S2462">
        <v>702</v>
      </c>
      <c r="T2462">
        <v>1</v>
      </c>
      <c r="U2462">
        <v>93.202504770000004</v>
      </c>
      <c r="V2462" t="s">
        <v>55</v>
      </c>
      <c r="W2462">
        <v>2.55493003696209</v>
      </c>
      <c r="X2462" t="s">
        <v>46</v>
      </c>
      <c r="Y2462" t="s">
        <v>41</v>
      </c>
      <c r="Z2462">
        <v>674.60211930000003</v>
      </c>
    </row>
    <row r="2463" spans="1:26" x14ac:dyDescent="0.3">
      <c r="A2463" t="s">
        <v>72</v>
      </c>
      <c r="B2463" t="s">
        <v>2519</v>
      </c>
      <c r="C2463">
        <v>35.423134604806897</v>
      </c>
      <c r="D2463">
        <v>82</v>
      </c>
      <c r="E2463">
        <v>478</v>
      </c>
      <c r="F2463">
        <v>15239.0325069879</v>
      </c>
      <c r="G2463" t="s">
        <v>26</v>
      </c>
      <c r="H2463">
        <v>66</v>
      </c>
      <c r="I2463">
        <v>17</v>
      </c>
      <c r="J2463">
        <v>43</v>
      </c>
      <c r="K2463">
        <v>8</v>
      </c>
      <c r="L2463" t="s">
        <v>36</v>
      </c>
      <c r="M2463">
        <v>13.8768844116343</v>
      </c>
      <c r="N2463" t="s">
        <v>45</v>
      </c>
      <c r="O2463" t="s">
        <v>38</v>
      </c>
      <c r="P2463">
        <f>VLOOKUP(O2463, Coordinates!$A$2:$C$6, 2, FALSE)</f>
        <v>25.761700000000001</v>
      </c>
      <c r="Q2463">
        <f>VLOOKUP(O2463, Coordinates!$A$2:$C$6, 3, FALSE)</f>
        <v>-80.191800000000001</v>
      </c>
      <c r="R2463">
        <v>26</v>
      </c>
      <c r="S2463">
        <v>859</v>
      </c>
      <c r="T2463">
        <v>20</v>
      </c>
      <c r="U2463">
        <v>81.507112340000006</v>
      </c>
      <c r="V2463" t="s">
        <v>39</v>
      </c>
      <c r="W2463">
        <v>4.8427480631468303</v>
      </c>
      <c r="X2463" t="s">
        <v>31</v>
      </c>
      <c r="Y2463" t="s">
        <v>32</v>
      </c>
      <c r="Z2463">
        <v>998.48542880000002</v>
      </c>
    </row>
    <row r="2464" spans="1:26" x14ac:dyDescent="0.3">
      <c r="A2464" t="s">
        <v>33</v>
      </c>
      <c r="B2464" t="s">
        <v>2520</v>
      </c>
      <c r="C2464">
        <v>98.9393754819706</v>
      </c>
      <c r="D2464">
        <v>75</v>
      </c>
      <c r="E2464">
        <v>21</v>
      </c>
      <c r="F2464">
        <v>3616.69479301606</v>
      </c>
      <c r="G2464" t="s">
        <v>54</v>
      </c>
      <c r="H2464">
        <v>33</v>
      </c>
      <c r="I2464">
        <v>7</v>
      </c>
      <c r="J2464">
        <v>30</v>
      </c>
      <c r="K2464">
        <v>5</v>
      </c>
      <c r="L2464" t="s">
        <v>27</v>
      </c>
      <c r="M2464">
        <v>3.8090242217253798</v>
      </c>
      <c r="N2464" t="s">
        <v>28</v>
      </c>
      <c r="O2464" t="s">
        <v>65</v>
      </c>
      <c r="P2464">
        <f>VLOOKUP(O2464, Coordinates!$A$2:$C$6, 2, FALSE)</f>
        <v>41.878100000000003</v>
      </c>
      <c r="Q2464">
        <f>VLOOKUP(O2464, Coordinates!$A$2:$C$6, 3, FALSE)</f>
        <v>-87.629800000000003</v>
      </c>
      <c r="R2464">
        <v>1</v>
      </c>
      <c r="S2464">
        <v>440</v>
      </c>
      <c r="T2464">
        <v>22</v>
      </c>
      <c r="U2464">
        <v>19.492053562508701</v>
      </c>
      <c r="V2464" t="s">
        <v>30</v>
      </c>
      <c r="W2464">
        <v>1.17436891376495</v>
      </c>
      <c r="X2464" t="s">
        <v>52</v>
      </c>
      <c r="Y2464" t="s">
        <v>60</v>
      </c>
      <c r="Z2464">
        <v>915.11803230997998</v>
      </c>
    </row>
    <row r="2465" spans="1:26" x14ac:dyDescent="0.3">
      <c r="A2465" t="s">
        <v>33</v>
      </c>
      <c r="B2465" t="s">
        <v>2521</v>
      </c>
      <c r="C2465">
        <v>26.444133764717101</v>
      </c>
      <c r="D2465">
        <v>48</v>
      </c>
      <c r="E2465">
        <v>732</v>
      </c>
      <c r="F2465">
        <v>6532.9385784063597</v>
      </c>
      <c r="G2465" t="s">
        <v>48</v>
      </c>
      <c r="H2465">
        <v>40</v>
      </c>
      <c r="I2465">
        <v>28</v>
      </c>
      <c r="J2465">
        <v>22</v>
      </c>
      <c r="K2465">
        <v>8</v>
      </c>
      <c r="L2465" t="s">
        <v>44</v>
      </c>
      <c r="M2465">
        <v>11.158714691785701</v>
      </c>
      <c r="N2465" t="s">
        <v>57</v>
      </c>
      <c r="O2465" t="s">
        <v>38</v>
      </c>
      <c r="P2465">
        <f>VLOOKUP(O2465, Coordinates!$A$2:$C$6, 2, FALSE)</f>
        <v>25.761700000000001</v>
      </c>
      <c r="Q2465">
        <f>VLOOKUP(O2465, Coordinates!$A$2:$C$6, 3, FALSE)</f>
        <v>-80.191800000000001</v>
      </c>
      <c r="R2465">
        <v>1</v>
      </c>
      <c r="S2465">
        <v>404</v>
      </c>
      <c r="T2465">
        <v>22</v>
      </c>
      <c r="U2465">
        <v>50.077438720000004</v>
      </c>
      <c r="V2465" t="s">
        <v>30</v>
      </c>
      <c r="W2465">
        <v>0.59879106555237804</v>
      </c>
      <c r="X2465" t="s">
        <v>46</v>
      </c>
      <c r="Y2465" t="s">
        <v>41</v>
      </c>
      <c r="Z2465">
        <v>992.29050896713397</v>
      </c>
    </row>
    <row r="2466" spans="1:26" x14ac:dyDescent="0.3">
      <c r="A2466" t="s">
        <v>82</v>
      </c>
      <c r="B2466" t="s">
        <v>2522</v>
      </c>
      <c r="C2466">
        <v>42.040475897652598</v>
      </c>
      <c r="D2466">
        <v>2</v>
      </c>
      <c r="E2466">
        <v>96</v>
      </c>
      <c r="F2466">
        <v>9124.9844298809003</v>
      </c>
      <c r="G2466" t="s">
        <v>48</v>
      </c>
      <c r="H2466">
        <v>21</v>
      </c>
      <c r="I2466">
        <v>1</v>
      </c>
      <c r="J2466">
        <v>63</v>
      </c>
      <c r="K2466">
        <v>4</v>
      </c>
      <c r="L2466" t="s">
        <v>36</v>
      </c>
      <c r="M2466">
        <v>9.1062359970000006</v>
      </c>
      <c r="N2466" t="s">
        <v>57</v>
      </c>
      <c r="O2466" t="s">
        <v>58</v>
      </c>
      <c r="P2466">
        <f>VLOOKUP(O2466, Coordinates!$A$2:$C$6, 2, FALSE)</f>
        <v>34.052199999999999</v>
      </c>
      <c r="Q2466">
        <f>VLOOKUP(O2466, Coordinates!$A$2:$C$6, 3, FALSE)</f>
        <v>-118.2437</v>
      </c>
      <c r="R2466">
        <v>4</v>
      </c>
      <c r="S2466">
        <v>902</v>
      </c>
      <c r="T2466">
        <v>13</v>
      </c>
      <c r="U2466">
        <v>33.663364021394102</v>
      </c>
      <c r="V2466" t="s">
        <v>39</v>
      </c>
      <c r="W2466">
        <v>1.47571248604302</v>
      </c>
      <c r="X2466" t="s">
        <v>31</v>
      </c>
      <c r="Y2466" t="s">
        <v>32</v>
      </c>
      <c r="Z2466">
        <v>135.57976719638299</v>
      </c>
    </row>
    <row r="2467" spans="1:26" x14ac:dyDescent="0.3">
      <c r="A2467" t="s">
        <v>49</v>
      </c>
      <c r="B2467" t="s">
        <v>2523</v>
      </c>
      <c r="C2467">
        <v>50.604500844458101</v>
      </c>
      <c r="D2467">
        <v>76</v>
      </c>
      <c r="E2467">
        <v>487</v>
      </c>
      <c r="F2467">
        <v>9660.6238750532793</v>
      </c>
      <c r="G2467" t="s">
        <v>26</v>
      </c>
      <c r="H2467">
        <v>26</v>
      </c>
      <c r="I2467">
        <v>27</v>
      </c>
      <c r="J2467">
        <v>34</v>
      </c>
      <c r="K2467">
        <v>8</v>
      </c>
      <c r="L2467" t="s">
        <v>44</v>
      </c>
      <c r="M2467">
        <v>1.6977971012281601</v>
      </c>
      <c r="N2467" t="s">
        <v>51</v>
      </c>
      <c r="O2467" t="s">
        <v>58</v>
      </c>
      <c r="P2467">
        <f>VLOOKUP(O2467, Coordinates!$A$2:$C$6, 2, FALSE)</f>
        <v>34.052199999999999</v>
      </c>
      <c r="Q2467">
        <f>VLOOKUP(O2467, Coordinates!$A$2:$C$6, 3, FALSE)</f>
        <v>-118.2437</v>
      </c>
      <c r="R2467">
        <v>17</v>
      </c>
      <c r="S2467">
        <v>256</v>
      </c>
      <c r="T2467">
        <v>9</v>
      </c>
      <c r="U2467">
        <v>46.5264010361931</v>
      </c>
      <c r="V2467" t="s">
        <v>55</v>
      </c>
      <c r="W2467">
        <v>2.2924481256264602</v>
      </c>
      <c r="X2467" t="s">
        <v>46</v>
      </c>
      <c r="Y2467" t="s">
        <v>41</v>
      </c>
      <c r="Z2467">
        <v>991.08258702656303</v>
      </c>
    </row>
    <row r="2468" spans="1:26" x14ac:dyDescent="0.3">
      <c r="A2468" t="s">
        <v>42</v>
      </c>
      <c r="B2468" t="s">
        <v>2524</v>
      </c>
      <c r="C2468">
        <v>18.1114712669049</v>
      </c>
      <c r="D2468">
        <v>54</v>
      </c>
      <c r="E2468">
        <v>547</v>
      </c>
      <c r="F2468">
        <v>6882.4265728170303</v>
      </c>
      <c r="G2468" t="s">
        <v>26</v>
      </c>
      <c r="H2468">
        <v>20</v>
      </c>
      <c r="I2468">
        <v>20</v>
      </c>
      <c r="J2468">
        <v>30</v>
      </c>
      <c r="K2468">
        <v>3</v>
      </c>
      <c r="L2468" t="s">
        <v>36</v>
      </c>
      <c r="M2468">
        <v>6.20387855818025</v>
      </c>
      <c r="N2468" t="s">
        <v>28</v>
      </c>
      <c r="O2468" t="s">
        <v>38</v>
      </c>
      <c r="P2468">
        <f>VLOOKUP(O2468, Coordinates!$A$2:$C$6, 2, FALSE)</f>
        <v>25.761700000000001</v>
      </c>
      <c r="Q2468">
        <f>VLOOKUP(O2468, Coordinates!$A$2:$C$6, 3, FALSE)</f>
        <v>-80.191800000000001</v>
      </c>
      <c r="R2468">
        <v>5</v>
      </c>
      <c r="S2468">
        <v>187</v>
      </c>
      <c r="T2468">
        <v>1</v>
      </c>
      <c r="U2468">
        <v>20.570264340000001</v>
      </c>
      <c r="V2468" t="s">
        <v>55</v>
      </c>
      <c r="W2468">
        <v>2.3880458408962602</v>
      </c>
      <c r="X2468" t="s">
        <v>46</v>
      </c>
      <c r="Y2468" t="s">
        <v>41</v>
      </c>
      <c r="Z2468">
        <v>679.78553401547197</v>
      </c>
    </row>
    <row r="2469" spans="1:26" x14ac:dyDescent="0.3">
      <c r="A2469" t="s">
        <v>24</v>
      </c>
      <c r="B2469" t="s">
        <v>2525</v>
      </c>
      <c r="C2469">
        <v>24.6427635230547</v>
      </c>
      <c r="D2469">
        <v>6</v>
      </c>
      <c r="E2469">
        <v>209</v>
      </c>
      <c r="F2469">
        <v>4635.3038186865897</v>
      </c>
      <c r="G2469" t="s">
        <v>54</v>
      </c>
      <c r="H2469">
        <v>40</v>
      </c>
      <c r="I2469">
        <v>29</v>
      </c>
      <c r="J2469">
        <v>10</v>
      </c>
      <c r="K2469">
        <v>5</v>
      </c>
      <c r="L2469" t="s">
        <v>36</v>
      </c>
      <c r="M2469">
        <v>7.8050323651226297</v>
      </c>
      <c r="N2469" t="s">
        <v>57</v>
      </c>
      <c r="O2469" t="s">
        <v>65</v>
      </c>
      <c r="P2469">
        <f>VLOOKUP(O2469, Coordinates!$A$2:$C$6, 2, FALSE)</f>
        <v>41.878100000000003</v>
      </c>
      <c r="Q2469">
        <f>VLOOKUP(O2469, Coordinates!$A$2:$C$6, 3, FALSE)</f>
        <v>-87.629800000000003</v>
      </c>
      <c r="R2469">
        <v>14</v>
      </c>
      <c r="S2469">
        <v>327</v>
      </c>
      <c r="T2469">
        <v>15</v>
      </c>
      <c r="U2469">
        <v>81.445217148334507</v>
      </c>
      <c r="V2469" t="s">
        <v>55</v>
      </c>
      <c r="W2469">
        <v>2.9136946570739299</v>
      </c>
      <c r="X2469" t="s">
        <v>46</v>
      </c>
      <c r="Y2469" t="s">
        <v>41</v>
      </c>
      <c r="Z2469">
        <v>924.18933709159501</v>
      </c>
    </row>
    <row r="2470" spans="1:26" x14ac:dyDescent="0.3">
      <c r="A2470" t="s">
        <v>42</v>
      </c>
      <c r="B2470" t="s">
        <v>2526</v>
      </c>
      <c r="C2470">
        <v>83.823672300554307</v>
      </c>
      <c r="D2470">
        <v>40</v>
      </c>
      <c r="E2470">
        <v>506</v>
      </c>
      <c r="F2470">
        <v>5726.8198020771697</v>
      </c>
      <c r="G2470" t="s">
        <v>35</v>
      </c>
      <c r="H2470">
        <v>30</v>
      </c>
      <c r="I2470">
        <v>14</v>
      </c>
      <c r="J2470">
        <v>67</v>
      </c>
      <c r="K2470">
        <v>8</v>
      </c>
      <c r="L2470" t="s">
        <v>27</v>
      </c>
      <c r="M2470">
        <v>10.3460377269014</v>
      </c>
      <c r="N2470" t="s">
        <v>37</v>
      </c>
      <c r="O2470" t="s">
        <v>29</v>
      </c>
      <c r="P2470">
        <f>VLOOKUP(O2470, Coordinates!$A$2:$C$6, 2, FALSE)</f>
        <v>29.760400000000001</v>
      </c>
      <c r="Q2470">
        <f>VLOOKUP(O2470, Coordinates!$A$2:$C$6, 3, FALSE)</f>
        <v>-95.369799999999998</v>
      </c>
      <c r="R2470">
        <v>30</v>
      </c>
      <c r="S2470">
        <v>464</v>
      </c>
      <c r="T2470">
        <v>29</v>
      </c>
      <c r="U2470">
        <v>82.059211785260302</v>
      </c>
      <c r="V2470" t="s">
        <v>30</v>
      </c>
      <c r="W2470">
        <v>1.81234284677025</v>
      </c>
      <c r="X2470" t="s">
        <v>40</v>
      </c>
      <c r="Y2470" t="s">
        <v>60</v>
      </c>
      <c r="Z2470">
        <v>499.80716949999999</v>
      </c>
    </row>
    <row r="2471" spans="1:26" x14ac:dyDescent="0.3">
      <c r="A2471" t="s">
        <v>33</v>
      </c>
      <c r="B2471" t="s">
        <v>2527</v>
      </c>
      <c r="C2471">
        <v>97.795465419999999</v>
      </c>
      <c r="D2471">
        <v>93</v>
      </c>
      <c r="E2471">
        <v>935</v>
      </c>
      <c r="F2471">
        <v>2874.94252174035</v>
      </c>
      <c r="G2471" t="s">
        <v>26</v>
      </c>
      <c r="H2471">
        <v>26</v>
      </c>
      <c r="I2471">
        <v>17</v>
      </c>
      <c r="J2471">
        <v>78</v>
      </c>
      <c r="K2471">
        <v>10</v>
      </c>
      <c r="L2471" t="s">
        <v>27</v>
      </c>
      <c r="M2471">
        <v>5.1286716242021999</v>
      </c>
      <c r="N2471" t="s">
        <v>37</v>
      </c>
      <c r="O2471" t="s">
        <v>38</v>
      </c>
      <c r="P2471">
        <f>VLOOKUP(O2471, Coordinates!$A$2:$C$6, 2, FALSE)</f>
        <v>25.761700000000001</v>
      </c>
      <c r="Q2471">
        <f>VLOOKUP(O2471, Coordinates!$A$2:$C$6, 3, FALSE)</f>
        <v>-80.191800000000001</v>
      </c>
      <c r="R2471">
        <v>6</v>
      </c>
      <c r="S2471">
        <v>745</v>
      </c>
      <c r="T2471">
        <v>15</v>
      </c>
      <c r="U2471">
        <v>78.319786969027305</v>
      </c>
      <c r="V2471" t="s">
        <v>55</v>
      </c>
      <c r="W2471">
        <v>4.5994893461939803</v>
      </c>
      <c r="X2471" t="s">
        <v>52</v>
      </c>
      <c r="Y2471" t="s">
        <v>60</v>
      </c>
      <c r="Z2471">
        <v>886.86286672016797</v>
      </c>
    </row>
    <row r="2472" spans="1:26" x14ac:dyDescent="0.3">
      <c r="A2472" t="s">
        <v>42</v>
      </c>
      <c r="B2472" t="s">
        <v>2528</v>
      </c>
      <c r="C2472">
        <v>43.448881063817502</v>
      </c>
      <c r="D2472">
        <v>94</v>
      </c>
      <c r="E2472">
        <v>404</v>
      </c>
      <c r="G2472" t="s">
        <v>48</v>
      </c>
      <c r="H2472">
        <v>36</v>
      </c>
      <c r="I2472">
        <v>13</v>
      </c>
      <c r="J2472">
        <v>95</v>
      </c>
      <c r="K2472">
        <v>7</v>
      </c>
      <c r="L2472" t="s">
        <v>27</v>
      </c>
      <c r="M2472">
        <v>14.0734608067627</v>
      </c>
      <c r="N2472" t="s">
        <v>37</v>
      </c>
      <c r="O2472" t="s">
        <v>58</v>
      </c>
      <c r="P2472">
        <f>VLOOKUP(O2472, Coordinates!$A$2:$C$6, 2, FALSE)</f>
        <v>34.052199999999999</v>
      </c>
      <c r="Q2472">
        <f>VLOOKUP(O2472, Coordinates!$A$2:$C$6, 3, FALSE)</f>
        <v>-118.2437</v>
      </c>
      <c r="R2472">
        <v>7</v>
      </c>
      <c r="S2472">
        <v>365</v>
      </c>
      <c r="T2472">
        <v>14</v>
      </c>
      <c r="U2472">
        <v>19.382757915215201</v>
      </c>
      <c r="V2472" t="s">
        <v>30</v>
      </c>
      <c r="W2472">
        <v>2.4793480649999999</v>
      </c>
      <c r="X2472" t="s">
        <v>52</v>
      </c>
      <c r="Y2472" t="s">
        <v>32</v>
      </c>
      <c r="Z2472">
        <v>610.06678726115695</v>
      </c>
    </row>
    <row r="2473" spans="1:26" x14ac:dyDescent="0.3">
      <c r="A2473" t="s">
        <v>82</v>
      </c>
      <c r="B2473" t="s">
        <v>2529</v>
      </c>
      <c r="C2473">
        <v>13.326734438492</v>
      </c>
      <c r="D2473">
        <v>2</v>
      </c>
      <c r="E2473">
        <v>211</v>
      </c>
      <c r="F2473">
        <v>5995.7434129388503</v>
      </c>
      <c r="G2473" t="s">
        <v>35</v>
      </c>
      <c r="H2473">
        <v>65</v>
      </c>
      <c r="I2473">
        <v>29</v>
      </c>
      <c r="J2473">
        <v>80</v>
      </c>
      <c r="K2473">
        <v>1</v>
      </c>
      <c r="L2473" t="s">
        <v>44</v>
      </c>
      <c r="M2473">
        <v>7.3263067938513702</v>
      </c>
      <c r="N2473" t="s">
        <v>37</v>
      </c>
      <c r="O2473" t="s">
        <v>58</v>
      </c>
      <c r="P2473">
        <f>VLOOKUP(O2473, Coordinates!$A$2:$C$6, 2, FALSE)</f>
        <v>34.052199999999999</v>
      </c>
      <c r="Q2473">
        <f>VLOOKUP(O2473, Coordinates!$A$2:$C$6, 3, FALSE)</f>
        <v>-118.2437</v>
      </c>
      <c r="R2473">
        <v>8</v>
      </c>
      <c r="S2473">
        <v>183</v>
      </c>
      <c r="T2473">
        <v>5</v>
      </c>
      <c r="U2473">
        <v>70.101137339999994</v>
      </c>
      <c r="V2473" t="s">
        <v>30</v>
      </c>
      <c r="W2473">
        <v>2.1186252005922701</v>
      </c>
      <c r="X2473" t="s">
        <v>52</v>
      </c>
      <c r="Y2473" t="s">
        <v>41</v>
      </c>
      <c r="Z2473">
        <v>188.21770999680001</v>
      </c>
    </row>
    <row r="2474" spans="1:26" x14ac:dyDescent="0.3">
      <c r="A2474" t="s">
        <v>82</v>
      </c>
      <c r="B2474" t="s">
        <v>2530</v>
      </c>
      <c r="C2474">
        <v>11.252117265604699</v>
      </c>
      <c r="D2474">
        <v>73</v>
      </c>
      <c r="E2474">
        <v>623</v>
      </c>
      <c r="F2474">
        <v>7682.1180779220003</v>
      </c>
      <c r="G2474" t="s">
        <v>26</v>
      </c>
      <c r="H2474">
        <v>53</v>
      </c>
      <c r="I2474">
        <v>2</v>
      </c>
      <c r="J2474">
        <v>22</v>
      </c>
      <c r="K2474">
        <v>4</v>
      </c>
      <c r="L2474" t="s">
        <v>44</v>
      </c>
      <c r="M2474">
        <v>4.4794147376375104</v>
      </c>
      <c r="N2474" t="s">
        <v>57</v>
      </c>
      <c r="O2474" t="s">
        <v>29</v>
      </c>
      <c r="P2474">
        <f>VLOOKUP(O2474, Coordinates!$A$2:$C$6, 2, FALSE)</f>
        <v>29.760400000000001</v>
      </c>
      <c r="Q2474">
        <f>VLOOKUP(O2474, Coordinates!$A$2:$C$6, 3, FALSE)</f>
        <v>-95.369799999999998</v>
      </c>
      <c r="R2474">
        <v>24</v>
      </c>
      <c r="S2474">
        <v>311</v>
      </c>
      <c r="T2474">
        <v>26</v>
      </c>
      <c r="U2474">
        <v>64.838019099999997</v>
      </c>
      <c r="V2474" t="s">
        <v>55</v>
      </c>
      <c r="W2474">
        <v>0.24083984175741499</v>
      </c>
      <c r="X2474" t="s">
        <v>40</v>
      </c>
      <c r="Y2474" t="s">
        <v>32</v>
      </c>
      <c r="Z2474">
        <v>818.483829467551</v>
      </c>
    </row>
    <row r="2475" spans="1:26" x14ac:dyDescent="0.3">
      <c r="A2475" t="s">
        <v>33</v>
      </c>
      <c r="B2475" t="s">
        <v>2531</v>
      </c>
      <c r="C2475">
        <v>89.675229604228306</v>
      </c>
      <c r="D2475">
        <v>2</v>
      </c>
      <c r="E2475">
        <v>150</v>
      </c>
      <c r="F2475">
        <v>2978.9469073661398</v>
      </c>
      <c r="G2475" t="s">
        <v>35</v>
      </c>
      <c r="H2475">
        <v>8</v>
      </c>
      <c r="I2475">
        <v>27</v>
      </c>
      <c r="J2475">
        <v>61</v>
      </c>
      <c r="K2475">
        <v>2</v>
      </c>
      <c r="L2475" t="s">
        <v>36</v>
      </c>
      <c r="M2475">
        <v>5.4299932214614604</v>
      </c>
      <c r="N2475" t="s">
        <v>45</v>
      </c>
      <c r="O2475" t="s">
        <v>38</v>
      </c>
      <c r="P2475">
        <f>VLOOKUP(O2475, Coordinates!$A$2:$C$6, 2, FALSE)</f>
        <v>25.761700000000001</v>
      </c>
      <c r="Q2475">
        <f>VLOOKUP(O2475, Coordinates!$A$2:$C$6, 3, FALSE)</f>
        <v>-80.191800000000001</v>
      </c>
      <c r="R2475">
        <v>29</v>
      </c>
      <c r="S2475">
        <v>317</v>
      </c>
      <c r="T2475">
        <v>17</v>
      </c>
      <c r="U2475">
        <v>74.202645041220606</v>
      </c>
      <c r="V2475" t="s">
        <v>39</v>
      </c>
      <c r="W2475">
        <v>4.3339185990000004</v>
      </c>
      <c r="X2475" t="s">
        <v>46</v>
      </c>
      <c r="Y2475" t="s">
        <v>60</v>
      </c>
      <c r="Z2475">
        <v>543.33463036982801</v>
      </c>
    </row>
    <row r="2476" spans="1:26" x14ac:dyDescent="0.3">
      <c r="A2476" t="s">
        <v>33</v>
      </c>
      <c r="B2476" t="s">
        <v>2532</v>
      </c>
      <c r="C2476">
        <v>49.062353724129501</v>
      </c>
      <c r="D2476">
        <v>93</v>
      </c>
      <c r="E2476">
        <v>802</v>
      </c>
      <c r="F2476">
        <v>4314.7934387805799</v>
      </c>
      <c r="G2476" t="s">
        <v>48</v>
      </c>
      <c r="H2476">
        <v>0</v>
      </c>
      <c r="I2476">
        <v>22</v>
      </c>
      <c r="J2476">
        <v>32</v>
      </c>
      <c r="K2476">
        <v>2</v>
      </c>
      <c r="L2476" t="s">
        <v>27</v>
      </c>
      <c r="M2476">
        <v>11.526396</v>
      </c>
      <c r="N2476" t="s">
        <v>28</v>
      </c>
      <c r="O2476" t="s">
        <v>67</v>
      </c>
      <c r="P2476">
        <f>VLOOKUP(O2476, Coordinates!$A$2:$C$6, 2, FALSE)</f>
        <v>40.712800000000001</v>
      </c>
      <c r="Q2476">
        <f>VLOOKUP(O2476, Coordinates!$A$2:$C$6, 3, FALSE)</f>
        <v>-74.006</v>
      </c>
      <c r="R2476">
        <v>28</v>
      </c>
      <c r="S2476">
        <v>952</v>
      </c>
      <c r="T2476">
        <v>6</v>
      </c>
      <c r="U2476">
        <v>52.700401410622597</v>
      </c>
      <c r="V2476" t="s">
        <v>30</v>
      </c>
      <c r="W2476">
        <v>3.0143446803335898</v>
      </c>
      <c r="X2476" t="s">
        <v>52</v>
      </c>
      <c r="Y2476" t="s">
        <v>41</v>
      </c>
      <c r="Z2476">
        <v>145.95751314069599</v>
      </c>
    </row>
    <row r="2477" spans="1:26" x14ac:dyDescent="0.3">
      <c r="A2477" t="s">
        <v>24</v>
      </c>
      <c r="B2477" t="s">
        <v>2533</v>
      </c>
      <c r="C2477">
        <v>32.514396187777002</v>
      </c>
      <c r="D2477">
        <v>97</v>
      </c>
      <c r="E2477">
        <v>105</v>
      </c>
      <c r="F2477">
        <v>3072.6104397449299</v>
      </c>
      <c r="G2477" t="s">
        <v>35</v>
      </c>
      <c r="H2477">
        <v>41</v>
      </c>
      <c r="I2477">
        <v>1</v>
      </c>
      <c r="J2477">
        <v>30</v>
      </c>
      <c r="K2477">
        <v>7</v>
      </c>
      <c r="L2477" t="s">
        <v>44</v>
      </c>
      <c r="M2477">
        <v>9.9639951460438798</v>
      </c>
      <c r="N2477" t="s">
        <v>37</v>
      </c>
      <c r="O2477" t="s">
        <v>38</v>
      </c>
      <c r="P2477">
        <f>VLOOKUP(O2477, Coordinates!$A$2:$C$6, 2, FALSE)</f>
        <v>25.761700000000001</v>
      </c>
      <c r="Q2477">
        <f>VLOOKUP(O2477, Coordinates!$A$2:$C$6, 3, FALSE)</f>
        <v>-80.191800000000001</v>
      </c>
      <c r="R2477">
        <v>4</v>
      </c>
      <c r="S2477">
        <v>848</v>
      </c>
      <c r="T2477">
        <v>9</v>
      </c>
      <c r="U2477">
        <v>81.728973852580495</v>
      </c>
      <c r="V2477" t="s">
        <v>55</v>
      </c>
      <c r="W2477">
        <v>2.91644815015351</v>
      </c>
      <c r="X2477" t="s">
        <v>52</v>
      </c>
      <c r="Y2477" t="s">
        <v>60</v>
      </c>
      <c r="Z2477">
        <v>833.14321125212098</v>
      </c>
    </row>
    <row r="2478" spans="1:26" x14ac:dyDescent="0.3">
      <c r="A2478" t="s">
        <v>24</v>
      </c>
      <c r="B2478" t="s">
        <v>2534</v>
      </c>
      <c r="C2478">
        <v>33.603764303161803</v>
      </c>
      <c r="D2478">
        <v>74</v>
      </c>
      <c r="E2478">
        <v>884</v>
      </c>
      <c r="F2478">
        <v>26735.154879595499</v>
      </c>
      <c r="G2478" t="s">
        <v>26</v>
      </c>
      <c r="H2478">
        <v>35</v>
      </c>
      <c r="I2478">
        <v>29</v>
      </c>
      <c r="J2478">
        <v>15</v>
      </c>
      <c r="K2478">
        <v>3</v>
      </c>
      <c r="L2478" t="s">
        <v>36</v>
      </c>
      <c r="M2478">
        <v>11.390492300240901</v>
      </c>
      <c r="N2478" t="s">
        <v>57</v>
      </c>
      <c r="O2478" t="s">
        <v>29</v>
      </c>
      <c r="P2478">
        <f>VLOOKUP(O2478, Coordinates!$A$2:$C$6, 2, FALSE)</f>
        <v>29.760400000000001</v>
      </c>
      <c r="Q2478">
        <f>VLOOKUP(O2478, Coordinates!$A$2:$C$6, 3, FALSE)</f>
        <v>-95.369799999999998</v>
      </c>
      <c r="R2478">
        <v>23</v>
      </c>
      <c r="S2478">
        <v>250</v>
      </c>
      <c r="T2478">
        <v>20</v>
      </c>
      <c r="U2478">
        <v>91.370899475225102</v>
      </c>
      <c r="V2478" t="s">
        <v>55</v>
      </c>
      <c r="W2478">
        <v>4.4379845880411004</v>
      </c>
      <c r="X2478" t="s">
        <v>46</v>
      </c>
      <c r="Y2478" t="s">
        <v>41</v>
      </c>
      <c r="Z2478">
        <v>781.88884767287095</v>
      </c>
    </row>
    <row r="2479" spans="1:26" x14ac:dyDescent="0.3">
      <c r="A2479" t="s">
        <v>72</v>
      </c>
      <c r="B2479" t="s">
        <v>2535</v>
      </c>
      <c r="C2479">
        <v>28.0960689083382</v>
      </c>
      <c r="D2479">
        <v>98</v>
      </c>
      <c r="E2479">
        <v>834</v>
      </c>
      <c r="F2479">
        <v>21088.909322598702</v>
      </c>
      <c r="G2479" t="s">
        <v>26</v>
      </c>
      <c r="H2479">
        <v>9</v>
      </c>
      <c r="I2479">
        <v>5</v>
      </c>
      <c r="J2479">
        <v>29</v>
      </c>
      <c r="K2479">
        <v>3</v>
      </c>
      <c r="L2479" t="s">
        <v>44</v>
      </c>
      <c r="M2479">
        <v>5.0927855544925897</v>
      </c>
      <c r="N2479" t="s">
        <v>57</v>
      </c>
      <c r="O2479" t="s">
        <v>67</v>
      </c>
      <c r="P2479">
        <f>VLOOKUP(O2479, Coordinates!$A$2:$C$6, 2, FALSE)</f>
        <v>40.712800000000001</v>
      </c>
      <c r="Q2479">
        <f>VLOOKUP(O2479, Coordinates!$A$2:$C$6, 3, FALSE)</f>
        <v>-74.006</v>
      </c>
      <c r="R2479">
        <v>25</v>
      </c>
      <c r="S2479">
        <v>785</v>
      </c>
      <c r="T2479">
        <v>26</v>
      </c>
      <c r="U2479">
        <v>90.946260255984996</v>
      </c>
      <c r="V2479" t="s">
        <v>30</v>
      </c>
      <c r="W2479">
        <v>3.8145041630000001</v>
      </c>
      <c r="X2479" t="s">
        <v>52</v>
      </c>
      <c r="Y2479" t="s">
        <v>41</v>
      </c>
      <c r="Z2479">
        <v>511.55853260008701</v>
      </c>
    </row>
    <row r="2480" spans="1:26" x14ac:dyDescent="0.3">
      <c r="A2480" t="s">
        <v>33</v>
      </c>
      <c r="B2480" t="s">
        <v>2536</v>
      </c>
      <c r="C2480">
        <v>51.458398649999999</v>
      </c>
      <c r="D2480">
        <v>55</v>
      </c>
      <c r="E2480">
        <v>884</v>
      </c>
      <c r="F2480">
        <v>7795.8457056833104</v>
      </c>
      <c r="G2480" t="s">
        <v>48</v>
      </c>
      <c r="H2480">
        <v>58</v>
      </c>
      <c r="I2480">
        <v>7</v>
      </c>
      <c r="J2480">
        <v>85</v>
      </c>
      <c r="K2480">
        <v>6</v>
      </c>
      <c r="L2480" t="s">
        <v>36</v>
      </c>
      <c r="M2480">
        <v>5.5758806590496199</v>
      </c>
      <c r="N2480" t="s">
        <v>37</v>
      </c>
      <c r="O2480" t="s">
        <v>65</v>
      </c>
      <c r="P2480">
        <f>VLOOKUP(O2480, Coordinates!$A$2:$C$6, 2, FALSE)</f>
        <v>41.878100000000003</v>
      </c>
      <c r="Q2480">
        <f>VLOOKUP(O2480, Coordinates!$A$2:$C$6, 3, FALSE)</f>
        <v>-87.629800000000003</v>
      </c>
      <c r="R2480">
        <v>25</v>
      </c>
      <c r="S2480">
        <v>239</v>
      </c>
      <c r="T2480">
        <v>26</v>
      </c>
      <c r="U2480">
        <v>29.705761091094399</v>
      </c>
      <c r="V2480" t="s">
        <v>55</v>
      </c>
      <c r="W2480">
        <v>4.3370280979621301</v>
      </c>
      <c r="X2480" t="s">
        <v>46</v>
      </c>
      <c r="Y2480" t="s">
        <v>41</v>
      </c>
      <c r="Z2480">
        <v>117.517813138403</v>
      </c>
    </row>
    <row r="2481" spans="1:26" x14ac:dyDescent="0.3">
      <c r="A2481" t="s">
        <v>49</v>
      </c>
      <c r="B2481" t="s">
        <v>2537</v>
      </c>
      <c r="C2481">
        <v>86.657857710000002</v>
      </c>
      <c r="D2481">
        <v>72</v>
      </c>
      <c r="E2481">
        <v>245</v>
      </c>
      <c r="F2481">
        <v>7757.3024323699501</v>
      </c>
      <c r="G2481" t="s">
        <v>54</v>
      </c>
      <c r="H2481">
        <v>39</v>
      </c>
      <c r="I2481">
        <v>19</v>
      </c>
      <c r="J2481">
        <v>49</v>
      </c>
      <c r="K2481">
        <v>6</v>
      </c>
      <c r="L2481" t="s">
        <v>27</v>
      </c>
      <c r="M2481">
        <v>6.55406763171099</v>
      </c>
      <c r="N2481" t="s">
        <v>51</v>
      </c>
      <c r="O2481" t="s">
        <v>58</v>
      </c>
      <c r="P2481">
        <f>VLOOKUP(O2481, Coordinates!$A$2:$C$6, 2, FALSE)</f>
        <v>34.052199999999999</v>
      </c>
      <c r="Q2481">
        <f>VLOOKUP(O2481, Coordinates!$A$2:$C$6, 3, FALSE)</f>
        <v>-118.2437</v>
      </c>
      <c r="R2481">
        <v>27</v>
      </c>
      <c r="S2481">
        <v>154</v>
      </c>
      <c r="T2481">
        <v>25</v>
      </c>
      <c r="U2481">
        <v>46.776611234735398</v>
      </c>
      <c r="V2481" t="s">
        <v>55</v>
      </c>
      <c r="W2481">
        <v>0.29711278454965301</v>
      </c>
      <c r="X2481" t="s">
        <v>40</v>
      </c>
      <c r="Y2481" t="s">
        <v>32</v>
      </c>
      <c r="Z2481">
        <v>412.24305238840401</v>
      </c>
    </row>
    <row r="2482" spans="1:26" x14ac:dyDescent="0.3">
      <c r="A2482" t="s">
        <v>42</v>
      </c>
      <c r="B2482" t="s">
        <v>2538</v>
      </c>
      <c r="C2482">
        <v>61.268630250899001</v>
      </c>
      <c r="D2482">
        <v>60</v>
      </c>
      <c r="E2482">
        <v>927</v>
      </c>
      <c r="F2482">
        <v>3389.8976632291701</v>
      </c>
      <c r="G2482" t="s">
        <v>54</v>
      </c>
      <c r="H2482">
        <v>53</v>
      </c>
      <c r="I2482">
        <v>14</v>
      </c>
      <c r="J2482">
        <v>18</v>
      </c>
      <c r="K2482">
        <v>1</v>
      </c>
      <c r="L2482" t="s">
        <v>36</v>
      </c>
      <c r="M2482">
        <v>3.6403019789300499</v>
      </c>
      <c r="N2482" t="s">
        <v>57</v>
      </c>
      <c r="O2482" t="s">
        <v>38</v>
      </c>
      <c r="P2482">
        <f>VLOOKUP(O2482, Coordinates!$A$2:$C$6, 2, FALSE)</f>
        <v>25.761700000000001</v>
      </c>
      <c r="Q2482">
        <f>VLOOKUP(O2482, Coordinates!$A$2:$C$6, 3, FALSE)</f>
        <v>-80.191800000000001</v>
      </c>
      <c r="R2482">
        <v>3</v>
      </c>
      <c r="S2482">
        <v>240</v>
      </c>
      <c r="T2482">
        <v>19</v>
      </c>
      <c r="U2482">
        <v>78.694285204085801</v>
      </c>
      <c r="V2482" t="s">
        <v>55</v>
      </c>
      <c r="W2482">
        <v>1.5906321612742</v>
      </c>
      <c r="X2482" t="s">
        <v>52</v>
      </c>
      <c r="Y2482" t="s">
        <v>60</v>
      </c>
      <c r="Z2482">
        <v>491.45572584827801</v>
      </c>
    </row>
    <row r="2483" spans="1:26" x14ac:dyDescent="0.3">
      <c r="A2483" t="s">
        <v>33</v>
      </c>
      <c r="B2483" t="s">
        <v>2539</v>
      </c>
      <c r="C2483">
        <v>70.992108416966602</v>
      </c>
      <c r="D2483">
        <v>97</v>
      </c>
      <c r="E2483">
        <v>763</v>
      </c>
      <c r="F2483">
        <v>6146.82720434558</v>
      </c>
      <c r="G2483" t="s">
        <v>35</v>
      </c>
      <c r="H2483">
        <v>38</v>
      </c>
      <c r="I2483">
        <v>24</v>
      </c>
      <c r="J2483">
        <v>59</v>
      </c>
      <c r="K2483">
        <v>1</v>
      </c>
      <c r="L2483" t="s">
        <v>36</v>
      </c>
      <c r="M2483">
        <v>10.674623629107399</v>
      </c>
      <c r="N2483" t="s">
        <v>28</v>
      </c>
      <c r="O2483" t="s">
        <v>65</v>
      </c>
      <c r="P2483">
        <f>VLOOKUP(O2483, Coordinates!$A$2:$C$6, 2, FALSE)</f>
        <v>41.878100000000003</v>
      </c>
      <c r="Q2483">
        <f>VLOOKUP(O2483, Coordinates!$A$2:$C$6, 3, FALSE)</f>
        <v>-87.629800000000003</v>
      </c>
      <c r="R2483">
        <v>28</v>
      </c>
      <c r="S2483">
        <v>173</v>
      </c>
      <c r="T2483">
        <v>27</v>
      </c>
      <c r="U2483">
        <v>52.821387688258099</v>
      </c>
      <c r="V2483" t="s">
        <v>39</v>
      </c>
      <c r="W2483">
        <v>1.59355971847352</v>
      </c>
      <c r="X2483" t="s">
        <v>52</v>
      </c>
      <c r="Y2483" t="s">
        <v>60</v>
      </c>
      <c r="Z2483">
        <v>248.78339283023999</v>
      </c>
    </row>
    <row r="2484" spans="1:26" x14ac:dyDescent="0.3">
      <c r="A2484" t="s">
        <v>61</v>
      </c>
      <c r="B2484" t="s">
        <v>2540</v>
      </c>
      <c r="C2484">
        <v>39.6437142422619</v>
      </c>
      <c r="D2484">
        <v>6</v>
      </c>
      <c r="E2484">
        <v>167</v>
      </c>
      <c r="F2484">
        <v>9048.72603986783</v>
      </c>
      <c r="G2484" t="s">
        <v>26</v>
      </c>
      <c r="H2484">
        <v>6</v>
      </c>
      <c r="I2484">
        <v>14</v>
      </c>
      <c r="J2484">
        <v>37</v>
      </c>
      <c r="K2484">
        <v>6</v>
      </c>
      <c r="L2484" t="s">
        <v>27</v>
      </c>
      <c r="M2484">
        <v>5.6108931970898803</v>
      </c>
      <c r="N2484" t="s">
        <v>28</v>
      </c>
      <c r="O2484" t="s">
        <v>38</v>
      </c>
      <c r="P2484">
        <f>VLOOKUP(O2484, Coordinates!$A$2:$C$6, 2, FALSE)</f>
        <v>25.761700000000001</v>
      </c>
      <c r="Q2484">
        <f>VLOOKUP(O2484, Coordinates!$A$2:$C$6, 3, FALSE)</f>
        <v>-80.191800000000001</v>
      </c>
      <c r="R2484">
        <v>23</v>
      </c>
      <c r="S2484">
        <v>234</v>
      </c>
      <c r="T2484">
        <v>23</v>
      </c>
      <c r="U2484">
        <v>36.9877837090079</v>
      </c>
      <c r="V2484" t="s">
        <v>55</v>
      </c>
      <c r="W2484">
        <v>3.285225289</v>
      </c>
      <c r="X2484" t="s">
        <v>46</v>
      </c>
      <c r="Y2484" t="s">
        <v>60</v>
      </c>
      <c r="Z2484">
        <v>244.81435107276801</v>
      </c>
    </row>
    <row r="2485" spans="1:26" x14ac:dyDescent="0.3">
      <c r="A2485" t="s">
        <v>72</v>
      </c>
      <c r="B2485" t="s">
        <v>2541</v>
      </c>
      <c r="C2485">
        <v>21.3666351470448</v>
      </c>
      <c r="D2485">
        <v>19</v>
      </c>
      <c r="E2485">
        <v>888</v>
      </c>
      <c r="F2485">
        <v>17076.214809518198</v>
      </c>
      <c r="G2485" t="s">
        <v>26</v>
      </c>
      <c r="H2485">
        <v>3</v>
      </c>
      <c r="I2485">
        <v>15</v>
      </c>
      <c r="J2485">
        <v>20</v>
      </c>
      <c r="K2485">
        <v>7</v>
      </c>
      <c r="L2485" t="s">
        <v>27</v>
      </c>
      <c r="M2485">
        <v>5.5673071379871697</v>
      </c>
      <c r="N2485" t="s">
        <v>51</v>
      </c>
      <c r="O2485" t="s">
        <v>38</v>
      </c>
      <c r="P2485">
        <f>VLOOKUP(O2485, Coordinates!$A$2:$C$6, 2, FALSE)</f>
        <v>25.761700000000001</v>
      </c>
      <c r="Q2485">
        <f>VLOOKUP(O2485, Coordinates!$A$2:$C$6, 3, FALSE)</f>
        <v>-80.191800000000001</v>
      </c>
      <c r="R2485">
        <v>4</v>
      </c>
      <c r="S2485">
        <v>928</v>
      </c>
      <c r="T2485">
        <v>21</v>
      </c>
      <c r="U2485">
        <v>75.338055960000005</v>
      </c>
      <c r="V2485" t="s">
        <v>55</v>
      </c>
      <c r="W2485">
        <v>2.2430752435225498</v>
      </c>
      <c r="X2485" t="s">
        <v>31</v>
      </c>
      <c r="Y2485" t="s">
        <v>41</v>
      </c>
      <c r="Z2485">
        <v>250.28272957322599</v>
      </c>
    </row>
    <row r="2486" spans="1:26" x14ac:dyDescent="0.3">
      <c r="A2486" t="s">
        <v>61</v>
      </c>
      <c r="B2486" t="s">
        <v>2542</v>
      </c>
      <c r="C2486">
        <v>68.328623063540306</v>
      </c>
      <c r="D2486">
        <v>96</v>
      </c>
      <c r="E2486">
        <v>177</v>
      </c>
      <c r="F2486">
        <v>9506.0575660829109</v>
      </c>
      <c r="G2486" t="s">
        <v>48</v>
      </c>
      <c r="H2486">
        <v>14</v>
      </c>
      <c r="I2486">
        <v>5</v>
      </c>
      <c r="J2486">
        <v>84</v>
      </c>
      <c r="K2486">
        <v>9</v>
      </c>
      <c r="L2486" t="s">
        <v>36</v>
      </c>
      <c r="M2486">
        <v>4.7711095784199502</v>
      </c>
      <c r="N2486" t="s">
        <v>57</v>
      </c>
      <c r="O2486" t="s">
        <v>29</v>
      </c>
      <c r="P2486">
        <f>VLOOKUP(O2486, Coordinates!$A$2:$C$6, 2, FALSE)</f>
        <v>29.760400000000001</v>
      </c>
      <c r="Q2486">
        <f>VLOOKUP(O2486, Coordinates!$A$2:$C$6, 3, FALSE)</f>
        <v>-95.369799999999998</v>
      </c>
      <c r="R2486">
        <v>25</v>
      </c>
      <c r="S2486">
        <v>741</v>
      </c>
      <c r="T2486">
        <v>26</v>
      </c>
      <c r="U2486">
        <v>89.347937966284107</v>
      </c>
      <c r="V2486" t="s">
        <v>39</v>
      </c>
      <c r="W2486">
        <v>3.8873630162602</v>
      </c>
      <c r="X2486" t="s">
        <v>40</v>
      </c>
      <c r="Y2486" t="s">
        <v>32</v>
      </c>
      <c r="Z2486">
        <v>433.51937266687997</v>
      </c>
    </row>
    <row r="2487" spans="1:26" x14ac:dyDescent="0.3">
      <c r="A2487" t="s">
        <v>82</v>
      </c>
      <c r="B2487" t="s">
        <v>2543</v>
      </c>
      <c r="C2487">
        <v>16.358389786445301</v>
      </c>
      <c r="D2487">
        <v>27</v>
      </c>
      <c r="E2487">
        <v>506</v>
      </c>
      <c r="F2487">
        <v>2930.1240639174498</v>
      </c>
      <c r="G2487" t="s">
        <v>48</v>
      </c>
      <c r="H2487">
        <v>75</v>
      </c>
      <c r="I2487">
        <v>5</v>
      </c>
      <c r="J2487">
        <v>97</v>
      </c>
      <c r="K2487">
        <v>4</v>
      </c>
      <c r="L2487" t="s">
        <v>44</v>
      </c>
      <c r="M2487">
        <v>7.3395892658199502</v>
      </c>
      <c r="N2487" t="s">
        <v>51</v>
      </c>
      <c r="O2487" t="s">
        <v>67</v>
      </c>
      <c r="P2487">
        <f>VLOOKUP(O2487, Coordinates!$A$2:$C$6, 2, FALSE)</f>
        <v>40.712800000000001</v>
      </c>
      <c r="Q2487">
        <f>VLOOKUP(O2487, Coordinates!$A$2:$C$6, 3, FALSE)</f>
        <v>-74.006</v>
      </c>
      <c r="R2487">
        <v>23</v>
      </c>
      <c r="S2487">
        <v>843</v>
      </c>
      <c r="T2487">
        <v>17</v>
      </c>
      <c r="U2487">
        <v>48.992538139540699</v>
      </c>
      <c r="V2487" t="s">
        <v>39</v>
      </c>
      <c r="W2487">
        <v>1.9221528332784701</v>
      </c>
      <c r="X2487" t="s">
        <v>52</v>
      </c>
      <c r="Y2487" t="s">
        <v>32</v>
      </c>
      <c r="Z2487">
        <v>835.78963314312796</v>
      </c>
    </row>
    <row r="2488" spans="1:26" x14ac:dyDescent="0.3">
      <c r="A2488" t="s">
        <v>24</v>
      </c>
      <c r="B2488" t="s">
        <v>2544</v>
      </c>
      <c r="C2488">
        <v>27.428096774782698</v>
      </c>
      <c r="D2488">
        <v>1</v>
      </c>
      <c r="E2488">
        <v>551</v>
      </c>
      <c r="F2488">
        <v>13601.5931906147</v>
      </c>
      <c r="G2488" t="s">
        <v>26</v>
      </c>
      <c r="H2488">
        <v>47</v>
      </c>
      <c r="I2488">
        <v>29</v>
      </c>
      <c r="J2488">
        <v>65</v>
      </c>
      <c r="K2488">
        <v>10</v>
      </c>
      <c r="L2488" t="s">
        <v>27</v>
      </c>
      <c r="M2488">
        <v>11.807665109278901</v>
      </c>
      <c r="N2488" t="s">
        <v>57</v>
      </c>
      <c r="O2488" t="s">
        <v>38</v>
      </c>
      <c r="P2488">
        <f>VLOOKUP(O2488, Coordinates!$A$2:$C$6, 2, FALSE)</f>
        <v>25.761700000000001</v>
      </c>
      <c r="Q2488">
        <f>VLOOKUP(O2488, Coordinates!$A$2:$C$6, 3, FALSE)</f>
        <v>-80.191800000000001</v>
      </c>
      <c r="R2488">
        <v>16</v>
      </c>
      <c r="S2488">
        <v>125</v>
      </c>
      <c r="T2488">
        <v>7</v>
      </c>
      <c r="U2488">
        <v>93.983547631557101</v>
      </c>
      <c r="V2488" t="s">
        <v>39</v>
      </c>
      <c r="W2488">
        <v>1.1080378865620399</v>
      </c>
      <c r="X2488" t="s">
        <v>46</v>
      </c>
      <c r="Y2488" t="s">
        <v>32</v>
      </c>
      <c r="Z2488">
        <v>783.42172199984896</v>
      </c>
    </row>
    <row r="2489" spans="1:26" x14ac:dyDescent="0.3">
      <c r="A2489" t="s">
        <v>42</v>
      </c>
      <c r="B2489" t="s">
        <v>2545</v>
      </c>
      <c r="C2489">
        <v>29.390632149426999</v>
      </c>
      <c r="D2489">
        <v>33</v>
      </c>
      <c r="E2489">
        <v>288</v>
      </c>
      <c r="F2489">
        <v>9023.08485830274</v>
      </c>
      <c r="H2489">
        <v>5</v>
      </c>
      <c r="I2489">
        <v>21</v>
      </c>
      <c r="J2489">
        <v>88</v>
      </c>
      <c r="K2489">
        <v>6</v>
      </c>
      <c r="L2489" t="s">
        <v>36</v>
      </c>
      <c r="M2489">
        <v>12.6985218764158</v>
      </c>
      <c r="N2489" t="s">
        <v>57</v>
      </c>
      <c r="O2489" t="s">
        <v>65</v>
      </c>
      <c r="P2489">
        <f>VLOOKUP(O2489, Coordinates!$A$2:$C$6, 2, FALSE)</f>
        <v>41.878100000000003</v>
      </c>
      <c r="Q2489">
        <f>VLOOKUP(O2489, Coordinates!$A$2:$C$6, 3, FALSE)</f>
        <v>-87.629800000000003</v>
      </c>
      <c r="R2489">
        <v>13</v>
      </c>
      <c r="S2489">
        <v>587</v>
      </c>
      <c r="T2489">
        <v>8</v>
      </c>
      <c r="U2489">
        <v>65.142905231706806</v>
      </c>
      <c r="V2489" t="s">
        <v>30</v>
      </c>
      <c r="W2489">
        <v>1.4547553414713901</v>
      </c>
      <c r="X2489" t="s">
        <v>40</v>
      </c>
      <c r="Y2489" t="s">
        <v>32</v>
      </c>
      <c r="Z2489">
        <v>109.102956998491</v>
      </c>
    </row>
    <row r="2490" spans="1:26" x14ac:dyDescent="0.3">
      <c r="A2490" t="s">
        <v>33</v>
      </c>
      <c r="B2490" t="s">
        <v>2546</v>
      </c>
      <c r="C2490">
        <v>81.389088615191298</v>
      </c>
      <c r="D2490">
        <v>40</v>
      </c>
      <c r="E2490">
        <v>363</v>
      </c>
      <c r="F2490">
        <v>8629.1307816599492</v>
      </c>
      <c r="G2490" t="s">
        <v>54</v>
      </c>
      <c r="H2490">
        <v>72</v>
      </c>
      <c r="I2490">
        <v>24</v>
      </c>
      <c r="J2490">
        <v>44</v>
      </c>
      <c r="K2490">
        <v>3</v>
      </c>
      <c r="L2490" t="s">
        <v>27</v>
      </c>
      <c r="M2490">
        <v>12.2631102875651</v>
      </c>
      <c r="N2490" t="s">
        <v>51</v>
      </c>
      <c r="O2490" t="s">
        <v>38</v>
      </c>
      <c r="P2490">
        <f>VLOOKUP(O2490, Coordinates!$A$2:$C$6, 2, FALSE)</f>
        <v>25.761700000000001</v>
      </c>
      <c r="Q2490">
        <f>VLOOKUP(O2490, Coordinates!$A$2:$C$6, 3, FALSE)</f>
        <v>-80.191800000000001</v>
      </c>
      <c r="R2490">
        <v>29</v>
      </c>
      <c r="S2490">
        <v>534</v>
      </c>
      <c r="T2490">
        <v>15</v>
      </c>
      <c r="U2490">
        <v>15.217700145212101</v>
      </c>
      <c r="V2490" t="s">
        <v>55</v>
      </c>
      <c r="W2490">
        <v>0.91234863075407102</v>
      </c>
      <c r="X2490" t="s">
        <v>46</v>
      </c>
      <c r="Y2490" t="s">
        <v>41</v>
      </c>
      <c r="Z2490">
        <v>108.67835290373399</v>
      </c>
    </row>
    <row r="2491" spans="1:26" x14ac:dyDescent="0.3">
      <c r="A2491" t="s">
        <v>61</v>
      </c>
      <c r="B2491" t="s">
        <v>2547</v>
      </c>
      <c r="C2491">
        <v>45.464082304359202</v>
      </c>
      <c r="D2491">
        <v>32</v>
      </c>
      <c r="E2491">
        <v>385</v>
      </c>
      <c r="F2491">
        <v>9933.3088834045993</v>
      </c>
      <c r="H2491">
        <v>34</v>
      </c>
      <c r="I2491">
        <v>2</v>
      </c>
      <c r="J2491">
        <v>90</v>
      </c>
      <c r="K2491">
        <v>4</v>
      </c>
      <c r="L2491" t="s">
        <v>27</v>
      </c>
      <c r="M2491">
        <v>9.6967100865664104</v>
      </c>
      <c r="N2491" t="s">
        <v>45</v>
      </c>
      <c r="O2491" t="s">
        <v>38</v>
      </c>
      <c r="P2491">
        <f>VLOOKUP(O2491, Coordinates!$A$2:$C$6, 2, FALSE)</f>
        <v>25.761700000000001</v>
      </c>
      <c r="Q2491">
        <f>VLOOKUP(O2491, Coordinates!$A$2:$C$6, 3, FALSE)</f>
        <v>-80.191800000000001</v>
      </c>
      <c r="R2491">
        <v>25</v>
      </c>
      <c r="S2491">
        <v>680</v>
      </c>
      <c r="T2491">
        <v>6</v>
      </c>
      <c r="U2491">
        <v>72.219084451083702</v>
      </c>
      <c r="V2491" t="s">
        <v>39</v>
      </c>
      <c r="W2491">
        <v>4.8753179827416497</v>
      </c>
      <c r="X2491" t="s">
        <v>31</v>
      </c>
      <c r="Y2491" t="s">
        <v>41</v>
      </c>
      <c r="Z2491">
        <v>169.926789120819</v>
      </c>
    </row>
    <row r="2492" spans="1:26" x14ac:dyDescent="0.3">
      <c r="A2492" t="s">
        <v>42</v>
      </c>
      <c r="B2492" t="s">
        <v>2548</v>
      </c>
      <c r="C2492">
        <v>99.494995693666198</v>
      </c>
      <c r="D2492">
        <v>69</v>
      </c>
      <c r="E2492">
        <v>874</v>
      </c>
      <c r="F2492">
        <v>7114.5413930118302</v>
      </c>
      <c r="G2492" t="s">
        <v>35</v>
      </c>
      <c r="H2492">
        <v>71</v>
      </c>
      <c r="I2492">
        <v>18</v>
      </c>
      <c r="J2492">
        <v>34</v>
      </c>
      <c r="K2492">
        <v>9</v>
      </c>
      <c r="L2492" t="s">
        <v>44</v>
      </c>
      <c r="M2492">
        <v>4.92598549081589</v>
      </c>
      <c r="N2492" t="s">
        <v>37</v>
      </c>
      <c r="O2492" t="s">
        <v>58</v>
      </c>
      <c r="P2492">
        <f>VLOOKUP(O2492, Coordinates!$A$2:$C$6, 2, FALSE)</f>
        <v>34.052199999999999</v>
      </c>
      <c r="Q2492">
        <f>VLOOKUP(O2492, Coordinates!$A$2:$C$6, 3, FALSE)</f>
        <v>-118.2437</v>
      </c>
      <c r="R2492">
        <v>25</v>
      </c>
      <c r="S2492">
        <v>161</v>
      </c>
      <c r="T2492">
        <v>1</v>
      </c>
      <c r="U2492">
        <v>80.405884483952207</v>
      </c>
      <c r="V2492" t="s">
        <v>30</v>
      </c>
      <c r="W2492">
        <v>1.08419457715325</v>
      </c>
      <c r="X2492" t="s">
        <v>52</v>
      </c>
      <c r="Y2492" t="s">
        <v>32</v>
      </c>
      <c r="Z2492">
        <v>519.92360754590402</v>
      </c>
    </row>
    <row r="2493" spans="1:26" x14ac:dyDescent="0.3">
      <c r="A2493" t="s">
        <v>82</v>
      </c>
      <c r="B2493" t="s">
        <v>2549</v>
      </c>
      <c r="C2493">
        <v>13.7875416042015</v>
      </c>
      <c r="D2493">
        <v>17</v>
      </c>
      <c r="E2493">
        <v>909</v>
      </c>
      <c r="F2493">
        <v>9430.1913400043395</v>
      </c>
      <c r="G2493" t="s">
        <v>48</v>
      </c>
      <c r="H2493">
        <v>70</v>
      </c>
      <c r="I2493">
        <v>30</v>
      </c>
      <c r="J2493">
        <v>28</v>
      </c>
      <c r="K2493">
        <v>1</v>
      </c>
      <c r="L2493" t="s">
        <v>27</v>
      </c>
      <c r="M2493">
        <v>11.2879728813172</v>
      </c>
      <c r="N2493" t="s">
        <v>37</v>
      </c>
      <c r="O2493" t="s">
        <v>38</v>
      </c>
      <c r="P2493">
        <f>VLOOKUP(O2493, Coordinates!$A$2:$C$6, 2, FALSE)</f>
        <v>25.761700000000001</v>
      </c>
      <c r="Q2493">
        <f>VLOOKUP(O2493, Coordinates!$A$2:$C$6, 3, FALSE)</f>
        <v>-80.191800000000001</v>
      </c>
      <c r="R2493">
        <v>23</v>
      </c>
      <c r="S2493">
        <v>299</v>
      </c>
      <c r="T2493">
        <v>9</v>
      </c>
      <c r="U2493">
        <v>45.769773453145397</v>
      </c>
      <c r="V2493" t="s">
        <v>55</v>
      </c>
      <c r="W2493">
        <v>8.0473558000000001E-2</v>
      </c>
      <c r="X2493" t="s">
        <v>31</v>
      </c>
      <c r="Y2493" t="s">
        <v>32</v>
      </c>
      <c r="Z2493">
        <v>899.99398550000001</v>
      </c>
    </row>
    <row r="2494" spans="1:26" x14ac:dyDescent="0.3">
      <c r="A2494" t="s">
        <v>24</v>
      </c>
      <c r="B2494" t="s">
        <v>2550</v>
      </c>
      <c r="C2494">
        <v>27.166103945571201</v>
      </c>
      <c r="D2494">
        <v>8</v>
      </c>
      <c r="E2494">
        <v>976</v>
      </c>
      <c r="F2494">
        <v>23862.7057057897</v>
      </c>
      <c r="G2494" t="s">
        <v>35</v>
      </c>
      <c r="H2494">
        <v>67</v>
      </c>
      <c r="I2494">
        <v>28</v>
      </c>
      <c r="J2494">
        <v>40</v>
      </c>
      <c r="K2494">
        <v>5</v>
      </c>
      <c r="L2494" t="s">
        <v>36</v>
      </c>
      <c r="M2494">
        <v>1.5510671843898001</v>
      </c>
      <c r="N2494" t="s">
        <v>37</v>
      </c>
      <c r="O2494" t="s">
        <v>65</v>
      </c>
      <c r="P2494">
        <f>VLOOKUP(O2494, Coordinates!$A$2:$C$6, 2, FALSE)</f>
        <v>41.878100000000003</v>
      </c>
      <c r="Q2494">
        <f>VLOOKUP(O2494, Coordinates!$A$2:$C$6, 3, FALSE)</f>
        <v>-87.629800000000003</v>
      </c>
      <c r="R2494">
        <v>11</v>
      </c>
      <c r="S2494">
        <v>589</v>
      </c>
      <c r="T2494">
        <v>7</v>
      </c>
      <c r="U2494">
        <v>80.711319064826299</v>
      </c>
      <c r="V2494" t="s">
        <v>30</v>
      </c>
      <c r="W2494">
        <v>3.5804401738127201</v>
      </c>
      <c r="X2494" t="s">
        <v>52</v>
      </c>
      <c r="Y2494" t="s">
        <v>60</v>
      </c>
      <c r="Z2494">
        <v>264.03140499139801</v>
      </c>
    </row>
    <row r="2495" spans="1:26" x14ac:dyDescent="0.3">
      <c r="A2495" t="s">
        <v>49</v>
      </c>
      <c r="B2495" t="s">
        <v>2551</v>
      </c>
      <c r="C2495">
        <v>69.001664686504796</v>
      </c>
      <c r="D2495">
        <v>57</v>
      </c>
      <c r="E2495">
        <v>915</v>
      </c>
      <c r="F2495">
        <v>8599.8369980807802</v>
      </c>
      <c r="G2495" t="s">
        <v>48</v>
      </c>
      <c r="H2495">
        <v>57</v>
      </c>
      <c r="I2495">
        <v>24</v>
      </c>
      <c r="J2495">
        <v>90</v>
      </c>
      <c r="K2495">
        <v>7</v>
      </c>
      <c r="L2495" t="s">
        <v>36</v>
      </c>
      <c r="M2495">
        <v>12.1741337023462</v>
      </c>
      <c r="N2495" t="s">
        <v>51</v>
      </c>
      <c r="O2495" t="s">
        <v>58</v>
      </c>
      <c r="P2495">
        <f>VLOOKUP(O2495, Coordinates!$A$2:$C$6, 2, FALSE)</f>
        <v>34.052199999999999</v>
      </c>
      <c r="Q2495">
        <f>VLOOKUP(O2495, Coordinates!$A$2:$C$6, 3, FALSE)</f>
        <v>-118.2437</v>
      </c>
      <c r="R2495">
        <v>24</v>
      </c>
      <c r="S2495">
        <v>592</v>
      </c>
      <c r="T2495">
        <v>30</v>
      </c>
      <c r="U2495">
        <v>12.5936537626777</v>
      </c>
      <c r="V2495" t="s">
        <v>39</v>
      </c>
      <c r="W2495">
        <v>1.9980117113556699</v>
      </c>
      <c r="X2495" t="s">
        <v>31</v>
      </c>
      <c r="Y2495" t="s">
        <v>41</v>
      </c>
      <c r="Z2495">
        <v>529.11627469999996</v>
      </c>
    </row>
    <row r="2496" spans="1:26" x14ac:dyDescent="0.3">
      <c r="A2496" t="s">
        <v>72</v>
      </c>
      <c r="B2496" t="s">
        <v>2552</v>
      </c>
      <c r="C2496">
        <v>33.812591621104801</v>
      </c>
      <c r="D2496">
        <v>42</v>
      </c>
      <c r="E2496">
        <v>537</v>
      </c>
      <c r="F2496">
        <v>16341.6255304799</v>
      </c>
      <c r="G2496" t="s">
        <v>48</v>
      </c>
      <c r="H2496">
        <v>76</v>
      </c>
      <c r="I2496">
        <v>9</v>
      </c>
      <c r="J2496">
        <v>59</v>
      </c>
      <c r="K2496">
        <v>3</v>
      </c>
      <c r="L2496" t="s">
        <v>27</v>
      </c>
      <c r="M2496">
        <v>11.923185896932001</v>
      </c>
      <c r="N2496" t="s">
        <v>57</v>
      </c>
      <c r="O2496" t="s">
        <v>58</v>
      </c>
      <c r="P2496">
        <f>VLOOKUP(O2496, Coordinates!$A$2:$C$6, 2, FALSE)</f>
        <v>34.052199999999999</v>
      </c>
      <c r="Q2496">
        <f>VLOOKUP(O2496, Coordinates!$A$2:$C$6, 3, FALSE)</f>
        <v>-118.2437</v>
      </c>
      <c r="R2496">
        <v>11</v>
      </c>
      <c r="S2496">
        <v>778</v>
      </c>
      <c r="T2496">
        <v>22</v>
      </c>
      <c r="U2496">
        <v>87.522803181602995</v>
      </c>
      <c r="V2496" t="s">
        <v>30</v>
      </c>
      <c r="W2496">
        <v>0.11335665940914399</v>
      </c>
      <c r="X2496" t="s">
        <v>52</v>
      </c>
      <c r="Y2496" t="s">
        <v>32</v>
      </c>
      <c r="Z2496">
        <v>136.672729859729</v>
      </c>
    </row>
    <row r="2497" spans="1:26" x14ac:dyDescent="0.3">
      <c r="A2497" t="s">
        <v>42</v>
      </c>
      <c r="B2497" t="s">
        <v>2553</v>
      </c>
      <c r="C2497">
        <v>34.215330571593299</v>
      </c>
      <c r="D2497">
        <v>98</v>
      </c>
      <c r="E2497">
        <v>824</v>
      </c>
      <c r="F2497">
        <v>4441.28138125039</v>
      </c>
      <c r="G2497" t="s">
        <v>54</v>
      </c>
      <c r="H2497">
        <v>18</v>
      </c>
      <c r="I2497">
        <v>27</v>
      </c>
      <c r="J2497">
        <v>96</v>
      </c>
      <c r="K2497">
        <v>2</v>
      </c>
      <c r="L2497" t="s">
        <v>27</v>
      </c>
      <c r="M2497">
        <v>10.3800155844706</v>
      </c>
      <c r="N2497" t="s">
        <v>57</v>
      </c>
      <c r="O2497" t="s">
        <v>29</v>
      </c>
      <c r="P2497">
        <f>VLOOKUP(O2497, Coordinates!$A$2:$C$6, 2, FALSE)</f>
        <v>29.760400000000001</v>
      </c>
      <c r="Q2497">
        <f>VLOOKUP(O2497, Coordinates!$A$2:$C$6, 3, FALSE)</f>
        <v>-95.369799999999998</v>
      </c>
      <c r="R2497">
        <v>5</v>
      </c>
      <c r="S2497">
        <v>567</v>
      </c>
      <c r="T2497">
        <v>20</v>
      </c>
      <c r="U2497">
        <v>34.2094065971418</v>
      </c>
      <c r="V2497" t="s">
        <v>39</v>
      </c>
      <c r="W2497">
        <v>1.8500377223291999</v>
      </c>
      <c r="X2497" t="s">
        <v>46</v>
      </c>
      <c r="Y2497" t="s">
        <v>41</v>
      </c>
      <c r="Z2497">
        <v>118.29380490195</v>
      </c>
    </row>
    <row r="2498" spans="1:26" x14ac:dyDescent="0.3">
      <c r="A2498" t="s">
        <v>42</v>
      </c>
      <c r="B2498" t="s">
        <v>2554</v>
      </c>
      <c r="C2498">
        <v>51.745176491328003</v>
      </c>
      <c r="D2498">
        <v>9</v>
      </c>
      <c r="E2498">
        <v>167</v>
      </c>
      <c r="F2498">
        <v>9411.0226528895291</v>
      </c>
      <c r="H2498">
        <v>61</v>
      </c>
      <c r="I2498">
        <v>28</v>
      </c>
      <c r="J2498">
        <v>72</v>
      </c>
      <c r="K2498">
        <v>2</v>
      </c>
      <c r="L2498" t="s">
        <v>44</v>
      </c>
      <c r="M2498">
        <v>2.3709562997980802</v>
      </c>
      <c r="N2498" t="s">
        <v>28</v>
      </c>
      <c r="O2498" t="s">
        <v>29</v>
      </c>
      <c r="P2498">
        <f>VLOOKUP(O2498, Coordinates!$A$2:$C$6, 2, FALSE)</f>
        <v>29.760400000000001</v>
      </c>
      <c r="Q2498">
        <f>VLOOKUP(O2498, Coordinates!$A$2:$C$6, 3, FALSE)</f>
        <v>-95.369799999999998</v>
      </c>
      <c r="R2498">
        <v>20</v>
      </c>
      <c r="S2498">
        <v>215</v>
      </c>
      <c r="T2498">
        <v>19</v>
      </c>
      <c r="U2498">
        <v>51.750062840915497</v>
      </c>
      <c r="V2498" t="s">
        <v>55</v>
      </c>
      <c r="W2498">
        <v>4.5268406360000002</v>
      </c>
      <c r="X2498" t="s">
        <v>40</v>
      </c>
      <c r="Y2498" t="s">
        <v>60</v>
      </c>
      <c r="Z2498">
        <v>106.734074437335</v>
      </c>
    </row>
    <row r="2499" spans="1:26" x14ac:dyDescent="0.3">
      <c r="A2499" t="s">
        <v>49</v>
      </c>
      <c r="B2499" t="s">
        <v>2555</v>
      </c>
      <c r="C2499">
        <v>80.668309370000003</v>
      </c>
      <c r="D2499">
        <v>87</v>
      </c>
      <c r="E2499">
        <v>613</v>
      </c>
      <c r="F2499">
        <v>4889.0545810000003</v>
      </c>
      <c r="G2499" t="s">
        <v>48</v>
      </c>
      <c r="H2499">
        <v>70</v>
      </c>
      <c r="I2499">
        <v>10</v>
      </c>
      <c r="J2499">
        <v>56</v>
      </c>
      <c r="K2499">
        <v>1</v>
      </c>
      <c r="L2499" t="s">
        <v>44</v>
      </c>
      <c r="M2499">
        <v>14.9627786973961</v>
      </c>
      <c r="N2499" t="s">
        <v>57</v>
      </c>
      <c r="O2499" t="s">
        <v>38</v>
      </c>
      <c r="P2499">
        <f>VLOOKUP(O2499, Coordinates!$A$2:$C$6, 2, FALSE)</f>
        <v>25.761700000000001</v>
      </c>
      <c r="Q2499">
        <f>VLOOKUP(O2499, Coordinates!$A$2:$C$6, 3, FALSE)</f>
        <v>-80.191800000000001</v>
      </c>
      <c r="R2499">
        <v>1</v>
      </c>
      <c r="S2499">
        <v>470</v>
      </c>
      <c r="T2499">
        <v>4</v>
      </c>
      <c r="U2499">
        <v>44.771996949177698</v>
      </c>
      <c r="V2499" t="s">
        <v>55</v>
      </c>
      <c r="W2499">
        <v>2.5562215848372198</v>
      </c>
      <c r="X2499" t="s">
        <v>52</v>
      </c>
      <c r="Y2499" t="s">
        <v>32</v>
      </c>
      <c r="Z2499">
        <v>763.01283129497301</v>
      </c>
    </row>
    <row r="2500" spans="1:26" x14ac:dyDescent="0.3">
      <c r="A2500" t="s">
        <v>42</v>
      </c>
      <c r="B2500" t="s">
        <v>2556</v>
      </c>
      <c r="C2500">
        <v>27.0914265039812</v>
      </c>
      <c r="D2500">
        <v>35</v>
      </c>
      <c r="E2500">
        <v>311</v>
      </c>
      <c r="F2500">
        <v>5849.3743052470199</v>
      </c>
      <c r="G2500" t="s">
        <v>48</v>
      </c>
      <c r="H2500">
        <v>9</v>
      </c>
      <c r="I2500">
        <v>26</v>
      </c>
      <c r="J2500">
        <v>10</v>
      </c>
      <c r="K2500">
        <v>5</v>
      </c>
      <c r="L2500" t="s">
        <v>44</v>
      </c>
      <c r="M2500">
        <v>11.5897286936139</v>
      </c>
      <c r="N2500" t="s">
        <v>45</v>
      </c>
      <c r="O2500" t="s">
        <v>38</v>
      </c>
      <c r="P2500">
        <f>VLOOKUP(O2500, Coordinates!$A$2:$C$6, 2, FALSE)</f>
        <v>25.761700000000001</v>
      </c>
      <c r="Q2500">
        <f>VLOOKUP(O2500, Coordinates!$A$2:$C$6, 3, FALSE)</f>
        <v>-80.191800000000001</v>
      </c>
      <c r="R2500">
        <v>25</v>
      </c>
      <c r="S2500">
        <v>750</v>
      </c>
      <c r="T2500">
        <v>1</v>
      </c>
      <c r="U2500">
        <v>25.7396316352716</v>
      </c>
      <c r="V2500" t="s">
        <v>55</v>
      </c>
      <c r="W2500">
        <v>4.4775659911801204</v>
      </c>
      <c r="X2500" t="s">
        <v>52</v>
      </c>
      <c r="Y2500" t="s">
        <v>41</v>
      </c>
      <c r="Z2500">
        <v>121.44242300578399</v>
      </c>
    </row>
    <row r="2501" spans="1:26" x14ac:dyDescent="0.3">
      <c r="A2501" t="s">
        <v>82</v>
      </c>
      <c r="B2501" t="s">
        <v>2557</v>
      </c>
      <c r="C2501">
        <v>26.473153694921901</v>
      </c>
      <c r="D2501">
        <v>71</v>
      </c>
      <c r="E2501">
        <v>343</v>
      </c>
      <c r="F2501">
        <v>5015.0287639999997</v>
      </c>
      <c r="G2501" t="s">
        <v>48</v>
      </c>
      <c r="H2501">
        <v>24</v>
      </c>
      <c r="I2501">
        <v>18</v>
      </c>
      <c r="J2501">
        <v>67</v>
      </c>
      <c r="K2501">
        <v>3</v>
      </c>
      <c r="L2501" t="s">
        <v>36</v>
      </c>
      <c r="M2501">
        <v>11.2872956341105</v>
      </c>
      <c r="N2501" t="s">
        <v>37</v>
      </c>
      <c r="O2501" t="s">
        <v>29</v>
      </c>
      <c r="P2501">
        <f>VLOOKUP(O2501, Coordinates!$A$2:$C$6, 2, FALSE)</f>
        <v>29.760400000000001</v>
      </c>
      <c r="Q2501">
        <f>VLOOKUP(O2501, Coordinates!$A$2:$C$6, 3, FALSE)</f>
        <v>-95.369799999999998</v>
      </c>
      <c r="R2501">
        <v>24</v>
      </c>
      <c r="S2501">
        <v>331</v>
      </c>
      <c r="T2501">
        <v>9</v>
      </c>
      <c r="U2501">
        <v>55.753180161463298</v>
      </c>
      <c r="V2501" t="s">
        <v>55</v>
      </c>
      <c r="W2501">
        <v>2.6997971593902799</v>
      </c>
      <c r="X2501" t="s">
        <v>46</v>
      </c>
      <c r="Y2501" t="s">
        <v>41</v>
      </c>
      <c r="Z2501">
        <v>346.43401380250702</v>
      </c>
    </row>
    <row r="2502" spans="1:26" x14ac:dyDescent="0.3">
      <c r="A2502" t="s">
        <v>82</v>
      </c>
      <c r="B2502" t="s">
        <v>2558</v>
      </c>
      <c r="C2502">
        <v>57.349840563018503</v>
      </c>
      <c r="D2502">
        <v>79</v>
      </c>
      <c r="E2502">
        <v>59</v>
      </c>
      <c r="F2502">
        <v>6083.36482564177</v>
      </c>
      <c r="G2502" t="s">
        <v>26</v>
      </c>
      <c r="H2502">
        <v>43</v>
      </c>
      <c r="I2502">
        <v>4</v>
      </c>
      <c r="J2502">
        <v>19</v>
      </c>
      <c r="K2502">
        <v>7</v>
      </c>
      <c r="L2502" t="s">
        <v>44</v>
      </c>
      <c r="M2502">
        <v>1.8961099354103601</v>
      </c>
      <c r="N2502" t="s">
        <v>45</v>
      </c>
      <c r="O2502" t="s">
        <v>38</v>
      </c>
      <c r="P2502">
        <f>VLOOKUP(O2502, Coordinates!$A$2:$C$6, 2, FALSE)</f>
        <v>25.761700000000001</v>
      </c>
      <c r="Q2502">
        <f>VLOOKUP(O2502, Coordinates!$A$2:$C$6, 3, FALSE)</f>
        <v>-80.191800000000001</v>
      </c>
      <c r="R2502">
        <v>30</v>
      </c>
      <c r="S2502">
        <v>547</v>
      </c>
      <c r="T2502">
        <v>2</v>
      </c>
      <c r="U2502">
        <v>51.363417046666399</v>
      </c>
      <c r="V2502" t="s">
        <v>39</v>
      </c>
      <c r="W2502">
        <v>4.7512506729878101</v>
      </c>
      <c r="X2502" t="s">
        <v>31</v>
      </c>
      <c r="Y2502" t="s">
        <v>41</v>
      </c>
      <c r="Z2502">
        <v>680.54315269999995</v>
      </c>
    </row>
    <row r="2503" spans="1:26" x14ac:dyDescent="0.3">
      <c r="A2503" t="s">
        <v>49</v>
      </c>
      <c r="B2503" t="s">
        <v>2559</v>
      </c>
      <c r="C2503">
        <v>54.738540059999998</v>
      </c>
      <c r="D2503">
        <v>53</v>
      </c>
      <c r="E2503">
        <v>987</v>
      </c>
      <c r="F2503">
        <v>5234.54571093094</v>
      </c>
      <c r="G2503" t="s">
        <v>35</v>
      </c>
      <c r="H2503">
        <v>98</v>
      </c>
      <c r="I2503">
        <v>8</v>
      </c>
      <c r="J2503">
        <v>17</v>
      </c>
      <c r="K2503">
        <v>1</v>
      </c>
      <c r="L2503" t="s">
        <v>36</v>
      </c>
      <c r="M2503">
        <v>6.5818717720000004</v>
      </c>
      <c r="N2503" t="s">
        <v>37</v>
      </c>
      <c r="O2503" t="s">
        <v>67</v>
      </c>
      <c r="P2503">
        <f>VLOOKUP(O2503, Coordinates!$A$2:$C$6, 2, FALSE)</f>
        <v>40.712800000000001</v>
      </c>
      <c r="Q2503">
        <f>VLOOKUP(O2503, Coordinates!$A$2:$C$6, 3, FALSE)</f>
        <v>-74.006</v>
      </c>
      <c r="R2503">
        <v>20</v>
      </c>
      <c r="S2503">
        <v>313</v>
      </c>
      <c r="T2503">
        <v>16</v>
      </c>
      <c r="U2503">
        <v>66.173286059999995</v>
      </c>
      <c r="V2503" t="s">
        <v>30</v>
      </c>
      <c r="W2503">
        <v>1.00900364402206</v>
      </c>
      <c r="X2503" t="s">
        <v>52</v>
      </c>
      <c r="Y2503" t="s">
        <v>41</v>
      </c>
      <c r="Z2503">
        <v>656.78580746863599</v>
      </c>
    </row>
    <row r="2504" spans="1:26" x14ac:dyDescent="0.3">
      <c r="A2504" t="s">
        <v>72</v>
      </c>
      <c r="B2504" t="s">
        <v>2560</v>
      </c>
      <c r="C2504">
        <v>36.190356298256297</v>
      </c>
      <c r="D2504">
        <v>54</v>
      </c>
      <c r="E2504">
        <v>337</v>
      </c>
      <c r="F2504">
        <v>10976.5350652611</v>
      </c>
      <c r="H2504">
        <v>57</v>
      </c>
      <c r="I2504">
        <v>18</v>
      </c>
      <c r="J2504">
        <v>35</v>
      </c>
      <c r="K2504">
        <v>9</v>
      </c>
      <c r="L2504" t="s">
        <v>44</v>
      </c>
      <c r="M2504">
        <v>2.2064219949999999</v>
      </c>
      <c r="N2504" t="s">
        <v>51</v>
      </c>
      <c r="O2504" t="s">
        <v>58</v>
      </c>
      <c r="P2504">
        <f>VLOOKUP(O2504, Coordinates!$A$2:$C$6, 2, FALSE)</f>
        <v>34.052199999999999</v>
      </c>
      <c r="Q2504">
        <f>VLOOKUP(O2504, Coordinates!$A$2:$C$6, 3, FALSE)</f>
        <v>-118.2437</v>
      </c>
      <c r="R2504">
        <v>19</v>
      </c>
      <c r="S2504">
        <v>307</v>
      </c>
      <c r="T2504">
        <v>2</v>
      </c>
      <c r="U2504">
        <v>87.798298891923196</v>
      </c>
      <c r="V2504" t="s">
        <v>30</v>
      </c>
      <c r="W2504">
        <v>1.4496740635968299</v>
      </c>
      <c r="X2504" t="s">
        <v>31</v>
      </c>
      <c r="Y2504" t="s">
        <v>41</v>
      </c>
      <c r="Z2504">
        <v>149.630284427124</v>
      </c>
    </row>
    <row r="2505" spans="1:26" x14ac:dyDescent="0.3">
      <c r="A2505" t="s">
        <v>33</v>
      </c>
      <c r="B2505" t="s">
        <v>2561</v>
      </c>
      <c r="C2505">
        <v>33.317186799858099</v>
      </c>
      <c r="D2505">
        <v>84</v>
      </c>
      <c r="E2505">
        <v>131</v>
      </c>
      <c r="F2505">
        <v>8938.4336740692797</v>
      </c>
      <c r="G2505" t="s">
        <v>48</v>
      </c>
      <c r="H2505">
        <v>24</v>
      </c>
      <c r="I2505">
        <v>20</v>
      </c>
      <c r="J2505">
        <v>43</v>
      </c>
      <c r="K2505">
        <v>2</v>
      </c>
      <c r="L2505" t="s">
        <v>36</v>
      </c>
      <c r="M2505">
        <v>6.0545180949999997</v>
      </c>
      <c r="N2505" t="s">
        <v>45</v>
      </c>
      <c r="O2505" t="s">
        <v>38</v>
      </c>
      <c r="P2505">
        <f>VLOOKUP(O2505, Coordinates!$A$2:$C$6, 2, FALSE)</f>
        <v>25.761700000000001</v>
      </c>
      <c r="Q2505">
        <f>VLOOKUP(O2505, Coordinates!$A$2:$C$6, 3, FALSE)</f>
        <v>-80.191800000000001</v>
      </c>
      <c r="R2505">
        <v>26</v>
      </c>
      <c r="S2505">
        <v>201</v>
      </c>
      <c r="T2505">
        <v>3</v>
      </c>
      <c r="U2505">
        <v>29.317517186806501</v>
      </c>
      <c r="V2505" t="s">
        <v>39</v>
      </c>
      <c r="W2505">
        <v>3.7482885759472402</v>
      </c>
      <c r="X2505" t="s">
        <v>46</v>
      </c>
      <c r="Y2505" t="s">
        <v>41</v>
      </c>
      <c r="Z2505">
        <v>331.00007019999998</v>
      </c>
    </row>
    <row r="2506" spans="1:26" x14ac:dyDescent="0.3">
      <c r="A2506" t="s">
        <v>61</v>
      </c>
      <c r="B2506" t="s">
        <v>2562</v>
      </c>
      <c r="C2506">
        <v>31.395290504623699</v>
      </c>
      <c r="D2506">
        <v>25</v>
      </c>
      <c r="E2506">
        <v>944</v>
      </c>
      <c r="F2506">
        <v>4999.5443702419198</v>
      </c>
      <c r="G2506" t="s">
        <v>48</v>
      </c>
      <c r="H2506">
        <v>92</v>
      </c>
      <c r="I2506">
        <v>26</v>
      </c>
      <c r="J2506">
        <v>28</v>
      </c>
      <c r="K2506">
        <v>8</v>
      </c>
      <c r="L2506" t="s">
        <v>27</v>
      </c>
      <c r="M2506">
        <v>8.9867977610005596</v>
      </c>
      <c r="N2506" t="s">
        <v>57</v>
      </c>
      <c r="O2506" t="s">
        <v>58</v>
      </c>
      <c r="P2506">
        <f>VLOOKUP(O2506, Coordinates!$A$2:$C$6, 2, FALSE)</f>
        <v>34.052199999999999</v>
      </c>
      <c r="Q2506">
        <f>VLOOKUP(O2506, Coordinates!$A$2:$C$6, 3, FALSE)</f>
        <v>-118.2437</v>
      </c>
      <c r="R2506">
        <v>20</v>
      </c>
      <c r="S2506">
        <v>909</v>
      </c>
      <c r="T2506">
        <v>14</v>
      </c>
      <c r="U2506">
        <v>83.291055378082405</v>
      </c>
      <c r="V2506" t="s">
        <v>30</v>
      </c>
      <c r="W2506">
        <v>4.9341080849972299</v>
      </c>
      <c r="X2506" t="s">
        <v>52</v>
      </c>
      <c r="Y2506" t="s">
        <v>60</v>
      </c>
      <c r="Z2506">
        <v>675.38996954106301</v>
      </c>
    </row>
    <row r="2507" spans="1:26" x14ac:dyDescent="0.3">
      <c r="A2507" t="s">
        <v>33</v>
      </c>
      <c r="B2507" t="s">
        <v>2563</v>
      </c>
      <c r="C2507">
        <v>78.293645889856293</v>
      </c>
      <c r="D2507">
        <v>67</v>
      </c>
      <c r="E2507">
        <v>935</v>
      </c>
      <c r="F2507">
        <v>6300.4928365661299</v>
      </c>
      <c r="G2507" t="s">
        <v>35</v>
      </c>
      <c r="H2507">
        <v>0</v>
      </c>
      <c r="I2507">
        <v>27</v>
      </c>
      <c r="J2507">
        <v>87</v>
      </c>
      <c r="K2507">
        <v>10</v>
      </c>
      <c r="L2507" t="s">
        <v>36</v>
      </c>
      <c r="M2507">
        <v>13.3042106369926</v>
      </c>
      <c r="N2507" t="s">
        <v>37</v>
      </c>
      <c r="O2507" t="s">
        <v>67</v>
      </c>
      <c r="P2507">
        <f>VLOOKUP(O2507, Coordinates!$A$2:$C$6, 2, FALSE)</f>
        <v>40.712800000000001</v>
      </c>
      <c r="Q2507">
        <f>VLOOKUP(O2507, Coordinates!$A$2:$C$6, 3, FALSE)</f>
        <v>-74.006</v>
      </c>
      <c r="R2507">
        <v>27</v>
      </c>
      <c r="S2507">
        <v>109</v>
      </c>
      <c r="T2507">
        <v>13</v>
      </c>
      <c r="U2507">
        <v>73.197302046763696</v>
      </c>
      <c r="V2507" t="s">
        <v>39</v>
      </c>
      <c r="W2507">
        <v>4.1264870550000001</v>
      </c>
      <c r="X2507" t="s">
        <v>40</v>
      </c>
      <c r="Y2507" t="s">
        <v>41</v>
      </c>
      <c r="Z2507">
        <v>453.02118992332299</v>
      </c>
    </row>
    <row r="2508" spans="1:26" x14ac:dyDescent="0.3">
      <c r="A2508" t="s">
        <v>42</v>
      </c>
      <c r="B2508" t="s">
        <v>2564</v>
      </c>
      <c r="C2508">
        <v>66.930582228433707</v>
      </c>
      <c r="D2508">
        <v>62</v>
      </c>
      <c r="E2508">
        <v>247</v>
      </c>
      <c r="F2508">
        <v>2252.6902248218798</v>
      </c>
      <c r="G2508" t="s">
        <v>35</v>
      </c>
      <c r="H2508">
        <v>39</v>
      </c>
      <c r="I2508">
        <v>29</v>
      </c>
      <c r="J2508">
        <v>81</v>
      </c>
      <c r="K2508">
        <v>4</v>
      </c>
      <c r="L2508" t="s">
        <v>27</v>
      </c>
      <c r="M2508">
        <v>4.9611282619229504</v>
      </c>
      <c r="N2508" t="s">
        <v>28</v>
      </c>
      <c r="O2508" t="s">
        <v>29</v>
      </c>
      <c r="P2508">
        <f>VLOOKUP(O2508, Coordinates!$A$2:$C$6, 2, FALSE)</f>
        <v>29.760400000000001</v>
      </c>
      <c r="Q2508">
        <f>VLOOKUP(O2508, Coordinates!$A$2:$C$6, 3, FALSE)</f>
        <v>-95.369799999999998</v>
      </c>
      <c r="R2508">
        <v>27</v>
      </c>
      <c r="S2508">
        <v>572</v>
      </c>
      <c r="T2508">
        <v>17</v>
      </c>
      <c r="U2508">
        <v>79.498580649999994</v>
      </c>
      <c r="V2508" t="s">
        <v>30</v>
      </c>
      <c r="W2508">
        <v>2.7685263833787501</v>
      </c>
      <c r="X2508" t="s">
        <v>52</v>
      </c>
      <c r="Y2508" t="s">
        <v>60</v>
      </c>
      <c r="Z2508">
        <v>519.240524749629</v>
      </c>
    </row>
    <row r="2509" spans="1:26" x14ac:dyDescent="0.3">
      <c r="A2509" t="s">
        <v>61</v>
      </c>
      <c r="B2509" t="s">
        <v>2565</v>
      </c>
      <c r="D2509">
        <v>55</v>
      </c>
      <c r="E2509">
        <v>865</v>
      </c>
      <c r="F2509">
        <v>1030.49063184375</v>
      </c>
      <c r="G2509" t="s">
        <v>54</v>
      </c>
      <c r="H2509">
        <v>75</v>
      </c>
      <c r="I2509">
        <v>17</v>
      </c>
      <c r="J2509">
        <v>10</v>
      </c>
      <c r="K2509">
        <v>6</v>
      </c>
      <c r="L2509" t="s">
        <v>36</v>
      </c>
      <c r="M2509">
        <v>9.7278051347518399</v>
      </c>
      <c r="N2509" t="s">
        <v>45</v>
      </c>
      <c r="O2509" t="s">
        <v>38</v>
      </c>
      <c r="P2509">
        <f>VLOOKUP(O2509, Coordinates!$A$2:$C$6, 2, FALSE)</f>
        <v>25.761700000000001</v>
      </c>
      <c r="Q2509">
        <f>VLOOKUP(O2509, Coordinates!$A$2:$C$6, 3, FALSE)</f>
        <v>-80.191800000000001</v>
      </c>
      <c r="R2509">
        <v>29</v>
      </c>
      <c r="S2509">
        <v>222</v>
      </c>
      <c r="T2509">
        <v>10</v>
      </c>
      <c r="U2509">
        <v>21.096083057952502</v>
      </c>
      <c r="V2509" t="s">
        <v>39</v>
      </c>
      <c r="W2509">
        <v>4.5597821953989301</v>
      </c>
      <c r="X2509" t="s">
        <v>46</v>
      </c>
      <c r="Y2509" t="s">
        <v>60</v>
      </c>
      <c r="Z2509">
        <v>286.37714710871597</v>
      </c>
    </row>
    <row r="2510" spans="1:26" x14ac:dyDescent="0.3">
      <c r="A2510" t="s">
        <v>49</v>
      </c>
      <c r="B2510" t="s">
        <v>2566</v>
      </c>
      <c r="C2510">
        <v>97.669937689831997</v>
      </c>
      <c r="D2510">
        <v>46</v>
      </c>
      <c r="E2510">
        <v>604</v>
      </c>
      <c r="G2510" t="s">
        <v>48</v>
      </c>
      <c r="H2510">
        <v>69</v>
      </c>
      <c r="I2510">
        <v>16</v>
      </c>
      <c r="J2510">
        <v>57</v>
      </c>
      <c r="K2510">
        <v>9</v>
      </c>
      <c r="L2510" t="s">
        <v>36</v>
      </c>
      <c r="M2510">
        <v>3.3051269128272698</v>
      </c>
      <c r="N2510" t="s">
        <v>51</v>
      </c>
      <c r="O2510" t="s">
        <v>38</v>
      </c>
      <c r="P2510">
        <f>VLOOKUP(O2510, Coordinates!$A$2:$C$6, 2, FALSE)</f>
        <v>25.761700000000001</v>
      </c>
      <c r="Q2510">
        <f>VLOOKUP(O2510, Coordinates!$A$2:$C$6, 3, FALSE)</f>
        <v>-80.191800000000001</v>
      </c>
      <c r="R2510">
        <v>6</v>
      </c>
      <c r="S2510">
        <v>886</v>
      </c>
      <c r="T2510">
        <v>3</v>
      </c>
      <c r="U2510">
        <v>30.163567899431499</v>
      </c>
      <c r="V2510" t="s">
        <v>55</v>
      </c>
      <c r="W2510">
        <v>1.82189554999896</v>
      </c>
      <c r="X2510" t="s">
        <v>31</v>
      </c>
      <c r="Y2510" t="s">
        <v>41</v>
      </c>
      <c r="Z2510">
        <v>133.98168183176901</v>
      </c>
    </row>
    <row r="2511" spans="1:26" x14ac:dyDescent="0.3">
      <c r="A2511" t="s">
        <v>49</v>
      </c>
      <c r="B2511" t="s">
        <v>2567</v>
      </c>
      <c r="C2511">
        <v>50.045608145838699</v>
      </c>
      <c r="D2511">
        <v>24</v>
      </c>
      <c r="E2511">
        <v>852</v>
      </c>
      <c r="F2511">
        <v>7341.2742892001497</v>
      </c>
      <c r="G2511" t="s">
        <v>35</v>
      </c>
      <c r="H2511">
        <v>9</v>
      </c>
      <c r="I2511">
        <v>18</v>
      </c>
      <c r="J2511">
        <v>34</v>
      </c>
      <c r="K2511">
        <v>7</v>
      </c>
      <c r="L2511" t="s">
        <v>27</v>
      </c>
      <c r="M2511">
        <v>5.9554939971911303</v>
      </c>
      <c r="N2511" t="s">
        <v>28</v>
      </c>
      <c r="O2511" t="s">
        <v>65</v>
      </c>
      <c r="P2511">
        <f>VLOOKUP(O2511, Coordinates!$A$2:$C$6, 2, FALSE)</f>
        <v>41.878100000000003</v>
      </c>
      <c r="Q2511">
        <f>VLOOKUP(O2511, Coordinates!$A$2:$C$6, 3, FALSE)</f>
        <v>-87.629800000000003</v>
      </c>
      <c r="R2511">
        <v>19</v>
      </c>
      <c r="S2511">
        <v>103</v>
      </c>
      <c r="T2511">
        <v>4</v>
      </c>
      <c r="U2511">
        <v>61.797836458327502</v>
      </c>
      <c r="V2511" t="s">
        <v>39</v>
      </c>
      <c r="W2511">
        <v>0.432128503</v>
      </c>
      <c r="X2511" t="s">
        <v>52</v>
      </c>
      <c r="Y2511" t="s">
        <v>32</v>
      </c>
      <c r="Z2511">
        <v>410.68254395182998</v>
      </c>
    </row>
    <row r="2512" spans="1:26" x14ac:dyDescent="0.3">
      <c r="A2512" t="s">
        <v>72</v>
      </c>
      <c r="B2512" t="s">
        <v>2568</v>
      </c>
      <c r="C2512">
        <v>27.920315138673601</v>
      </c>
      <c r="D2512">
        <v>98</v>
      </c>
      <c r="E2512">
        <v>413</v>
      </c>
      <c r="F2512">
        <v>10377.981137045001</v>
      </c>
      <c r="G2512" t="s">
        <v>54</v>
      </c>
      <c r="H2512">
        <v>65</v>
      </c>
      <c r="I2512">
        <v>7</v>
      </c>
      <c r="J2512">
        <v>33</v>
      </c>
      <c r="K2512">
        <v>8</v>
      </c>
      <c r="L2512" t="s">
        <v>36</v>
      </c>
      <c r="M2512">
        <v>14.2613246533086</v>
      </c>
      <c r="N2512" t="s">
        <v>51</v>
      </c>
      <c r="O2512" t="s">
        <v>67</v>
      </c>
      <c r="P2512">
        <f>VLOOKUP(O2512, Coordinates!$A$2:$C$6, 2, FALSE)</f>
        <v>40.712800000000001</v>
      </c>
      <c r="Q2512">
        <f>VLOOKUP(O2512, Coordinates!$A$2:$C$6, 3, FALSE)</f>
        <v>-74.006</v>
      </c>
      <c r="R2512">
        <v>12</v>
      </c>
      <c r="S2512">
        <v>566</v>
      </c>
      <c r="T2512">
        <v>25</v>
      </c>
      <c r="U2512">
        <v>77.267683540576797</v>
      </c>
      <c r="V2512" t="s">
        <v>55</v>
      </c>
      <c r="W2512">
        <v>1.5564068093325201</v>
      </c>
      <c r="X2512" t="s">
        <v>46</v>
      </c>
      <c r="Y2512" t="s">
        <v>41</v>
      </c>
      <c r="Z2512">
        <v>714.68557009999995</v>
      </c>
    </row>
    <row r="2513" spans="1:26" x14ac:dyDescent="0.3">
      <c r="A2513" t="s">
        <v>61</v>
      </c>
      <c r="B2513" t="s">
        <v>2569</v>
      </c>
      <c r="C2513">
        <v>9.5687694891433601</v>
      </c>
      <c r="D2513">
        <v>46</v>
      </c>
      <c r="E2513">
        <v>507</v>
      </c>
      <c r="F2513">
        <v>9179.9869634782099</v>
      </c>
      <c r="G2513" t="s">
        <v>26</v>
      </c>
      <c r="H2513">
        <v>24</v>
      </c>
      <c r="I2513">
        <v>1</v>
      </c>
      <c r="J2513">
        <v>56</v>
      </c>
      <c r="K2513">
        <v>7</v>
      </c>
      <c r="L2513" t="s">
        <v>36</v>
      </c>
      <c r="M2513">
        <v>11.466972818158199</v>
      </c>
      <c r="N2513" t="s">
        <v>37</v>
      </c>
      <c r="O2513" t="s">
        <v>58</v>
      </c>
      <c r="P2513">
        <f>VLOOKUP(O2513, Coordinates!$A$2:$C$6, 2, FALSE)</f>
        <v>34.052199999999999</v>
      </c>
      <c r="Q2513">
        <f>VLOOKUP(O2513, Coordinates!$A$2:$C$6, 3, FALSE)</f>
        <v>-118.2437</v>
      </c>
      <c r="R2513">
        <v>26</v>
      </c>
      <c r="S2513">
        <v>358</v>
      </c>
      <c r="T2513">
        <v>5</v>
      </c>
      <c r="U2513">
        <v>90.290317885162295</v>
      </c>
      <c r="V2513" t="s">
        <v>30</v>
      </c>
      <c r="W2513">
        <v>1.2939605033266199</v>
      </c>
      <c r="X2513" t="s">
        <v>46</v>
      </c>
      <c r="Y2513" t="s">
        <v>60</v>
      </c>
      <c r="Z2513">
        <v>789.87654299195196</v>
      </c>
    </row>
    <row r="2514" spans="1:26" x14ac:dyDescent="0.3">
      <c r="A2514" t="s">
        <v>82</v>
      </c>
      <c r="B2514" t="s">
        <v>2570</v>
      </c>
      <c r="C2514">
        <v>33.088178730803797</v>
      </c>
      <c r="D2514">
        <v>22</v>
      </c>
      <c r="E2514">
        <v>731</v>
      </c>
      <c r="F2514">
        <v>2935.2031242056601</v>
      </c>
      <c r="G2514" t="s">
        <v>48</v>
      </c>
      <c r="H2514">
        <v>70</v>
      </c>
      <c r="I2514">
        <v>28</v>
      </c>
      <c r="J2514">
        <v>93</v>
      </c>
      <c r="K2514">
        <v>8</v>
      </c>
      <c r="L2514" t="s">
        <v>44</v>
      </c>
      <c r="M2514">
        <v>8.6412806986204007</v>
      </c>
      <c r="N2514" t="s">
        <v>45</v>
      </c>
      <c r="O2514" t="s">
        <v>38</v>
      </c>
      <c r="P2514">
        <f>VLOOKUP(O2514, Coordinates!$A$2:$C$6, 2, FALSE)</f>
        <v>25.761700000000001</v>
      </c>
      <c r="Q2514">
        <f>VLOOKUP(O2514, Coordinates!$A$2:$C$6, 3, FALSE)</f>
        <v>-80.191800000000001</v>
      </c>
      <c r="R2514">
        <v>29</v>
      </c>
      <c r="S2514">
        <v>820</v>
      </c>
      <c r="T2514">
        <v>11</v>
      </c>
      <c r="U2514">
        <v>84.871896602943394</v>
      </c>
      <c r="V2514" t="s">
        <v>39</v>
      </c>
      <c r="W2514">
        <v>3.88587820519867</v>
      </c>
      <c r="X2514" t="s">
        <v>46</v>
      </c>
      <c r="Y2514" t="s">
        <v>41</v>
      </c>
      <c r="Z2514">
        <v>928.72016449749697</v>
      </c>
    </row>
    <row r="2515" spans="1:26" x14ac:dyDescent="0.3">
      <c r="A2515" t="s">
        <v>61</v>
      </c>
      <c r="B2515" t="s">
        <v>2571</v>
      </c>
      <c r="C2515">
        <v>93.591735988482796</v>
      </c>
      <c r="D2515">
        <v>11</v>
      </c>
      <c r="E2515">
        <v>608</v>
      </c>
      <c r="F2515">
        <v>2841.3425286259799</v>
      </c>
      <c r="G2515" t="s">
        <v>35</v>
      </c>
      <c r="H2515">
        <v>86</v>
      </c>
      <c r="I2515">
        <v>1</v>
      </c>
      <c r="J2515">
        <v>78</v>
      </c>
      <c r="K2515">
        <v>9</v>
      </c>
      <c r="L2515" t="s">
        <v>27</v>
      </c>
      <c r="M2515">
        <v>4.5237551881862599</v>
      </c>
      <c r="N2515" t="s">
        <v>51</v>
      </c>
      <c r="O2515" t="s">
        <v>58</v>
      </c>
      <c r="P2515">
        <f>VLOOKUP(O2515, Coordinates!$A$2:$C$6, 2, FALSE)</f>
        <v>34.052199999999999</v>
      </c>
      <c r="Q2515">
        <f>VLOOKUP(O2515, Coordinates!$A$2:$C$6, 3, FALSE)</f>
        <v>-118.2437</v>
      </c>
      <c r="R2515">
        <v>27</v>
      </c>
      <c r="S2515">
        <v>877</v>
      </c>
      <c r="T2515">
        <v>6</v>
      </c>
      <c r="U2515">
        <v>13.9058151475984</v>
      </c>
      <c r="V2515" t="s">
        <v>55</v>
      </c>
      <c r="W2515">
        <v>4.1863829499495901</v>
      </c>
      <c r="X2515" t="s">
        <v>31</v>
      </c>
      <c r="Y2515" t="s">
        <v>41</v>
      </c>
      <c r="Z2515">
        <v>453.88084944838403</v>
      </c>
    </row>
    <row r="2516" spans="1:26" x14ac:dyDescent="0.3">
      <c r="A2516" t="s">
        <v>42</v>
      </c>
      <c r="B2516" t="s">
        <v>2572</v>
      </c>
      <c r="C2516">
        <v>54.705240222233101</v>
      </c>
      <c r="D2516">
        <v>48</v>
      </c>
      <c r="E2516">
        <v>307</v>
      </c>
      <c r="F2516">
        <v>2633.5716545934501</v>
      </c>
      <c r="G2516" t="s">
        <v>48</v>
      </c>
      <c r="H2516">
        <v>10</v>
      </c>
      <c r="I2516">
        <v>18</v>
      </c>
      <c r="J2516">
        <v>76</v>
      </c>
      <c r="K2516">
        <v>1</v>
      </c>
      <c r="L2516" t="s">
        <v>27</v>
      </c>
      <c r="M2516">
        <v>6.3158731170144398</v>
      </c>
      <c r="N2516" t="s">
        <v>28</v>
      </c>
      <c r="O2516" t="s">
        <v>65</v>
      </c>
      <c r="P2516">
        <f>VLOOKUP(O2516, Coordinates!$A$2:$C$6, 2, FALSE)</f>
        <v>41.878100000000003</v>
      </c>
      <c r="Q2516">
        <f>VLOOKUP(O2516, Coordinates!$A$2:$C$6, 3, FALSE)</f>
        <v>-87.629800000000003</v>
      </c>
      <c r="R2516">
        <v>28</v>
      </c>
      <c r="S2516">
        <v>873</v>
      </c>
      <c r="T2516">
        <v>29</v>
      </c>
      <c r="U2516">
        <v>83.879126619015295</v>
      </c>
      <c r="V2516" t="s">
        <v>30</v>
      </c>
      <c r="W2516">
        <v>0.75188335655189997</v>
      </c>
      <c r="X2516" t="s">
        <v>31</v>
      </c>
      <c r="Y2516" t="s">
        <v>41</v>
      </c>
      <c r="Z2516">
        <v>624.82221771339096</v>
      </c>
    </row>
    <row r="2517" spans="1:26" x14ac:dyDescent="0.3">
      <c r="A2517" t="s">
        <v>82</v>
      </c>
      <c r="B2517" t="s">
        <v>2573</v>
      </c>
      <c r="C2517">
        <v>30.819719027612202</v>
      </c>
      <c r="D2517">
        <v>8</v>
      </c>
      <c r="E2517">
        <v>468</v>
      </c>
      <c r="F2517">
        <v>1125.8354167422799</v>
      </c>
      <c r="G2517" t="s">
        <v>54</v>
      </c>
      <c r="H2517">
        <v>35</v>
      </c>
      <c r="I2517">
        <v>4</v>
      </c>
      <c r="J2517">
        <v>41</v>
      </c>
      <c r="K2517">
        <v>2</v>
      </c>
      <c r="L2517" t="s">
        <v>44</v>
      </c>
      <c r="M2517">
        <v>3.1937066739351998</v>
      </c>
      <c r="N2517" t="s">
        <v>28</v>
      </c>
      <c r="O2517" t="s">
        <v>65</v>
      </c>
      <c r="P2517">
        <f>VLOOKUP(O2517, Coordinates!$A$2:$C$6, 2, FALSE)</f>
        <v>41.878100000000003</v>
      </c>
      <c r="Q2517">
        <f>VLOOKUP(O2517, Coordinates!$A$2:$C$6, 3, FALSE)</f>
        <v>-87.629800000000003</v>
      </c>
      <c r="R2517">
        <v>14</v>
      </c>
      <c r="S2517">
        <v>386</v>
      </c>
      <c r="T2517">
        <v>1</v>
      </c>
      <c r="U2517">
        <v>90.918205976897298</v>
      </c>
      <c r="V2517" t="s">
        <v>39</v>
      </c>
      <c r="W2517">
        <v>1.5303197442680301</v>
      </c>
      <c r="X2517" t="s">
        <v>40</v>
      </c>
      <c r="Y2517" t="s">
        <v>60</v>
      </c>
      <c r="Z2517">
        <v>734.48980100000006</v>
      </c>
    </row>
    <row r="2518" spans="1:26" x14ac:dyDescent="0.3">
      <c r="A2518" t="s">
        <v>24</v>
      </c>
      <c r="B2518" t="s">
        <v>2574</v>
      </c>
      <c r="C2518">
        <v>32.914325068512497</v>
      </c>
      <c r="D2518">
        <v>39</v>
      </c>
      <c r="E2518">
        <v>239</v>
      </c>
      <c r="F2518">
        <v>7079.8713222370397</v>
      </c>
      <c r="G2518" t="s">
        <v>35</v>
      </c>
      <c r="H2518">
        <v>48</v>
      </c>
      <c r="I2518">
        <v>23</v>
      </c>
      <c r="J2518">
        <v>26</v>
      </c>
      <c r="K2518">
        <v>3</v>
      </c>
      <c r="L2518" t="s">
        <v>44</v>
      </c>
      <c r="M2518">
        <v>5.9485407033588498</v>
      </c>
      <c r="N2518" t="s">
        <v>57</v>
      </c>
      <c r="O2518" t="s">
        <v>29</v>
      </c>
      <c r="P2518">
        <f>VLOOKUP(O2518, Coordinates!$A$2:$C$6, 2, FALSE)</f>
        <v>29.760400000000001</v>
      </c>
      <c r="Q2518">
        <f>VLOOKUP(O2518, Coordinates!$A$2:$C$6, 3, FALSE)</f>
        <v>-95.369799999999998</v>
      </c>
      <c r="R2518">
        <v>17</v>
      </c>
      <c r="S2518">
        <v>130</v>
      </c>
      <c r="T2518">
        <v>19</v>
      </c>
      <c r="U2518">
        <v>88.914988426990902</v>
      </c>
      <c r="V2518" t="s">
        <v>55</v>
      </c>
      <c r="W2518">
        <v>1.3055862216080301</v>
      </c>
      <c r="X2518" t="s">
        <v>40</v>
      </c>
      <c r="Y2518" t="s">
        <v>60</v>
      </c>
      <c r="Z2518">
        <v>779.74458240000001</v>
      </c>
    </row>
    <row r="2519" spans="1:26" x14ac:dyDescent="0.3">
      <c r="A2519" t="s">
        <v>24</v>
      </c>
      <c r="B2519" t="s">
        <v>2575</v>
      </c>
      <c r="C2519">
        <v>32.8566915665266</v>
      </c>
      <c r="D2519">
        <v>35</v>
      </c>
      <c r="E2519">
        <v>700</v>
      </c>
      <c r="F2519">
        <v>20699.715686911699</v>
      </c>
      <c r="G2519" t="s">
        <v>26</v>
      </c>
      <c r="H2519">
        <v>47</v>
      </c>
      <c r="I2519">
        <v>20</v>
      </c>
      <c r="J2519">
        <v>70</v>
      </c>
      <c r="K2519">
        <v>3</v>
      </c>
      <c r="L2519" t="s">
        <v>27</v>
      </c>
      <c r="M2519">
        <v>3.1088595680206899</v>
      </c>
      <c r="N2519" t="s">
        <v>51</v>
      </c>
      <c r="O2519" t="s">
        <v>38</v>
      </c>
      <c r="P2519">
        <f>VLOOKUP(O2519, Coordinates!$A$2:$C$6, 2, FALSE)</f>
        <v>25.761700000000001</v>
      </c>
      <c r="Q2519">
        <f>VLOOKUP(O2519, Coordinates!$A$2:$C$6, 3, FALSE)</f>
        <v>-80.191800000000001</v>
      </c>
      <c r="R2519">
        <v>30</v>
      </c>
      <c r="S2519">
        <v>787</v>
      </c>
      <c r="T2519">
        <v>30</v>
      </c>
      <c r="U2519">
        <v>85.671579149385906</v>
      </c>
      <c r="V2519" t="s">
        <v>55</v>
      </c>
      <c r="W2519">
        <v>1.48070823568453</v>
      </c>
      <c r="X2519" t="s">
        <v>52</v>
      </c>
      <c r="Y2519" t="s">
        <v>60</v>
      </c>
      <c r="Z2519">
        <v>185.03723925820901</v>
      </c>
    </row>
    <row r="2520" spans="1:26" x14ac:dyDescent="0.3">
      <c r="A2520" t="s">
        <v>24</v>
      </c>
      <c r="B2520" t="s">
        <v>2576</v>
      </c>
      <c r="C2520">
        <v>32.963103029660203</v>
      </c>
      <c r="D2520">
        <v>49</v>
      </c>
      <c r="E2520">
        <v>42</v>
      </c>
      <c r="F2520">
        <v>1246.0052945211501</v>
      </c>
      <c r="G2520" t="s">
        <v>26</v>
      </c>
      <c r="H2520">
        <v>86</v>
      </c>
      <c r="I2520">
        <v>21</v>
      </c>
      <c r="J2520">
        <v>78</v>
      </c>
      <c r="K2520">
        <v>10</v>
      </c>
      <c r="L2520" t="s">
        <v>27</v>
      </c>
      <c r="M2520">
        <v>12.13429846</v>
      </c>
      <c r="N2520" t="s">
        <v>45</v>
      </c>
      <c r="O2520" t="s">
        <v>38</v>
      </c>
      <c r="P2520">
        <f>VLOOKUP(O2520, Coordinates!$A$2:$C$6, 2, FALSE)</f>
        <v>25.761700000000001</v>
      </c>
      <c r="Q2520">
        <f>VLOOKUP(O2520, Coordinates!$A$2:$C$6, 3, FALSE)</f>
        <v>-80.191800000000001</v>
      </c>
      <c r="R2520">
        <v>25</v>
      </c>
      <c r="S2520">
        <v>620</v>
      </c>
      <c r="T2520">
        <v>7</v>
      </c>
      <c r="U2520">
        <v>87.218107824158295</v>
      </c>
      <c r="V2520" t="s">
        <v>39</v>
      </c>
      <c r="W2520">
        <v>3.7533532954727198</v>
      </c>
      <c r="X2520" t="s">
        <v>46</v>
      </c>
      <c r="Y2520" t="s">
        <v>32</v>
      </c>
      <c r="Z2520">
        <v>822.68536377113196</v>
      </c>
    </row>
    <row r="2521" spans="1:26" x14ac:dyDescent="0.3">
      <c r="A2521" t="s">
        <v>49</v>
      </c>
      <c r="B2521" t="s">
        <v>2577</v>
      </c>
      <c r="C2521">
        <v>19.622353429375899</v>
      </c>
      <c r="D2521">
        <v>46</v>
      </c>
      <c r="E2521">
        <v>143</v>
      </c>
      <c r="G2521" t="s">
        <v>54</v>
      </c>
      <c r="H2521">
        <v>6</v>
      </c>
      <c r="I2521">
        <v>20</v>
      </c>
      <c r="J2521">
        <v>20</v>
      </c>
      <c r="K2521">
        <v>4</v>
      </c>
      <c r="L2521" t="s">
        <v>27</v>
      </c>
      <c r="M2521">
        <v>2.1306272591920301</v>
      </c>
      <c r="N2521" t="s">
        <v>45</v>
      </c>
      <c r="O2521" t="s">
        <v>38</v>
      </c>
      <c r="P2521">
        <f>VLOOKUP(O2521, Coordinates!$A$2:$C$6, 2, FALSE)</f>
        <v>25.761700000000001</v>
      </c>
      <c r="Q2521">
        <f>VLOOKUP(O2521, Coordinates!$A$2:$C$6, 3, FALSE)</f>
        <v>-80.191800000000001</v>
      </c>
      <c r="R2521">
        <v>29</v>
      </c>
      <c r="S2521">
        <v>815</v>
      </c>
      <c r="T2521">
        <v>23</v>
      </c>
      <c r="U2521">
        <v>30.947533559514898</v>
      </c>
      <c r="V2521" t="s">
        <v>39</v>
      </c>
      <c r="W2521">
        <v>4.3609734936748401</v>
      </c>
      <c r="X2521" t="s">
        <v>40</v>
      </c>
      <c r="Y2521" t="s">
        <v>32</v>
      </c>
      <c r="Z2521">
        <v>157.128730084447</v>
      </c>
    </row>
    <row r="2522" spans="1:26" x14ac:dyDescent="0.3">
      <c r="A2522" t="s">
        <v>61</v>
      </c>
      <c r="B2522" t="s">
        <v>2578</v>
      </c>
      <c r="C2522">
        <v>97.818009271791695</v>
      </c>
      <c r="D2522">
        <v>38</v>
      </c>
      <c r="E2522">
        <v>199</v>
      </c>
      <c r="F2522">
        <v>3567.50197246791</v>
      </c>
      <c r="G2522" t="s">
        <v>26</v>
      </c>
      <c r="H2522">
        <v>90</v>
      </c>
      <c r="I2522">
        <v>4</v>
      </c>
      <c r="J2522">
        <v>47</v>
      </c>
      <c r="K2522">
        <v>5</v>
      </c>
      <c r="L2522" t="s">
        <v>44</v>
      </c>
      <c r="M2522">
        <v>3.6516767172994702</v>
      </c>
      <c r="N2522" t="s">
        <v>57</v>
      </c>
      <c r="O2522" t="s">
        <v>67</v>
      </c>
      <c r="P2522">
        <f>VLOOKUP(O2522, Coordinates!$A$2:$C$6, 2, FALSE)</f>
        <v>40.712800000000001</v>
      </c>
      <c r="Q2522">
        <f>VLOOKUP(O2522, Coordinates!$A$2:$C$6, 3, FALSE)</f>
        <v>-74.006</v>
      </c>
      <c r="R2522">
        <v>1</v>
      </c>
      <c r="S2522">
        <v>719</v>
      </c>
      <c r="T2522">
        <v>10</v>
      </c>
      <c r="U2522">
        <v>56.501709043339901</v>
      </c>
      <c r="V2522" t="s">
        <v>55</v>
      </c>
      <c r="W2522">
        <v>4.7129063611156097</v>
      </c>
      <c r="X2522" t="s">
        <v>31</v>
      </c>
      <c r="Y2522" t="s">
        <v>32</v>
      </c>
      <c r="Z2522">
        <v>883.41171305032799</v>
      </c>
    </row>
    <row r="2523" spans="1:26" x14ac:dyDescent="0.3">
      <c r="A2523" t="s">
        <v>24</v>
      </c>
      <c r="B2523" t="s">
        <v>2579</v>
      </c>
      <c r="C2523">
        <v>31.0861800834804</v>
      </c>
      <c r="D2523">
        <v>8</v>
      </c>
      <c r="E2523">
        <v>531</v>
      </c>
      <c r="F2523">
        <v>14856.0854618953</v>
      </c>
      <c r="G2523" t="s">
        <v>26</v>
      </c>
      <c r="H2523">
        <v>76</v>
      </c>
      <c r="I2523">
        <v>25</v>
      </c>
      <c r="J2523">
        <v>77</v>
      </c>
      <c r="K2523">
        <v>6</v>
      </c>
      <c r="L2523" t="s">
        <v>44</v>
      </c>
      <c r="M2523">
        <v>10.676334216930501</v>
      </c>
      <c r="N2523" t="s">
        <v>28</v>
      </c>
      <c r="O2523" t="s">
        <v>38</v>
      </c>
      <c r="P2523">
        <f>VLOOKUP(O2523, Coordinates!$A$2:$C$6, 2, FALSE)</f>
        <v>25.761700000000001</v>
      </c>
      <c r="Q2523">
        <f>VLOOKUP(O2523, Coordinates!$A$2:$C$6, 3, FALSE)</f>
        <v>-80.191800000000001</v>
      </c>
      <c r="R2523">
        <v>17</v>
      </c>
      <c r="S2523">
        <v>223</v>
      </c>
      <c r="T2523">
        <v>29</v>
      </c>
      <c r="U2523">
        <v>83.938508035689495</v>
      </c>
      <c r="V2523" t="s">
        <v>30</v>
      </c>
      <c r="W2523">
        <v>2.1005085695632699</v>
      </c>
      <c r="X2523" t="s">
        <v>46</v>
      </c>
      <c r="Y2523" t="s">
        <v>32</v>
      </c>
      <c r="Z2523">
        <v>453.01675974630302</v>
      </c>
    </row>
    <row r="2524" spans="1:26" x14ac:dyDescent="0.3">
      <c r="A2524" t="s">
        <v>33</v>
      </c>
      <c r="B2524" t="s">
        <v>2580</v>
      </c>
      <c r="C2524">
        <v>17.890390190266501</v>
      </c>
      <c r="D2524">
        <v>54</v>
      </c>
      <c r="E2524">
        <v>847</v>
      </c>
      <c r="F2524">
        <v>9589.1135646096991</v>
      </c>
      <c r="G2524" t="s">
        <v>26</v>
      </c>
      <c r="H2524">
        <v>0</v>
      </c>
      <c r="I2524">
        <v>23</v>
      </c>
      <c r="J2524">
        <v>28</v>
      </c>
      <c r="K2524">
        <v>1</v>
      </c>
      <c r="L2524" t="s">
        <v>36</v>
      </c>
      <c r="M2524">
        <v>13.6352339738881</v>
      </c>
      <c r="N2524" t="s">
        <v>51</v>
      </c>
      <c r="O2524" t="s">
        <v>67</v>
      </c>
      <c r="P2524">
        <f>VLOOKUP(O2524, Coordinates!$A$2:$C$6, 2, FALSE)</f>
        <v>40.712800000000001</v>
      </c>
      <c r="Q2524">
        <f>VLOOKUP(O2524, Coordinates!$A$2:$C$6, 3, FALSE)</f>
        <v>-74.006</v>
      </c>
      <c r="R2524">
        <v>6</v>
      </c>
      <c r="S2524">
        <v>849</v>
      </c>
      <c r="T2524">
        <v>12</v>
      </c>
      <c r="U2524">
        <v>88.024825571118797</v>
      </c>
      <c r="V2524" t="s">
        <v>39</v>
      </c>
      <c r="W2524">
        <v>0.57056632598634005</v>
      </c>
      <c r="X2524" t="s">
        <v>52</v>
      </c>
      <c r="Y2524" t="s">
        <v>41</v>
      </c>
      <c r="Z2524">
        <v>592.230066170545</v>
      </c>
    </row>
    <row r="2525" spans="1:26" x14ac:dyDescent="0.3">
      <c r="A2525" t="s">
        <v>72</v>
      </c>
      <c r="B2525" t="s">
        <v>2581</v>
      </c>
      <c r="C2525">
        <v>32.584323526795799</v>
      </c>
      <c r="D2525">
        <v>37</v>
      </c>
      <c r="E2525">
        <v>651</v>
      </c>
      <c r="F2525">
        <v>19091.155154349701</v>
      </c>
      <c r="G2525" t="s">
        <v>26</v>
      </c>
      <c r="H2525">
        <v>16</v>
      </c>
      <c r="I2525">
        <v>28</v>
      </c>
      <c r="J2525">
        <v>96</v>
      </c>
      <c r="K2525">
        <v>8</v>
      </c>
      <c r="L2525" t="s">
        <v>44</v>
      </c>
      <c r="M2525">
        <v>14.5042825367464</v>
      </c>
      <c r="N2525" t="s">
        <v>28</v>
      </c>
      <c r="O2525" t="s">
        <v>58</v>
      </c>
      <c r="P2525">
        <f>VLOOKUP(O2525, Coordinates!$A$2:$C$6, 2, FALSE)</f>
        <v>34.052199999999999</v>
      </c>
      <c r="Q2525">
        <f>VLOOKUP(O2525, Coordinates!$A$2:$C$6, 3, FALSE)</f>
        <v>-118.2437</v>
      </c>
      <c r="R2525">
        <v>4</v>
      </c>
      <c r="S2525">
        <v>229</v>
      </c>
      <c r="T2525">
        <v>12</v>
      </c>
      <c r="U2525">
        <v>91.087251686650504</v>
      </c>
      <c r="V2525" t="s">
        <v>55</v>
      </c>
      <c r="W2525">
        <v>2.3382930501365999</v>
      </c>
      <c r="X2525" t="s">
        <v>46</v>
      </c>
      <c r="Y2525" t="s">
        <v>32</v>
      </c>
      <c r="Z2525">
        <v>360.98424598852102</v>
      </c>
    </row>
    <row r="2526" spans="1:26" x14ac:dyDescent="0.3">
      <c r="A2526" t="s">
        <v>33</v>
      </c>
      <c r="B2526" t="s">
        <v>2582</v>
      </c>
      <c r="C2526">
        <v>12.090650952545699</v>
      </c>
      <c r="D2526">
        <v>91</v>
      </c>
      <c r="E2526">
        <v>913</v>
      </c>
      <c r="F2526">
        <v>7584.8131352789896</v>
      </c>
      <c r="G2526" t="s">
        <v>26</v>
      </c>
      <c r="H2526">
        <v>7</v>
      </c>
      <c r="I2526">
        <v>28</v>
      </c>
      <c r="J2526">
        <v>26</v>
      </c>
      <c r="K2526">
        <v>6</v>
      </c>
      <c r="L2526" t="s">
        <v>36</v>
      </c>
      <c r="M2526">
        <v>12.704320834370799</v>
      </c>
      <c r="N2526" t="s">
        <v>51</v>
      </c>
      <c r="O2526" t="s">
        <v>67</v>
      </c>
      <c r="P2526">
        <f>VLOOKUP(O2526, Coordinates!$A$2:$C$6, 2, FALSE)</f>
        <v>40.712800000000001</v>
      </c>
      <c r="Q2526">
        <f>VLOOKUP(O2526, Coordinates!$A$2:$C$6, 3, FALSE)</f>
        <v>-74.006</v>
      </c>
      <c r="R2526">
        <v>14</v>
      </c>
      <c r="S2526">
        <v>845</v>
      </c>
      <c r="T2526">
        <v>29</v>
      </c>
      <c r="U2526">
        <v>53.569881855508697</v>
      </c>
      <c r="V2526" t="s">
        <v>55</v>
      </c>
      <c r="W2526">
        <v>0.92215950930679302</v>
      </c>
      <c r="X2526" t="s">
        <v>40</v>
      </c>
      <c r="Y2526" t="s">
        <v>32</v>
      </c>
      <c r="Z2526">
        <v>483.99758788044898</v>
      </c>
    </row>
    <row r="2527" spans="1:26" x14ac:dyDescent="0.3">
      <c r="A2527" t="s">
        <v>24</v>
      </c>
      <c r="B2527" t="s">
        <v>2583</v>
      </c>
      <c r="C2527">
        <v>37.353748978161697</v>
      </c>
      <c r="D2527">
        <v>92</v>
      </c>
      <c r="E2527">
        <v>565</v>
      </c>
      <c r="F2527">
        <v>18994.381355395199</v>
      </c>
      <c r="G2527" t="s">
        <v>26</v>
      </c>
      <c r="H2527">
        <v>25</v>
      </c>
      <c r="I2527">
        <v>6</v>
      </c>
      <c r="J2527">
        <v>22</v>
      </c>
      <c r="K2527">
        <v>10</v>
      </c>
      <c r="L2527" t="s">
        <v>36</v>
      </c>
      <c r="M2527">
        <v>3.96060486912714</v>
      </c>
      <c r="N2527" t="s">
        <v>51</v>
      </c>
      <c r="O2527" t="s">
        <v>65</v>
      </c>
      <c r="P2527">
        <f>VLOOKUP(O2527, Coordinates!$A$2:$C$6, 2, FALSE)</f>
        <v>41.878100000000003</v>
      </c>
      <c r="Q2527">
        <f>VLOOKUP(O2527, Coordinates!$A$2:$C$6, 3, FALSE)</f>
        <v>-87.629800000000003</v>
      </c>
      <c r="R2527">
        <v>8</v>
      </c>
      <c r="S2527">
        <v>615</v>
      </c>
      <c r="T2527">
        <v>1</v>
      </c>
      <c r="U2527">
        <v>87.703212956919799</v>
      </c>
      <c r="V2527" t="s">
        <v>55</v>
      </c>
      <c r="W2527">
        <v>1.08065321250659</v>
      </c>
      <c r="X2527" t="s">
        <v>40</v>
      </c>
      <c r="Y2527" t="s">
        <v>32</v>
      </c>
      <c r="Z2527">
        <v>860.67438757012599</v>
      </c>
    </row>
    <row r="2528" spans="1:26" x14ac:dyDescent="0.3">
      <c r="A2528" t="s">
        <v>72</v>
      </c>
      <c r="B2528" t="s">
        <v>2584</v>
      </c>
      <c r="C2528">
        <v>38.436578932789097</v>
      </c>
      <c r="D2528">
        <v>40</v>
      </c>
      <c r="E2528">
        <v>100</v>
      </c>
      <c r="F2528">
        <v>3459.2921039510202</v>
      </c>
      <c r="G2528" t="s">
        <v>26</v>
      </c>
      <c r="H2528">
        <v>21</v>
      </c>
      <c r="I2528">
        <v>13</v>
      </c>
      <c r="J2528">
        <v>100</v>
      </c>
      <c r="K2528">
        <v>8</v>
      </c>
      <c r="L2528" t="s">
        <v>44</v>
      </c>
      <c r="M2528">
        <v>4.9999580016486904</v>
      </c>
      <c r="N2528" t="s">
        <v>51</v>
      </c>
      <c r="O2528" t="s">
        <v>65</v>
      </c>
      <c r="P2528">
        <f>VLOOKUP(O2528, Coordinates!$A$2:$C$6, 2, FALSE)</f>
        <v>41.878100000000003</v>
      </c>
      <c r="Q2528">
        <f>VLOOKUP(O2528, Coordinates!$A$2:$C$6, 3, FALSE)</f>
        <v>-87.629800000000003</v>
      </c>
      <c r="R2528">
        <v>18</v>
      </c>
      <c r="S2528">
        <v>579</v>
      </c>
      <c r="T2528">
        <v>9</v>
      </c>
      <c r="U2528">
        <v>78.858558270360803</v>
      </c>
      <c r="V2528" t="s">
        <v>30</v>
      </c>
      <c r="W2528">
        <v>1.4252070882241601</v>
      </c>
      <c r="X2528" t="s">
        <v>46</v>
      </c>
      <c r="Y2528" t="s">
        <v>41</v>
      </c>
      <c r="Z2528">
        <v>997.48826595699904</v>
      </c>
    </row>
    <row r="2529" spans="1:26" x14ac:dyDescent="0.3">
      <c r="A2529" t="s">
        <v>42</v>
      </c>
      <c r="B2529" t="s">
        <v>2585</v>
      </c>
      <c r="C2529">
        <v>71.541020919867805</v>
      </c>
      <c r="D2529">
        <v>34</v>
      </c>
      <c r="E2529">
        <v>717</v>
      </c>
      <c r="F2529">
        <v>5103.2434331990198</v>
      </c>
      <c r="G2529" t="s">
        <v>35</v>
      </c>
      <c r="H2529">
        <v>12</v>
      </c>
      <c r="I2529">
        <v>23</v>
      </c>
      <c r="J2529">
        <v>10</v>
      </c>
      <c r="K2529">
        <v>5</v>
      </c>
      <c r="L2529" t="s">
        <v>44</v>
      </c>
      <c r="M2529">
        <v>13.190532941979701</v>
      </c>
      <c r="N2529" t="s">
        <v>28</v>
      </c>
      <c r="O2529" t="s">
        <v>58</v>
      </c>
      <c r="P2529">
        <f>VLOOKUP(O2529, Coordinates!$A$2:$C$6, 2, FALSE)</f>
        <v>34.052199999999999</v>
      </c>
      <c r="Q2529">
        <f>VLOOKUP(O2529, Coordinates!$A$2:$C$6, 3, FALSE)</f>
        <v>-118.2437</v>
      </c>
      <c r="R2529">
        <v>20</v>
      </c>
      <c r="S2529">
        <v>831</v>
      </c>
      <c r="T2529">
        <v>17</v>
      </c>
      <c r="U2529">
        <v>47.508451984093</v>
      </c>
      <c r="V2529" t="s">
        <v>55</v>
      </c>
      <c r="W2529">
        <v>0.62379928012973296</v>
      </c>
      <c r="X2529" t="s">
        <v>31</v>
      </c>
      <c r="Y2529" t="s">
        <v>32</v>
      </c>
      <c r="Z2529">
        <v>607.762218853121</v>
      </c>
    </row>
    <row r="2530" spans="1:26" x14ac:dyDescent="0.3">
      <c r="A2530" t="s">
        <v>33</v>
      </c>
      <c r="B2530" t="s">
        <v>2586</v>
      </c>
      <c r="C2530">
        <v>78.192486002029</v>
      </c>
      <c r="D2530">
        <v>96</v>
      </c>
      <c r="E2530">
        <v>895</v>
      </c>
      <c r="F2530">
        <v>1640.8604578710899</v>
      </c>
      <c r="G2530" t="s">
        <v>26</v>
      </c>
      <c r="H2530">
        <v>3</v>
      </c>
      <c r="I2530">
        <v>27</v>
      </c>
      <c r="J2530">
        <v>11</v>
      </c>
      <c r="K2530">
        <v>7</v>
      </c>
      <c r="L2530" t="s">
        <v>44</v>
      </c>
      <c r="M2530">
        <v>13.4506615064175</v>
      </c>
      <c r="N2530" t="s">
        <v>28</v>
      </c>
      <c r="O2530" t="s">
        <v>67</v>
      </c>
      <c r="P2530">
        <f>VLOOKUP(O2530, Coordinates!$A$2:$C$6, 2, FALSE)</f>
        <v>40.712800000000001</v>
      </c>
      <c r="Q2530">
        <f>VLOOKUP(O2530, Coordinates!$A$2:$C$6, 3, FALSE)</f>
        <v>-74.006</v>
      </c>
      <c r="R2530">
        <v>28</v>
      </c>
      <c r="S2530">
        <v>873</v>
      </c>
      <c r="T2530">
        <v>23</v>
      </c>
      <c r="U2530">
        <v>13.7750136400771</v>
      </c>
      <c r="V2530" t="s">
        <v>39</v>
      </c>
      <c r="W2530">
        <v>3.6055946630000002</v>
      </c>
      <c r="X2530" t="s">
        <v>46</v>
      </c>
      <c r="Y2530" t="s">
        <v>32</v>
      </c>
      <c r="Z2530">
        <v>682.37120096476895</v>
      </c>
    </row>
    <row r="2531" spans="1:26" x14ac:dyDescent="0.3">
      <c r="A2531" t="s">
        <v>61</v>
      </c>
      <c r="B2531" t="s">
        <v>2587</v>
      </c>
      <c r="C2531">
        <v>37.043769464411199</v>
      </c>
      <c r="D2531">
        <v>79</v>
      </c>
      <c r="E2531">
        <v>542</v>
      </c>
      <c r="F2531">
        <v>8188.1863383732598</v>
      </c>
      <c r="G2531" t="s">
        <v>35</v>
      </c>
      <c r="H2531">
        <v>70</v>
      </c>
      <c r="I2531">
        <v>24</v>
      </c>
      <c r="J2531">
        <v>91</v>
      </c>
      <c r="K2531">
        <v>4</v>
      </c>
      <c r="L2531" t="s">
        <v>44</v>
      </c>
      <c r="M2531">
        <v>9.9691443214815703</v>
      </c>
      <c r="N2531" t="s">
        <v>28</v>
      </c>
      <c r="O2531" t="s">
        <v>67</v>
      </c>
      <c r="P2531">
        <f>VLOOKUP(O2531, Coordinates!$A$2:$C$6, 2, FALSE)</f>
        <v>40.712800000000001</v>
      </c>
      <c r="Q2531">
        <f>VLOOKUP(O2531, Coordinates!$A$2:$C$6, 3, FALSE)</f>
        <v>-74.006</v>
      </c>
      <c r="R2531">
        <v>13</v>
      </c>
      <c r="S2531">
        <v>641</v>
      </c>
      <c r="T2531">
        <v>12</v>
      </c>
      <c r="U2531">
        <v>74.7929306953409</v>
      </c>
      <c r="V2531" t="s">
        <v>30</v>
      </c>
      <c r="W2531">
        <v>3.95973237365624</v>
      </c>
      <c r="X2531" t="s">
        <v>46</v>
      </c>
      <c r="Y2531" t="s">
        <v>32</v>
      </c>
      <c r="Z2531">
        <v>231.76738064163601</v>
      </c>
    </row>
    <row r="2532" spans="1:26" x14ac:dyDescent="0.3">
      <c r="A2532" t="s">
        <v>61</v>
      </c>
      <c r="B2532" t="s">
        <v>2588</v>
      </c>
      <c r="C2532">
        <v>94.4498010097237</v>
      </c>
      <c r="D2532">
        <v>17</v>
      </c>
      <c r="E2532">
        <v>859</v>
      </c>
      <c r="F2532">
        <v>3189.7173518466998</v>
      </c>
      <c r="G2532" t="s">
        <v>48</v>
      </c>
      <c r="H2532">
        <v>0</v>
      </c>
      <c r="I2532">
        <v>29</v>
      </c>
      <c r="J2532">
        <v>75</v>
      </c>
      <c r="K2532">
        <v>6</v>
      </c>
      <c r="L2532" t="s">
        <v>27</v>
      </c>
      <c r="M2532">
        <v>5.3909753890000003</v>
      </c>
      <c r="N2532" t="s">
        <v>37</v>
      </c>
      <c r="O2532" t="s">
        <v>58</v>
      </c>
      <c r="P2532">
        <f>VLOOKUP(O2532, Coordinates!$A$2:$C$6, 2, FALSE)</f>
        <v>34.052199999999999</v>
      </c>
      <c r="Q2532">
        <f>VLOOKUP(O2532, Coordinates!$A$2:$C$6, 3, FALSE)</f>
        <v>-118.2437</v>
      </c>
      <c r="R2532">
        <v>8</v>
      </c>
      <c r="S2532">
        <v>928</v>
      </c>
      <c r="T2532">
        <v>28</v>
      </c>
      <c r="U2532">
        <v>35.288554715454097</v>
      </c>
      <c r="V2532" t="s">
        <v>39</v>
      </c>
      <c r="W2532">
        <v>1.9714246095779999</v>
      </c>
      <c r="X2532" t="s">
        <v>46</v>
      </c>
      <c r="Y2532" t="s">
        <v>60</v>
      </c>
      <c r="Z2532">
        <v>800.03447697149898</v>
      </c>
    </row>
    <row r="2533" spans="1:26" x14ac:dyDescent="0.3">
      <c r="A2533" t="s">
        <v>33</v>
      </c>
      <c r="B2533" t="s">
        <v>2589</v>
      </c>
      <c r="C2533">
        <v>55.322826780294903</v>
      </c>
      <c r="D2533">
        <v>33</v>
      </c>
      <c r="E2533">
        <v>433</v>
      </c>
      <c r="F2533">
        <v>7528.7091087367298</v>
      </c>
      <c r="G2533" t="s">
        <v>54</v>
      </c>
      <c r="H2533">
        <v>32</v>
      </c>
      <c r="I2533">
        <v>4</v>
      </c>
      <c r="J2533">
        <v>77</v>
      </c>
      <c r="K2533">
        <v>6</v>
      </c>
      <c r="L2533" t="s">
        <v>44</v>
      </c>
      <c r="M2533">
        <v>4.1367932826436702</v>
      </c>
      <c r="N2533" t="s">
        <v>28</v>
      </c>
      <c r="O2533" t="s">
        <v>38</v>
      </c>
      <c r="P2533">
        <f>VLOOKUP(O2533, Coordinates!$A$2:$C$6, 2, FALSE)</f>
        <v>25.761700000000001</v>
      </c>
      <c r="Q2533">
        <f>VLOOKUP(O2533, Coordinates!$A$2:$C$6, 3, FALSE)</f>
        <v>-80.191800000000001</v>
      </c>
      <c r="R2533">
        <v>28</v>
      </c>
      <c r="S2533">
        <v>176</v>
      </c>
      <c r="T2533">
        <v>2</v>
      </c>
      <c r="U2533">
        <v>14.4176781040471</v>
      </c>
      <c r="V2533" t="s">
        <v>55</v>
      </c>
      <c r="W2533">
        <v>3.4449626971677199</v>
      </c>
      <c r="X2533" t="s">
        <v>46</v>
      </c>
      <c r="Y2533" t="s">
        <v>32</v>
      </c>
      <c r="Z2533">
        <v>999.16080467363201</v>
      </c>
    </row>
    <row r="2534" spans="1:26" x14ac:dyDescent="0.3">
      <c r="A2534" t="s">
        <v>24</v>
      </c>
      <c r="B2534" t="s">
        <v>2590</v>
      </c>
      <c r="C2534">
        <v>21.8359886459607</v>
      </c>
      <c r="D2534">
        <v>47</v>
      </c>
      <c r="E2534">
        <v>239</v>
      </c>
      <c r="F2534">
        <v>4696.9211577461501</v>
      </c>
      <c r="G2534" t="s">
        <v>26</v>
      </c>
      <c r="H2534">
        <v>13</v>
      </c>
      <c r="I2534">
        <v>1</v>
      </c>
      <c r="J2534">
        <v>25</v>
      </c>
      <c r="K2534">
        <v>4</v>
      </c>
      <c r="L2534" t="s">
        <v>36</v>
      </c>
      <c r="M2534">
        <v>12.9319577896784</v>
      </c>
      <c r="N2534" t="s">
        <v>57</v>
      </c>
      <c r="O2534" t="s">
        <v>29</v>
      </c>
      <c r="P2534">
        <f>VLOOKUP(O2534, Coordinates!$A$2:$C$6, 2, FALSE)</f>
        <v>29.760400000000001</v>
      </c>
      <c r="Q2534">
        <f>VLOOKUP(O2534, Coordinates!$A$2:$C$6, 3, FALSE)</f>
        <v>-95.369799999999998</v>
      </c>
      <c r="R2534">
        <v>24</v>
      </c>
      <c r="S2534">
        <v>282</v>
      </c>
      <c r="T2534">
        <v>9</v>
      </c>
      <c r="U2534">
        <v>90.054505998361194</v>
      </c>
      <c r="V2534" t="s">
        <v>30</v>
      </c>
      <c r="W2534">
        <v>1.9447714508534699</v>
      </c>
      <c r="X2534" t="s">
        <v>46</v>
      </c>
      <c r="Y2534" t="s">
        <v>32</v>
      </c>
      <c r="Z2534">
        <v>239.55535791303399</v>
      </c>
    </row>
    <row r="2535" spans="1:26" x14ac:dyDescent="0.3">
      <c r="A2535" t="s">
        <v>61</v>
      </c>
      <c r="B2535" t="s">
        <v>2591</v>
      </c>
      <c r="C2535">
        <v>92.790233011571502</v>
      </c>
      <c r="D2535">
        <v>52</v>
      </c>
      <c r="E2535">
        <v>353</v>
      </c>
      <c r="F2535">
        <v>9595.8870054911695</v>
      </c>
      <c r="G2535" t="s">
        <v>54</v>
      </c>
      <c r="H2535">
        <v>63</v>
      </c>
      <c r="I2535">
        <v>6</v>
      </c>
      <c r="J2535">
        <v>13</v>
      </c>
      <c r="K2535">
        <v>6</v>
      </c>
      <c r="L2535" t="s">
        <v>36</v>
      </c>
      <c r="M2535">
        <v>3.87356997829658</v>
      </c>
      <c r="N2535" t="s">
        <v>37</v>
      </c>
      <c r="O2535" t="s">
        <v>38</v>
      </c>
      <c r="P2535">
        <f>VLOOKUP(O2535, Coordinates!$A$2:$C$6, 2, FALSE)</f>
        <v>25.761700000000001</v>
      </c>
      <c r="Q2535">
        <f>VLOOKUP(O2535, Coordinates!$A$2:$C$6, 3, FALSE)</f>
        <v>-80.191800000000001</v>
      </c>
      <c r="R2535">
        <v>16</v>
      </c>
      <c r="S2535">
        <v>465</v>
      </c>
      <c r="T2535">
        <v>12</v>
      </c>
      <c r="U2535">
        <v>93.822514171958602</v>
      </c>
      <c r="V2535" t="s">
        <v>55</v>
      </c>
      <c r="W2535">
        <v>0.82038661818181902</v>
      </c>
      <c r="X2535" t="s">
        <v>31</v>
      </c>
      <c r="Y2535" t="s">
        <v>32</v>
      </c>
      <c r="Z2535">
        <v>791.09601833798502</v>
      </c>
    </row>
    <row r="2536" spans="1:26" x14ac:dyDescent="0.3">
      <c r="A2536" t="s">
        <v>42</v>
      </c>
      <c r="B2536" t="s">
        <v>2592</v>
      </c>
      <c r="C2536">
        <v>97.642097719999995</v>
      </c>
      <c r="D2536">
        <v>80</v>
      </c>
      <c r="E2536">
        <v>760</v>
      </c>
      <c r="F2536">
        <v>2737.1348686512802</v>
      </c>
      <c r="G2536" t="s">
        <v>26</v>
      </c>
      <c r="H2536">
        <v>42</v>
      </c>
      <c r="I2536">
        <v>24</v>
      </c>
      <c r="J2536">
        <v>66</v>
      </c>
      <c r="K2536">
        <v>8</v>
      </c>
      <c r="L2536" t="s">
        <v>27</v>
      </c>
      <c r="M2536">
        <v>10.265260909553801</v>
      </c>
      <c r="N2536" t="s">
        <v>51</v>
      </c>
      <c r="O2536" t="s">
        <v>29</v>
      </c>
      <c r="P2536">
        <f>VLOOKUP(O2536, Coordinates!$A$2:$C$6, 2, FALSE)</f>
        <v>29.760400000000001</v>
      </c>
      <c r="Q2536">
        <f>VLOOKUP(O2536, Coordinates!$A$2:$C$6, 3, FALSE)</f>
        <v>-95.369799999999998</v>
      </c>
      <c r="R2536">
        <v>5</v>
      </c>
      <c r="S2536">
        <v>391</v>
      </c>
      <c r="T2536">
        <v>28</v>
      </c>
      <c r="U2536">
        <v>32.686840777975199</v>
      </c>
      <c r="V2536" t="s">
        <v>55</v>
      </c>
      <c r="W2536">
        <v>1.9858403066563901</v>
      </c>
      <c r="X2536" t="s">
        <v>52</v>
      </c>
      <c r="Y2536" t="s">
        <v>41</v>
      </c>
      <c r="Z2536">
        <v>232.36578411730801</v>
      </c>
    </row>
    <row r="2537" spans="1:26" x14ac:dyDescent="0.3">
      <c r="A2537" t="s">
        <v>82</v>
      </c>
      <c r="B2537" t="s">
        <v>2593</v>
      </c>
      <c r="C2537">
        <v>84.154413876684004</v>
      </c>
      <c r="D2537">
        <v>93</v>
      </c>
      <c r="E2537">
        <v>874</v>
      </c>
      <c r="F2537">
        <v>8944.6786858637206</v>
      </c>
      <c r="G2537" t="s">
        <v>35</v>
      </c>
      <c r="H2537">
        <v>57</v>
      </c>
      <c r="I2537">
        <v>5</v>
      </c>
      <c r="J2537">
        <v>82</v>
      </c>
      <c r="K2537">
        <v>5</v>
      </c>
      <c r="L2537" t="s">
        <v>27</v>
      </c>
      <c r="M2537">
        <v>14.5513467982778</v>
      </c>
      <c r="N2537" t="s">
        <v>45</v>
      </c>
      <c r="O2537" t="s">
        <v>38</v>
      </c>
      <c r="P2537">
        <f>VLOOKUP(O2537, Coordinates!$A$2:$C$6, 2, FALSE)</f>
        <v>25.761700000000001</v>
      </c>
      <c r="Q2537">
        <f>VLOOKUP(O2537, Coordinates!$A$2:$C$6, 3, FALSE)</f>
        <v>-80.191800000000001</v>
      </c>
      <c r="R2537">
        <v>26</v>
      </c>
      <c r="S2537">
        <v>813</v>
      </c>
      <c r="T2537">
        <v>25</v>
      </c>
      <c r="U2537">
        <v>50.310927327075703</v>
      </c>
      <c r="V2537" t="s">
        <v>39</v>
      </c>
      <c r="W2537">
        <v>4.4041116707016696</v>
      </c>
      <c r="X2537" t="s">
        <v>52</v>
      </c>
      <c r="Y2537" t="s">
        <v>32</v>
      </c>
      <c r="Z2537">
        <v>955.23062779999998</v>
      </c>
    </row>
    <row r="2538" spans="1:26" x14ac:dyDescent="0.3">
      <c r="A2538" t="s">
        <v>24</v>
      </c>
      <c r="B2538" t="s">
        <v>2594</v>
      </c>
      <c r="C2538">
        <v>20.2350514711313</v>
      </c>
      <c r="D2538">
        <v>9</v>
      </c>
      <c r="E2538">
        <v>485</v>
      </c>
      <c r="F2538">
        <v>8832.5999670000001</v>
      </c>
      <c r="G2538" t="s">
        <v>26</v>
      </c>
      <c r="H2538">
        <v>40</v>
      </c>
      <c r="I2538">
        <v>13</v>
      </c>
      <c r="J2538">
        <v>94</v>
      </c>
      <c r="K2538">
        <v>2</v>
      </c>
      <c r="L2538" t="s">
        <v>44</v>
      </c>
      <c r="M2538">
        <v>10.874079494997099</v>
      </c>
      <c r="N2538" t="s">
        <v>37</v>
      </c>
      <c r="O2538" t="s">
        <v>29</v>
      </c>
      <c r="P2538">
        <f>VLOOKUP(O2538, Coordinates!$A$2:$C$6, 2, FALSE)</f>
        <v>29.760400000000001</v>
      </c>
      <c r="Q2538">
        <f>VLOOKUP(O2538, Coordinates!$A$2:$C$6, 3, FALSE)</f>
        <v>-95.369799999999998</v>
      </c>
      <c r="R2538">
        <v>13</v>
      </c>
      <c r="S2538">
        <v>488</v>
      </c>
      <c r="T2538">
        <v>25</v>
      </c>
      <c r="U2538">
        <v>85.051247726075403</v>
      </c>
      <c r="V2538" t="s">
        <v>55</v>
      </c>
      <c r="W2538">
        <v>0.204971570384444</v>
      </c>
      <c r="X2538" t="s">
        <v>40</v>
      </c>
      <c r="Y2538" t="s">
        <v>32</v>
      </c>
      <c r="Z2538">
        <v>469.88702898267201</v>
      </c>
    </row>
    <row r="2539" spans="1:26" x14ac:dyDescent="0.3">
      <c r="A2539" t="s">
        <v>42</v>
      </c>
      <c r="B2539" t="s">
        <v>2595</v>
      </c>
      <c r="C2539">
        <v>96.8220140724478</v>
      </c>
      <c r="D2539">
        <v>33</v>
      </c>
      <c r="E2539">
        <v>843</v>
      </c>
      <c r="F2539">
        <v>9710.7393167327391</v>
      </c>
      <c r="G2539" t="s">
        <v>48</v>
      </c>
      <c r="H2539">
        <v>80</v>
      </c>
      <c r="I2539">
        <v>19</v>
      </c>
      <c r="J2539">
        <v>32</v>
      </c>
      <c r="K2539">
        <v>9</v>
      </c>
      <c r="L2539" t="s">
        <v>27</v>
      </c>
      <c r="M2539">
        <v>4.6073843843043596</v>
      </c>
      <c r="N2539" t="s">
        <v>37</v>
      </c>
      <c r="O2539" t="s">
        <v>29</v>
      </c>
      <c r="P2539">
        <f>VLOOKUP(O2539, Coordinates!$A$2:$C$6, 2, FALSE)</f>
        <v>29.760400000000001</v>
      </c>
      <c r="Q2539">
        <f>VLOOKUP(O2539, Coordinates!$A$2:$C$6, 3, FALSE)</f>
        <v>-95.369799999999998</v>
      </c>
      <c r="R2539">
        <v>15</v>
      </c>
      <c r="S2539">
        <v>256</v>
      </c>
      <c r="T2539">
        <v>4</v>
      </c>
      <c r="U2539">
        <v>52.076528090265199</v>
      </c>
      <c r="V2539" t="s">
        <v>55</v>
      </c>
      <c r="W2539">
        <v>3.2724219534118499</v>
      </c>
      <c r="X2539" t="s">
        <v>31</v>
      </c>
      <c r="Y2539" t="s">
        <v>60</v>
      </c>
      <c r="Z2539">
        <v>981.92526385456802</v>
      </c>
    </row>
    <row r="2540" spans="1:26" x14ac:dyDescent="0.3">
      <c r="A2540" t="s">
        <v>72</v>
      </c>
      <c r="B2540" t="s">
        <v>2596</v>
      </c>
      <c r="C2540">
        <v>30.3783162835058</v>
      </c>
      <c r="D2540">
        <v>60</v>
      </c>
      <c r="E2540">
        <v>400</v>
      </c>
      <c r="F2540">
        <v>10936.193862062</v>
      </c>
      <c r="G2540" t="s">
        <v>54</v>
      </c>
      <c r="H2540">
        <v>67</v>
      </c>
      <c r="I2540">
        <v>4</v>
      </c>
      <c r="J2540">
        <v>11</v>
      </c>
      <c r="K2540">
        <v>4</v>
      </c>
      <c r="L2540" t="s">
        <v>44</v>
      </c>
      <c r="M2540">
        <v>4.95508261784222</v>
      </c>
      <c r="N2540" t="s">
        <v>51</v>
      </c>
      <c r="O2540" t="s">
        <v>67</v>
      </c>
      <c r="P2540">
        <f>VLOOKUP(O2540, Coordinates!$A$2:$C$6, 2, FALSE)</f>
        <v>40.712800000000001</v>
      </c>
      <c r="Q2540">
        <f>VLOOKUP(O2540, Coordinates!$A$2:$C$6, 3, FALSE)</f>
        <v>-74.006</v>
      </c>
      <c r="R2540">
        <v>4</v>
      </c>
      <c r="S2540">
        <v>199</v>
      </c>
      <c r="T2540">
        <v>22</v>
      </c>
      <c r="U2540">
        <v>75.745494423031204</v>
      </c>
      <c r="V2540" t="s">
        <v>30</v>
      </c>
      <c r="W2540">
        <v>3.7130398450239199</v>
      </c>
      <c r="X2540" t="s">
        <v>46</v>
      </c>
      <c r="Y2540" t="s">
        <v>60</v>
      </c>
      <c r="Z2540">
        <v>161.12600749283499</v>
      </c>
    </row>
    <row r="2541" spans="1:26" x14ac:dyDescent="0.3">
      <c r="A2541" t="s">
        <v>42</v>
      </c>
      <c r="B2541" t="s">
        <v>2597</v>
      </c>
      <c r="C2541">
        <v>93.411035253436097</v>
      </c>
      <c r="D2541">
        <v>93</v>
      </c>
      <c r="E2541">
        <v>355</v>
      </c>
      <c r="F2541">
        <v>7546.5756446135601</v>
      </c>
      <c r="G2541" t="s">
        <v>54</v>
      </c>
      <c r="H2541">
        <v>38</v>
      </c>
      <c r="I2541">
        <v>24</v>
      </c>
      <c r="J2541">
        <v>76</v>
      </c>
      <c r="K2541">
        <v>4</v>
      </c>
      <c r="L2541" t="s">
        <v>44</v>
      </c>
      <c r="M2541">
        <v>2.3005268558926701</v>
      </c>
      <c r="N2541" t="s">
        <v>28</v>
      </c>
      <c r="O2541" t="s">
        <v>65</v>
      </c>
      <c r="P2541">
        <f>VLOOKUP(O2541, Coordinates!$A$2:$C$6, 2, FALSE)</f>
        <v>41.878100000000003</v>
      </c>
      <c r="Q2541">
        <f>VLOOKUP(O2541, Coordinates!$A$2:$C$6, 3, FALSE)</f>
        <v>-87.629800000000003</v>
      </c>
      <c r="R2541">
        <v>3</v>
      </c>
      <c r="S2541">
        <v>733</v>
      </c>
      <c r="T2541">
        <v>29</v>
      </c>
      <c r="U2541">
        <v>59.674244252199301</v>
      </c>
      <c r="V2541" t="s">
        <v>30</v>
      </c>
      <c r="W2541">
        <v>4.2998512885427997</v>
      </c>
      <c r="X2541" t="s">
        <v>31</v>
      </c>
      <c r="Y2541" t="s">
        <v>41</v>
      </c>
      <c r="Z2541">
        <v>811.88302680949005</v>
      </c>
    </row>
    <row r="2542" spans="1:26" x14ac:dyDescent="0.3">
      <c r="A2542" t="s">
        <v>24</v>
      </c>
      <c r="B2542" t="s">
        <v>2598</v>
      </c>
      <c r="C2542">
        <v>28.256247200090701</v>
      </c>
      <c r="D2542">
        <v>77</v>
      </c>
      <c r="E2542">
        <v>420</v>
      </c>
      <c r="F2542">
        <v>10680.861441634301</v>
      </c>
      <c r="G2542" t="s">
        <v>48</v>
      </c>
      <c r="H2542">
        <v>0</v>
      </c>
      <c r="I2542">
        <v>6</v>
      </c>
      <c r="J2542">
        <v>96</v>
      </c>
      <c r="K2542">
        <v>7</v>
      </c>
      <c r="L2542" t="s">
        <v>27</v>
      </c>
      <c r="M2542">
        <v>10.6073248594513</v>
      </c>
      <c r="N2542" t="s">
        <v>28</v>
      </c>
      <c r="O2542" t="s">
        <v>29</v>
      </c>
      <c r="P2542">
        <f>VLOOKUP(O2542, Coordinates!$A$2:$C$6, 2, FALSE)</f>
        <v>29.760400000000001</v>
      </c>
      <c r="Q2542">
        <f>VLOOKUP(O2542, Coordinates!$A$2:$C$6, 3, FALSE)</f>
        <v>-95.369799999999998</v>
      </c>
      <c r="R2542">
        <v>27</v>
      </c>
      <c r="S2542">
        <v>926</v>
      </c>
      <c r="T2542">
        <v>12</v>
      </c>
      <c r="U2542">
        <v>82.896879526820697</v>
      </c>
      <c r="V2542" t="s">
        <v>30</v>
      </c>
      <c r="W2542">
        <v>0.51385280124653399</v>
      </c>
      <c r="X2542" t="s">
        <v>52</v>
      </c>
      <c r="Y2542" t="s">
        <v>41</v>
      </c>
      <c r="Z2542">
        <v>526.04028940000001</v>
      </c>
    </row>
    <row r="2543" spans="1:26" x14ac:dyDescent="0.3">
      <c r="A2543" t="s">
        <v>72</v>
      </c>
      <c r="B2543" t="s">
        <v>2599</v>
      </c>
      <c r="C2543">
        <v>29.023388800506201</v>
      </c>
      <c r="D2543">
        <v>21</v>
      </c>
      <c r="E2543">
        <v>890</v>
      </c>
      <c r="F2543">
        <v>23247.734429205499</v>
      </c>
      <c r="H2543">
        <v>40</v>
      </c>
      <c r="I2543">
        <v>13</v>
      </c>
      <c r="J2543">
        <v>35</v>
      </c>
      <c r="K2543">
        <v>10</v>
      </c>
      <c r="L2543" t="s">
        <v>27</v>
      </c>
      <c r="M2543">
        <v>8.2580995404931894</v>
      </c>
      <c r="N2543" t="s">
        <v>37</v>
      </c>
      <c r="O2543" t="s">
        <v>58</v>
      </c>
      <c r="P2543">
        <f>VLOOKUP(O2543, Coordinates!$A$2:$C$6, 2, FALSE)</f>
        <v>34.052199999999999</v>
      </c>
      <c r="Q2543">
        <f>VLOOKUP(O2543, Coordinates!$A$2:$C$6, 3, FALSE)</f>
        <v>-118.2437</v>
      </c>
      <c r="R2543">
        <v>2</v>
      </c>
      <c r="S2543">
        <v>209</v>
      </c>
      <c r="T2543">
        <v>18</v>
      </c>
      <c r="U2543">
        <v>83.034545257392793</v>
      </c>
      <c r="V2543" t="s">
        <v>30</v>
      </c>
      <c r="W2543">
        <v>4.6796899999999999E-4</v>
      </c>
      <c r="X2543" t="s">
        <v>46</v>
      </c>
      <c r="Y2543" t="s">
        <v>32</v>
      </c>
      <c r="Z2543">
        <v>360.54462984688797</v>
      </c>
    </row>
    <row r="2544" spans="1:26" x14ac:dyDescent="0.3">
      <c r="A2544" t="s">
        <v>24</v>
      </c>
      <c r="B2544" t="s">
        <v>2600</v>
      </c>
      <c r="C2544">
        <v>29.170104007086199</v>
      </c>
      <c r="D2544">
        <v>58</v>
      </c>
      <c r="E2544">
        <v>920</v>
      </c>
      <c r="F2544">
        <v>24152.846117867401</v>
      </c>
      <c r="G2544" t="s">
        <v>35</v>
      </c>
      <c r="H2544">
        <v>44</v>
      </c>
      <c r="I2544">
        <v>29</v>
      </c>
      <c r="J2544">
        <v>16</v>
      </c>
      <c r="K2544">
        <v>10</v>
      </c>
      <c r="L2544" t="s">
        <v>36</v>
      </c>
      <c r="M2544">
        <v>3.89060379350633</v>
      </c>
      <c r="N2544" t="s">
        <v>28</v>
      </c>
      <c r="O2544" t="s">
        <v>38</v>
      </c>
      <c r="P2544">
        <f>VLOOKUP(O2544, Coordinates!$A$2:$C$6, 2, FALSE)</f>
        <v>25.761700000000001</v>
      </c>
      <c r="Q2544">
        <f>VLOOKUP(O2544, Coordinates!$A$2:$C$6, 3, FALSE)</f>
        <v>-80.191800000000001</v>
      </c>
      <c r="R2544">
        <v>30</v>
      </c>
      <c r="S2544">
        <v>778</v>
      </c>
      <c r="T2544">
        <v>3</v>
      </c>
      <c r="U2544">
        <v>91.028670480000002</v>
      </c>
      <c r="V2544" t="s">
        <v>55</v>
      </c>
      <c r="W2544">
        <v>0.36633184511081102</v>
      </c>
      <c r="X2544" t="s">
        <v>31</v>
      </c>
      <c r="Y2544" t="s">
        <v>60</v>
      </c>
      <c r="Z2544">
        <v>773.09927620171504</v>
      </c>
    </row>
    <row r="2545" spans="1:26" x14ac:dyDescent="0.3">
      <c r="A2545" t="s">
        <v>61</v>
      </c>
      <c r="B2545" t="s">
        <v>2601</v>
      </c>
      <c r="C2545">
        <v>57.294818824779298</v>
      </c>
      <c r="D2545">
        <v>85</v>
      </c>
      <c r="E2545">
        <v>891</v>
      </c>
      <c r="F2545">
        <v>2491.7411384960901</v>
      </c>
      <c r="G2545" t="s">
        <v>48</v>
      </c>
      <c r="H2545">
        <v>87</v>
      </c>
      <c r="I2545">
        <v>5</v>
      </c>
      <c r="J2545">
        <v>53</v>
      </c>
      <c r="K2545">
        <v>6</v>
      </c>
      <c r="L2545" t="s">
        <v>27</v>
      </c>
      <c r="M2545">
        <v>4.1873562076920203</v>
      </c>
      <c r="N2545" t="s">
        <v>37</v>
      </c>
      <c r="O2545" t="s">
        <v>67</v>
      </c>
      <c r="P2545">
        <f>VLOOKUP(O2545, Coordinates!$A$2:$C$6, 2, FALSE)</f>
        <v>40.712800000000001</v>
      </c>
      <c r="Q2545">
        <f>VLOOKUP(O2545, Coordinates!$A$2:$C$6, 3, FALSE)</f>
        <v>-74.006</v>
      </c>
      <c r="R2545">
        <v>4</v>
      </c>
      <c r="S2545">
        <v>741</v>
      </c>
      <c r="T2545">
        <v>22</v>
      </c>
      <c r="U2545">
        <v>36.047938902813002</v>
      </c>
      <c r="V2545" t="s">
        <v>30</v>
      </c>
      <c r="W2545">
        <v>4.6205840189305398</v>
      </c>
      <c r="X2545" t="s">
        <v>40</v>
      </c>
      <c r="Y2545" t="s">
        <v>41</v>
      </c>
      <c r="Z2545">
        <v>671.79587432119797</v>
      </c>
    </row>
    <row r="2546" spans="1:26" x14ac:dyDescent="0.3">
      <c r="A2546" t="s">
        <v>82</v>
      </c>
      <c r="B2546" t="s">
        <v>2602</v>
      </c>
      <c r="C2546">
        <v>80.051409948188706</v>
      </c>
      <c r="D2546">
        <v>69</v>
      </c>
      <c r="E2546">
        <v>55</v>
      </c>
      <c r="F2546">
        <v>9838.4016050774499</v>
      </c>
      <c r="G2546" t="s">
        <v>54</v>
      </c>
      <c r="H2546">
        <v>97</v>
      </c>
      <c r="I2546">
        <v>13</v>
      </c>
      <c r="J2546">
        <v>42</v>
      </c>
      <c r="K2546">
        <v>4</v>
      </c>
      <c r="L2546" t="s">
        <v>27</v>
      </c>
      <c r="M2546">
        <v>1.12634376674056</v>
      </c>
      <c r="N2546" t="s">
        <v>45</v>
      </c>
      <c r="O2546" t="s">
        <v>38</v>
      </c>
      <c r="P2546">
        <f>VLOOKUP(O2546, Coordinates!$A$2:$C$6, 2, FALSE)</f>
        <v>25.761700000000001</v>
      </c>
      <c r="Q2546">
        <f>VLOOKUP(O2546, Coordinates!$A$2:$C$6, 3, FALSE)</f>
        <v>-80.191800000000001</v>
      </c>
      <c r="R2546">
        <v>29</v>
      </c>
      <c r="S2546">
        <v>369</v>
      </c>
      <c r="T2546">
        <v>1</v>
      </c>
      <c r="U2546">
        <v>71.0803180101192</v>
      </c>
      <c r="V2546" t="s">
        <v>55</v>
      </c>
      <c r="W2546">
        <v>4.2359267111768002</v>
      </c>
      <c r="X2546" t="s">
        <v>52</v>
      </c>
      <c r="Y2546" t="s">
        <v>41</v>
      </c>
      <c r="Z2546">
        <v>912.59642323988805</v>
      </c>
    </row>
    <row r="2547" spans="1:26" x14ac:dyDescent="0.3">
      <c r="A2547" t="s">
        <v>24</v>
      </c>
      <c r="B2547" t="s">
        <v>2603</v>
      </c>
      <c r="C2547">
        <v>37.903771829999997</v>
      </c>
      <c r="D2547">
        <v>10</v>
      </c>
      <c r="E2547">
        <v>85</v>
      </c>
      <c r="F2547">
        <v>2899.63854504148</v>
      </c>
      <c r="G2547" t="s">
        <v>26</v>
      </c>
      <c r="H2547">
        <v>97</v>
      </c>
      <c r="I2547">
        <v>25</v>
      </c>
      <c r="J2547">
        <v>73</v>
      </c>
      <c r="K2547">
        <v>6</v>
      </c>
      <c r="L2547" t="s">
        <v>27</v>
      </c>
      <c r="M2547">
        <v>14.697871587492999</v>
      </c>
      <c r="N2547" t="s">
        <v>45</v>
      </c>
      <c r="O2547" t="s">
        <v>38</v>
      </c>
      <c r="P2547">
        <f>VLOOKUP(O2547, Coordinates!$A$2:$C$6, 2, FALSE)</f>
        <v>25.761700000000001</v>
      </c>
      <c r="Q2547">
        <f>VLOOKUP(O2547, Coordinates!$A$2:$C$6, 3, FALSE)</f>
        <v>-80.191800000000001</v>
      </c>
      <c r="R2547">
        <v>29</v>
      </c>
      <c r="S2547">
        <v>237</v>
      </c>
      <c r="T2547">
        <v>23</v>
      </c>
      <c r="U2547">
        <v>79.679333868269197</v>
      </c>
      <c r="V2547" t="s">
        <v>39</v>
      </c>
      <c r="W2547">
        <v>3.63356120765043</v>
      </c>
      <c r="X2547" t="s">
        <v>46</v>
      </c>
      <c r="Y2547" t="s">
        <v>60</v>
      </c>
      <c r="Z2547">
        <v>323.92872021897199</v>
      </c>
    </row>
    <row r="2548" spans="1:26" x14ac:dyDescent="0.3">
      <c r="A2548" t="s">
        <v>24</v>
      </c>
      <c r="B2548" t="s">
        <v>2604</v>
      </c>
      <c r="C2548">
        <v>32.732541334748703</v>
      </c>
      <c r="D2548">
        <v>6</v>
      </c>
      <c r="E2548">
        <v>40</v>
      </c>
      <c r="F2548">
        <v>1178.3714880509499</v>
      </c>
      <c r="G2548" t="s">
        <v>35</v>
      </c>
      <c r="H2548">
        <v>87</v>
      </c>
      <c r="I2548">
        <v>10</v>
      </c>
      <c r="J2548">
        <v>45</v>
      </c>
      <c r="K2548">
        <v>3</v>
      </c>
      <c r="L2548" t="s">
        <v>36</v>
      </c>
      <c r="M2548">
        <v>12.592254597573</v>
      </c>
      <c r="N2548" t="s">
        <v>51</v>
      </c>
      <c r="O2548" t="s">
        <v>65</v>
      </c>
      <c r="P2548">
        <f>VLOOKUP(O2548, Coordinates!$A$2:$C$6, 2, FALSE)</f>
        <v>41.878100000000003</v>
      </c>
      <c r="Q2548">
        <f>VLOOKUP(O2548, Coordinates!$A$2:$C$6, 3, FALSE)</f>
        <v>-87.629800000000003</v>
      </c>
      <c r="R2548">
        <v>4</v>
      </c>
      <c r="S2548">
        <v>787</v>
      </c>
      <c r="T2548">
        <v>18</v>
      </c>
      <c r="U2548">
        <v>84.050704158405594</v>
      </c>
      <c r="V2548" t="s">
        <v>30</v>
      </c>
      <c r="W2548">
        <v>2.5850689858298601</v>
      </c>
      <c r="X2548" t="s">
        <v>46</v>
      </c>
      <c r="Y2548" t="s">
        <v>32</v>
      </c>
      <c r="Z2548">
        <v>945.77084071516003</v>
      </c>
    </row>
    <row r="2549" spans="1:26" x14ac:dyDescent="0.3">
      <c r="A2549" t="s">
        <v>61</v>
      </c>
      <c r="B2549" t="s">
        <v>2605</v>
      </c>
      <c r="C2549">
        <v>37.834374389758104</v>
      </c>
      <c r="D2549">
        <v>13</v>
      </c>
      <c r="E2549">
        <v>71</v>
      </c>
      <c r="F2549">
        <v>6638.1746972865003</v>
      </c>
      <c r="G2549" t="s">
        <v>26</v>
      </c>
      <c r="H2549">
        <v>78</v>
      </c>
      <c r="I2549">
        <v>3</v>
      </c>
      <c r="J2549">
        <v>13</v>
      </c>
      <c r="K2549">
        <v>7</v>
      </c>
      <c r="L2549" t="s">
        <v>44</v>
      </c>
      <c r="M2549">
        <v>6.5183793073951204</v>
      </c>
      <c r="N2549" t="s">
        <v>57</v>
      </c>
      <c r="O2549" t="s">
        <v>65</v>
      </c>
      <c r="P2549">
        <f>VLOOKUP(O2549, Coordinates!$A$2:$C$6, 2, FALSE)</f>
        <v>41.878100000000003</v>
      </c>
      <c r="Q2549">
        <f>VLOOKUP(O2549, Coordinates!$A$2:$C$6, 3, FALSE)</f>
        <v>-87.629800000000003</v>
      </c>
      <c r="R2549">
        <v>17</v>
      </c>
      <c r="S2549">
        <v>163</v>
      </c>
      <c r="T2549">
        <v>24</v>
      </c>
      <c r="U2549">
        <v>56.603826878788603</v>
      </c>
      <c r="V2549" t="s">
        <v>39</v>
      </c>
      <c r="W2549">
        <v>2.6335993728193698</v>
      </c>
      <c r="X2549" t="s">
        <v>46</v>
      </c>
      <c r="Y2549" t="s">
        <v>60</v>
      </c>
      <c r="Z2549">
        <v>677.68139555684195</v>
      </c>
    </row>
    <row r="2550" spans="1:26" x14ac:dyDescent="0.3">
      <c r="A2550" t="s">
        <v>49</v>
      </c>
      <c r="B2550" t="s">
        <v>2606</v>
      </c>
      <c r="C2550">
        <v>82.498093440335097</v>
      </c>
      <c r="D2550">
        <v>65</v>
      </c>
      <c r="E2550">
        <v>645</v>
      </c>
      <c r="F2550">
        <v>5842.7158858664798</v>
      </c>
      <c r="G2550" t="s">
        <v>54</v>
      </c>
      <c r="H2550">
        <v>80</v>
      </c>
      <c r="I2550">
        <v>23</v>
      </c>
      <c r="J2550">
        <v>32</v>
      </c>
      <c r="K2550">
        <v>6</v>
      </c>
      <c r="L2550" t="s">
        <v>36</v>
      </c>
      <c r="M2550">
        <v>14.2452579111172</v>
      </c>
      <c r="N2550" t="s">
        <v>57</v>
      </c>
      <c r="O2550" t="s">
        <v>38</v>
      </c>
      <c r="P2550">
        <f>VLOOKUP(O2550, Coordinates!$A$2:$C$6, 2, FALSE)</f>
        <v>25.761700000000001</v>
      </c>
      <c r="Q2550">
        <f>VLOOKUP(O2550, Coordinates!$A$2:$C$6, 3, FALSE)</f>
        <v>-80.191800000000001</v>
      </c>
      <c r="R2550">
        <v>30</v>
      </c>
      <c r="S2550">
        <v>742</v>
      </c>
      <c r="T2550">
        <v>21</v>
      </c>
      <c r="U2550">
        <v>16.2094182309777</v>
      </c>
      <c r="V2550" t="s">
        <v>39</v>
      </c>
      <c r="W2550">
        <v>1.49252794919592</v>
      </c>
      <c r="X2550" t="s">
        <v>46</v>
      </c>
      <c r="Y2550" t="s">
        <v>32</v>
      </c>
      <c r="Z2550">
        <v>505.39065700664202</v>
      </c>
    </row>
    <row r="2551" spans="1:26" x14ac:dyDescent="0.3">
      <c r="A2551" t="s">
        <v>61</v>
      </c>
      <c r="B2551" t="s">
        <v>2607</v>
      </c>
      <c r="C2551">
        <v>49.339168907955198</v>
      </c>
      <c r="D2551">
        <v>20</v>
      </c>
      <c r="E2551">
        <v>886</v>
      </c>
      <c r="F2551">
        <v>6959.6729714065004</v>
      </c>
      <c r="G2551" t="s">
        <v>26</v>
      </c>
      <c r="H2551">
        <v>12</v>
      </c>
      <c r="I2551">
        <v>25</v>
      </c>
      <c r="J2551">
        <v>34</v>
      </c>
      <c r="K2551">
        <v>3</v>
      </c>
      <c r="L2551" t="s">
        <v>27</v>
      </c>
      <c r="M2551">
        <v>10.479679148161599</v>
      </c>
      <c r="N2551" t="s">
        <v>28</v>
      </c>
      <c r="O2551" t="s">
        <v>38</v>
      </c>
      <c r="P2551">
        <f>VLOOKUP(O2551, Coordinates!$A$2:$C$6, 2, FALSE)</f>
        <v>25.761700000000001</v>
      </c>
      <c r="Q2551">
        <f>VLOOKUP(O2551, Coordinates!$A$2:$C$6, 3, FALSE)</f>
        <v>-80.191800000000001</v>
      </c>
      <c r="R2551">
        <v>7</v>
      </c>
      <c r="S2551">
        <v>606</v>
      </c>
      <c r="T2551">
        <v>23</v>
      </c>
      <c r="U2551">
        <v>41.249111463073802</v>
      </c>
      <c r="V2551" t="s">
        <v>39</v>
      </c>
      <c r="W2551">
        <v>4.2137652598408097</v>
      </c>
      <c r="X2551" t="s">
        <v>46</v>
      </c>
      <c r="Y2551" t="s">
        <v>32</v>
      </c>
      <c r="Z2551">
        <v>147.81818144692201</v>
      </c>
    </row>
    <row r="2552" spans="1:26" x14ac:dyDescent="0.3">
      <c r="A2552" t="s">
        <v>72</v>
      </c>
      <c r="B2552" t="s">
        <v>2608</v>
      </c>
      <c r="C2552">
        <v>28.8468015065048</v>
      </c>
      <c r="D2552">
        <v>57</v>
      </c>
      <c r="E2552">
        <v>671</v>
      </c>
      <c r="F2552">
        <v>17420.5834297783</v>
      </c>
      <c r="G2552" t="s">
        <v>48</v>
      </c>
      <c r="H2552">
        <v>70</v>
      </c>
      <c r="I2552">
        <v>27</v>
      </c>
      <c r="J2552">
        <v>99</v>
      </c>
      <c r="K2552">
        <v>1</v>
      </c>
      <c r="L2552" t="s">
        <v>27</v>
      </c>
      <c r="M2552">
        <v>11.520475498789301</v>
      </c>
      <c r="N2552" t="s">
        <v>57</v>
      </c>
      <c r="O2552" t="s">
        <v>65</v>
      </c>
      <c r="P2552">
        <f>VLOOKUP(O2552, Coordinates!$A$2:$C$6, 2, FALSE)</f>
        <v>41.878100000000003</v>
      </c>
      <c r="Q2552">
        <f>VLOOKUP(O2552, Coordinates!$A$2:$C$6, 3, FALSE)</f>
        <v>-87.629800000000003</v>
      </c>
      <c r="R2552">
        <v>18</v>
      </c>
      <c r="S2552">
        <v>939</v>
      </c>
      <c r="T2552">
        <v>8</v>
      </c>
      <c r="U2552">
        <v>76.088136138658697</v>
      </c>
      <c r="V2552" t="s">
        <v>30</v>
      </c>
      <c r="W2552">
        <v>4.1488479154189202</v>
      </c>
      <c r="X2552" t="s">
        <v>46</v>
      </c>
      <c r="Y2552" t="s">
        <v>60</v>
      </c>
      <c r="Z2552">
        <v>788.65851648376997</v>
      </c>
    </row>
    <row r="2553" spans="1:26" x14ac:dyDescent="0.3">
      <c r="A2553" t="s">
        <v>61</v>
      </c>
      <c r="B2553" t="s">
        <v>2609</v>
      </c>
      <c r="C2553">
        <v>20.774989540745899</v>
      </c>
      <c r="D2553">
        <v>46</v>
      </c>
      <c r="E2553">
        <v>761</v>
      </c>
      <c r="F2553">
        <v>5995.1667180000004</v>
      </c>
      <c r="G2553" t="s">
        <v>35</v>
      </c>
      <c r="H2553">
        <v>8</v>
      </c>
      <c r="I2553">
        <v>13</v>
      </c>
      <c r="J2553">
        <v>94</v>
      </c>
      <c r="K2553">
        <v>10</v>
      </c>
      <c r="L2553" t="s">
        <v>27</v>
      </c>
      <c r="M2553">
        <v>10.5193769982323</v>
      </c>
      <c r="N2553" t="s">
        <v>45</v>
      </c>
      <c r="O2553" t="s">
        <v>38</v>
      </c>
      <c r="P2553">
        <f>VLOOKUP(O2553, Coordinates!$A$2:$C$6, 2, FALSE)</f>
        <v>25.761700000000001</v>
      </c>
      <c r="Q2553">
        <f>VLOOKUP(O2553, Coordinates!$A$2:$C$6, 3, FALSE)</f>
        <v>-80.191800000000001</v>
      </c>
      <c r="R2553">
        <v>26</v>
      </c>
      <c r="S2553">
        <v>799</v>
      </c>
      <c r="T2553">
        <v>19</v>
      </c>
      <c r="U2553">
        <v>30.555490427708602</v>
      </c>
      <c r="V2553" t="s">
        <v>55</v>
      </c>
      <c r="W2553">
        <v>3.8671235360037799</v>
      </c>
      <c r="X2553" t="s">
        <v>31</v>
      </c>
      <c r="Y2553" t="s">
        <v>32</v>
      </c>
      <c r="Z2553">
        <v>872.561468857313</v>
      </c>
    </row>
    <row r="2554" spans="1:26" x14ac:dyDescent="0.3">
      <c r="A2554" t="s">
        <v>61</v>
      </c>
      <c r="B2554" t="s">
        <v>2610</v>
      </c>
      <c r="C2554">
        <v>10.804943423865</v>
      </c>
      <c r="D2554">
        <v>8</v>
      </c>
      <c r="E2554">
        <v>627</v>
      </c>
      <c r="F2554">
        <v>3584.91314014625</v>
      </c>
      <c r="G2554" t="s">
        <v>35</v>
      </c>
      <c r="H2554">
        <v>62</v>
      </c>
      <c r="I2554">
        <v>27</v>
      </c>
      <c r="J2554">
        <v>83</v>
      </c>
      <c r="K2554">
        <v>5</v>
      </c>
      <c r="L2554" t="s">
        <v>44</v>
      </c>
      <c r="M2554">
        <v>11.595883647360001</v>
      </c>
      <c r="N2554" t="s">
        <v>51</v>
      </c>
      <c r="O2554" t="s">
        <v>65</v>
      </c>
      <c r="P2554">
        <f>VLOOKUP(O2554, Coordinates!$A$2:$C$6, 2, FALSE)</f>
        <v>41.878100000000003</v>
      </c>
      <c r="Q2554">
        <f>VLOOKUP(O2554, Coordinates!$A$2:$C$6, 3, FALSE)</f>
        <v>-87.629800000000003</v>
      </c>
      <c r="R2554">
        <v>22</v>
      </c>
      <c r="S2554">
        <v>888</v>
      </c>
      <c r="T2554">
        <v>22</v>
      </c>
      <c r="U2554">
        <v>69.416931716322395</v>
      </c>
      <c r="V2554" t="s">
        <v>30</v>
      </c>
      <c r="W2554">
        <v>1.6463353523573601</v>
      </c>
      <c r="X2554" t="s">
        <v>40</v>
      </c>
      <c r="Y2554" t="s">
        <v>41</v>
      </c>
      <c r="Z2554">
        <v>828.62615040723404</v>
      </c>
    </row>
    <row r="2555" spans="1:26" x14ac:dyDescent="0.3">
      <c r="A2555" t="s">
        <v>82</v>
      </c>
      <c r="B2555" t="s">
        <v>2611</v>
      </c>
      <c r="C2555">
        <v>52.433779870000002</v>
      </c>
      <c r="D2555">
        <v>10</v>
      </c>
      <c r="E2555">
        <v>684</v>
      </c>
      <c r="F2555">
        <v>9461.5845700000009</v>
      </c>
      <c r="G2555" t="s">
        <v>48</v>
      </c>
      <c r="H2555">
        <v>98</v>
      </c>
      <c r="I2555">
        <v>12</v>
      </c>
      <c r="J2555">
        <v>36</v>
      </c>
      <c r="K2555">
        <v>10</v>
      </c>
      <c r="L2555" t="s">
        <v>36</v>
      </c>
      <c r="M2555">
        <v>3.39314499389807</v>
      </c>
      <c r="N2555" t="s">
        <v>45</v>
      </c>
      <c r="O2555" t="s">
        <v>38</v>
      </c>
      <c r="P2555">
        <f>VLOOKUP(O2555, Coordinates!$A$2:$C$6, 2, FALSE)</f>
        <v>25.761700000000001</v>
      </c>
      <c r="Q2555">
        <f>VLOOKUP(O2555, Coordinates!$A$2:$C$6, 3, FALSE)</f>
        <v>-80.191800000000001</v>
      </c>
      <c r="R2555">
        <v>28</v>
      </c>
      <c r="S2555">
        <v>449</v>
      </c>
      <c r="T2555">
        <v>28</v>
      </c>
      <c r="U2555">
        <v>14.6630729526676</v>
      </c>
      <c r="V2555" t="s">
        <v>55</v>
      </c>
      <c r="W2555">
        <v>3.8531763321387098</v>
      </c>
      <c r="X2555" t="s">
        <v>31</v>
      </c>
      <c r="Y2555" t="s">
        <v>60</v>
      </c>
      <c r="Z2555">
        <v>762.09948482556297</v>
      </c>
    </row>
    <row r="2556" spans="1:26" x14ac:dyDescent="0.3">
      <c r="A2556" t="s">
        <v>61</v>
      </c>
      <c r="B2556" t="s">
        <v>2612</v>
      </c>
      <c r="C2556">
        <v>15.1020432480815</v>
      </c>
      <c r="D2556">
        <v>73</v>
      </c>
      <c r="E2556">
        <v>485</v>
      </c>
      <c r="F2556">
        <v>7858.6448809575304</v>
      </c>
      <c r="G2556" t="s">
        <v>48</v>
      </c>
      <c r="H2556">
        <v>22</v>
      </c>
      <c r="I2556">
        <v>4</v>
      </c>
      <c r="J2556">
        <v>60</v>
      </c>
      <c r="K2556">
        <v>2</v>
      </c>
      <c r="L2556" t="s">
        <v>36</v>
      </c>
      <c r="M2556">
        <v>8.8735719654871694</v>
      </c>
      <c r="N2556" t="s">
        <v>37</v>
      </c>
      <c r="O2556" t="s">
        <v>58</v>
      </c>
      <c r="P2556">
        <f>VLOOKUP(O2556, Coordinates!$A$2:$C$6, 2, FALSE)</f>
        <v>34.052199999999999</v>
      </c>
      <c r="Q2556">
        <f>VLOOKUP(O2556, Coordinates!$A$2:$C$6, 3, FALSE)</f>
        <v>-118.2437</v>
      </c>
      <c r="R2556">
        <v>17</v>
      </c>
      <c r="S2556">
        <v>246</v>
      </c>
      <c r="T2556">
        <v>25</v>
      </c>
      <c r="U2556">
        <v>53.6328908083564</v>
      </c>
      <c r="V2556" t="s">
        <v>55</v>
      </c>
      <c r="W2556">
        <v>0.130840691689668</v>
      </c>
      <c r="X2556" t="s">
        <v>31</v>
      </c>
      <c r="Y2556" t="s">
        <v>41</v>
      </c>
      <c r="Z2556">
        <v>972.47005396127599</v>
      </c>
    </row>
    <row r="2557" spans="1:26" x14ac:dyDescent="0.3">
      <c r="A2557" t="s">
        <v>24</v>
      </c>
      <c r="B2557" t="s">
        <v>2613</v>
      </c>
      <c r="C2557">
        <v>29.0956541966572</v>
      </c>
      <c r="D2557">
        <v>67</v>
      </c>
      <c r="E2557">
        <v>472</v>
      </c>
      <c r="F2557">
        <v>12359.8339027399</v>
      </c>
      <c r="G2557" t="s">
        <v>35</v>
      </c>
      <c r="H2557">
        <v>53</v>
      </c>
      <c r="I2557">
        <v>10</v>
      </c>
      <c r="J2557">
        <v>88</v>
      </c>
      <c r="K2557">
        <v>7</v>
      </c>
      <c r="L2557" t="s">
        <v>44</v>
      </c>
      <c r="M2557">
        <v>12.8912678554384</v>
      </c>
      <c r="N2557" t="s">
        <v>28</v>
      </c>
      <c r="O2557" t="s">
        <v>38</v>
      </c>
      <c r="P2557">
        <f>VLOOKUP(O2557, Coordinates!$A$2:$C$6, 2, FALSE)</f>
        <v>25.761700000000001</v>
      </c>
      <c r="Q2557">
        <f>VLOOKUP(O2557, Coordinates!$A$2:$C$6, 3, FALSE)</f>
        <v>-80.191800000000001</v>
      </c>
      <c r="R2557">
        <v>29</v>
      </c>
      <c r="S2557">
        <v>434</v>
      </c>
      <c r="T2557">
        <v>4</v>
      </c>
      <c r="U2557">
        <v>92.628796149999999</v>
      </c>
      <c r="V2557" t="s">
        <v>30</v>
      </c>
      <c r="W2557">
        <v>4.2997444925919304</v>
      </c>
      <c r="X2557" t="s">
        <v>46</v>
      </c>
      <c r="Y2557" t="s">
        <v>32</v>
      </c>
      <c r="Z2557">
        <v>864.19251552084495</v>
      </c>
    </row>
    <row r="2558" spans="1:26" x14ac:dyDescent="0.3">
      <c r="A2558" t="s">
        <v>82</v>
      </c>
      <c r="B2558" t="s">
        <v>2614</v>
      </c>
      <c r="C2558">
        <v>94.3995847036458</v>
      </c>
      <c r="D2558">
        <v>11</v>
      </c>
      <c r="E2558">
        <v>146</v>
      </c>
      <c r="F2558">
        <v>1338.0046276616999</v>
      </c>
      <c r="G2558" t="s">
        <v>35</v>
      </c>
      <c r="H2558">
        <v>46</v>
      </c>
      <c r="I2558">
        <v>26</v>
      </c>
      <c r="J2558">
        <v>90</v>
      </c>
      <c r="K2558">
        <v>7</v>
      </c>
      <c r="L2558" t="s">
        <v>36</v>
      </c>
      <c r="M2558">
        <v>1.2735961755808101</v>
      </c>
      <c r="N2558" t="s">
        <v>28</v>
      </c>
      <c r="O2558" t="s">
        <v>67</v>
      </c>
      <c r="P2558">
        <f>VLOOKUP(O2558, Coordinates!$A$2:$C$6, 2, FALSE)</f>
        <v>40.712800000000001</v>
      </c>
      <c r="Q2558">
        <f>VLOOKUP(O2558, Coordinates!$A$2:$C$6, 3, FALSE)</f>
        <v>-74.006</v>
      </c>
      <c r="R2558">
        <v>23</v>
      </c>
      <c r="S2558">
        <v>631</v>
      </c>
      <c r="T2558">
        <v>26</v>
      </c>
      <c r="U2558">
        <v>48.695145306109502</v>
      </c>
      <c r="V2558" t="s">
        <v>30</v>
      </c>
      <c r="W2558">
        <v>2.2312399465708599</v>
      </c>
      <c r="X2558" t="s">
        <v>46</v>
      </c>
      <c r="Y2558" t="s">
        <v>32</v>
      </c>
      <c r="Z2558">
        <v>935.09112126419905</v>
      </c>
    </row>
    <row r="2559" spans="1:26" x14ac:dyDescent="0.3">
      <c r="A2559" t="s">
        <v>33</v>
      </c>
      <c r="B2559" t="s">
        <v>2615</v>
      </c>
      <c r="C2559">
        <v>87.902231856725194</v>
      </c>
      <c r="D2559">
        <v>12</v>
      </c>
      <c r="E2559">
        <v>360</v>
      </c>
      <c r="F2559">
        <v>3566.1985766263701</v>
      </c>
      <c r="G2559" t="s">
        <v>35</v>
      </c>
      <c r="H2559">
        <v>38</v>
      </c>
      <c r="I2559">
        <v>3</v>
      </c>
      <c r="J2559">
        <v>78</v>
      </c>
      <c r="K2559">
        <v>4</v>
      </c>
      <c r="L2559" t="s">
        <v>44</v>
      </c>
      <c r="M2559">
        <v>2.7282013474395699</v>
      </c>
      <c r="N2559" t="s">
        <v>57</v>
      </c>
      <c r="O2559" t="s">
        <v>65</v>
      </c>
      <c r="P2559">
        <f>VLOOKUP(O2559, Coordinates!$A$2:$C$6, 2, FALSE)</f>
        <v>41.878100000000003</v>
      </c>
      <c r="Q2559">
        <f>VLOOKUP(O2559, Coordinates!$A$2:$C$6, 3, FALSE)</f>
        <v>-87.629800000000003</v>
      </c>
      <c r="R2559">
        <v>4</v>
      </c>
      <c r="S2559">
        <v>925</v>
      </c>
      <c r="T2559">
        <v>23</v>
      </c>
      <c r="U2559">
        <v>88.712777378704402</v>
      </c>
      <c r="V2559" t="s">
        <v>39</v>
      </c>
      <c r="W2559">
        <v>2.2067212327143002</v>
      </c>
      <c r="X2559" t="s">
        <v>31</v>
      </c>
      <c r="Y2559" t="s">
        <v>60</v>
      </c>
      <c r="Z2559">
        <v>757.43093432967396</v>
      </c>
    </row>
    <row r="2560" spans="1:26" x14ac:dyDescent="0.3">
      <c r="A2560" t="s">
        <v>49</v>
      </c>
      <c r="B2560" t="s">
        <v>2616</v>
      </c>
      <c r="C2560">
        <v>47.948226697079697</v>
      </c>
      <c r="D2560">
        <v>10</v>
      </c>
      <c r="E2560">
        <v>713</v>
      </c>
      <c r="F2560">
        <v>2758.8032797451401</v>
      </c>
      <c r="G2560" t="s">
        <v>54</v>
      </c>
      <c r="H2560">
        <v>86</v>
      </c>
      <c r="I2560">
        <v>17</v>
      </c>
      <c r="J2560">
        <v>89</v>
      </c>
      <c r="K2560">
        <v>6</v>
      </c>
      <c r="L2560" t="s">
        <v>44</v>
      </c>
      <c r="M2560">
        <v>4.4389573352552398</v>
      </c>
      <c r="N2560" t="s">
        <v>37</v>
      </c>
      <c r="O2560" t="s">
        <v>65</v>
      </c>
      <c r="P2560">
        <f>VLOOKUP(O2560, Coordinates!$A$2:$C$6, 2, FALSE)</f>
        <v>41.878100000000003</v>
      </c>
      <c r="Q2560">
        <f>VLOOKUP(O2560, Coordinates!$A$2:$C$6, 3, FALSE)</f>
        <v>-87.629800000000003</v>
      </c>
      <c r="R2560">
        <v>27</v>
      </c>
      <c r="S2560">
        <v>653</v>
      </c>
      <c r="T2560">
        <v>16</v>
      </c>
      <c r="U2560">
        <v>66.897350311659807</v>
      </c>
      <c r="V2560" t="s">
        <v>30</v>
      </c>
      <c r="W2560">
        <v>3.34538923693697</v>
      </c>
      <c r="X2560" t="s">
        <v>52</v>
      </c>
      <c r="Y2560" t="s">
        <v>60</v>
      </c>
      <c r="Z2560">
        <v>838.18644342698894</v>
      </c>
    </row>
    <row r="2561" spans="1:26" x14ac:dyDescent="0.3">
      <c r="A2561" t="s">
        <v>82</v>
      </c>
      <c r="B2561" t="s">
        <v>2617</v>
      </c>
      <c r="C2561">
        <v>98.651505480769501</v>
      </c>
      <c r="D2561">
        <v>25</v>
      </c>
      <c r="E2561">
        <v>475</v>
      </c>
      <c r="F2561">
        <v>1100.39128580647</v>
      </c>
      <c r="G2561" t="s">
        <v>54</v>
      </c>
      <c r="H2561">
        <v>25</v>
      </c>
      <c r="I2561">
        <v>9</v>
      </c>
      <c r="J2561">
        <v>32</v>
      </c>
      <c r="K2561">
        <v>1</v>
      </c>
      <c r="L2561" t="s">
        <v>36</v>
      </c>
      <c r="M2561">
        <v>5.1261737541874703</v>
      </c>
      <c r="N2561" t="s">
        <v>57</v>
      </c>
      <c r="O2561" t="s">
        <v>58</v>
      </c>
      <c r="P2561">
        <f>VLOOKUP(O2561, Coordinates!$A$2:$C$6, 2, FALSE)</f>
        <v>34.052199999999999</v>
      </c>
      <c r="Q2561">
        <f>VLOOKUP(O2561, Coordinates!$A$2:$C$6, 3, FALSE)</f>
        <v>-118.2437</v>
      </c>
      <c r="R2561">
        <v>19</v>
      </c>
      <c r="S2561">
        <v>961</v>
      </c>
      <c r="T2561">
        <v>17</v>
      </c>
      <c r="U2561">
        <v>96.264362449999993</v>
      </c>
      <c r="V2561" t="s">
        <v>30</v>
      </c>
      <c r="W2561">
        <v>3.2287468015526501</v>
      </c>
      <c r="X2561" t="s">
        <v>46</v>
      </c>
      <c r="Y2561" t="s">
        <v>32</v>
      </c>
      <c r="Z2561">
        <v>360.24239356968502</v>
      </c>
    </row>
    <row r="2562" spans="1:26" x14ac:dyDescent="0.3">
      <c r="A2562" t="s">
        <v>72</v>
      </c>
      <c r="B2562" t="s">
        <v>2618</v>
      </c>
      <c r="C2562">
        <v>36.890052557969597</v>
      </c>
      <c r="D2562">
        <v>49</v>
      </c>
      <c r="E2562">
        <v>625</v>
      </c>
      <c r="F2562">
        <v>20750.654563857901</v>
      </c>
      <c r="G2562" t="s">
        <v>54</v>
      </c>
      <c r="H2562">
        <v>0</v>
      </c>
      <c r="I2562">
        <v>29</v>
      </c>
      <c r="J2562">
        <v>18</v>
      </c>
      <c r="K2562">
        <v>2</v>
      </c>
      <c r="L2562" t="s">
        <v>36</v>
      </c>
      <c r="M2562">
        <v>3.5578541320000001</v>
      </c>
      <c r="N2562" t="s">
        <v>57</v>
      </c>
      <c r="O2562" t="s">
        <v>65</v>
      </c>
      <c r="P2562">
        <f>VLOOKUP(O2562, Coordinates!$A$2:$C$6, 2, FALSE)</f>
        <v>41.878100000000003</v>
      </c>
      <c r="Q2562">
        <f>VLOOKUP(O2562, Coordinates!$A$2:$C$6, 3, FALSE)</f>
        <v>-87.629800000000003</v>
      </c>
      <c r="R2562">
        <v>26</v>
      </c>
      <c r="S2562">
        <v>506</v>
      </c>
      <c r="T2562">
        <v>28</v>
      </c>
      <c r="U2562">
        <v>83.876495885826401</v>
      </c>
      <c r="V2562" t="s">
        <v>39</v>
      </c>
      <c r="W2562">
        <v>1.32987033028183</v>
      </c>
      <c r="X2562" t="s">
        <v>46</v>
      </c>
      <c r="Y2562" t="s">
        <v>60</v>
      </c>
      <c r="Z2562">
        <v>702.00925322047203</v>
      </c>
    </row>
    <row r="2563" spans="1:26" x14ac:dyDescent="0.3">
      <c r="A2563" t="s">
        <v>33</v>
      </c>
      <c r="B2563" t="s">
        <v>2619</v>
      </c>
      <c r="C2563">
        <v>63.328048345972398</v>
      </c>
      <c r="D2563">
        <v>49</v>
      </c>
      <c r="E2563">
        <v>892</v>
      </c>
      <c r="F2563">
        <v>7108.9838520000003</v>
      </c>
      <c r="G2563" t="s">
        <v>26</v>
      </c>
      <c r="H2563">
        <v>13</v>
      </c>
      <c r="I2563">
        <v>1</v>
      </c>
      <c r="J2563">
        <v>42</v>
      </c>
      <c r="K2563">
        <v>6</v>
      </c>
      <c r="L2563" t="s">
        <v>44</v>
      </c>
      <c r="M2563">
        <v>9.7406254590349199</v>
      </c>
      <c r="N2563" t="s">
        <v>57</v>
      </c>
      <c r="O2563" t="s">
        <v>38</v>
      </c>
      <c r="P2563">
        <f>VLOOKUP(O2563, Coordinates!$A$2:$C$6, 2, FALSE)</f>
        <v>25.761700000000001</v>
      </c>
      <c r="Q2563">
        <f>VLOOKUP(O2563, Coordinates!$A$2:$C$6, 3, FALSE)</f>
        <v>-80.191800000000001</v>
      </c>
      <c r="R2563">
        <v>7</v>
      </c>
      <c r="S2563">
        <v>443</v>
      </c>
      <c r="T2563">
        <v>23</v>
      </c>
      <c r="U2563">
        <v>94.491039776927195</v>
      </c>
      <c r="V2563" t="s">
        <v>39</v>
      </c>
      <c r="W2563">
        <v>4.7163930225704798</v>
      </c>
      <c r="X2563" t="s">
        <v>52</v>
      </c>
      <c r="Y2563" t="s">
        <v>32</v>
      </c>
      <c r="Z2563">
        <v>284.98490783792101</v>
      </c>
    </row>
    <row r="2564" spans="1:26" x14ac:dyDescent="0.3">
      <c r="A2564" t="s">
        <v>82</v>
      </c>
      <c r="B2564" t="s">
        <v>2620</v>
      </c>
      <c r="C2564">
        <v>63.560676850327603</v>
      </c>
      <c r="D2564">
        <v>89</v>
      </c>
      <c r="E2564">
        <v>595</v>
      </c>
      <c r="F2564">
        <v>3079.8002992111101</v>
      </c>
      <c r="G2564" t="s">
        <v>54</v>
      </c>
      <c r="H2564">
        <v>95</v>
      </c>
      <c r="I2564">
        <v>18</v>
      </c>
      <c r="J2564">
        <v>44</v>
      </c>
      <c r="K2564">
        <v>2</v>
      </c>
      <c r="L2564" t="s">
        <v>36</v>
      </c>
      <c r="M2564">
        <v>5.1162669967124002</v>
      </c>
      <c r="N2564" t="s">
        <v>37</v>
      </c>
      <c r="O2564" t="s">
        <v>65</v>
      </c>
      <c r="P2564">
        <f>VLOOKUP(O2564, Coordinates!$A$2:$C$6, 2, FALSE)</f>
        <v>41.878100000000003</v>
      </c>
      <c r="Q2564">
        <f>VLOOKUP(O2564, Coordinates!$A$2:$C$6, 3, FALSE)</f>
        <v>-87.629800000000003</v>
      </c>
      <c r="R2564">
        <v>13</v>
      </c>
      <c r="S2564">
        <v>751</v>
      </c>
      <c r="T2564">
        <v>9</v>
      </c>
      <c r="U2564">
        <v>64.614033090000007</v>
      </c>
      <c r="V2564" t="s">
        <v>30</v>
      </c>
      <c r="W2564">
        <v>4.93164989666327</v>
      </c>
      <c r="X2564" t="s">
        <v>31</v>
      </c>
      <c r="Y2564" t="s">
        <v>41</v>
      </c>
      <c r="Z2564">
        <v>-50</v>
      </c>
    </row>
    <row r="2565" spans="1:26" x14ac:dyDescent="0.3">
      <c r="A2565" t="s">
        <v>82</v>
      </c>
      <c r="B2565" t="s">
        <v>2621</v>
      </c>
      <c r="C2565">
        <v>48.457090307639298</v>
      </c>
      <c r="D2565">
        <v>11</v>
      </c>
      <c r="E2565">
        <v>906</v>
      </c>
      <c r="F2565">
        <v>5581.0310093435601</v>
      </c>
      <c r="G2565" t="s">
        <v>35</v>
      </c>
      <c r="H2565">
        <v>73</v>
      </c>
      <c r="I2565">
        <v>9</v>
      </c>
      <c r="J2565">
        <v>59</v>
      </c>
      <c r="K2565">
        <v>4</v>
      </c>
      <c r="L2565" t="s">
        <v>44</v>
      </c>
      <c r="M2565">
        <v>3.21339781199028</v>
      </c>
      <c r="N2565" t="s">
        <v>57</v>
      </c>
      <c r="O2565" t="s">
        <v>58</v>
      </c>
      <c r="P2565">
        <f>VLOOKUP(O2565, Coordinates!$A$2:$C$6, 2, FALSE)</f>
        <v>34.052199999999999</v>
      </c>
      <c r="Q2565">
        <f>VLOOKUP(O2565, Coordinates!$A$2:$C$6, 3, FALSE)</f>
        <v>-118.2437</v>
      </c>
      <c r="R2565">
        <v>3</v>
      </c>
      <c r="S2565">
        <v>620</v>
      </c>
      <c r="T2565">
        <v>26</v>
      </c>
      <c r="U2565">
        <v>77.066100929205803</v>
      </c>
      <c r="V2565" t="s">
        <v>30</v>
      </c>
      <c r="W2565">
        <v>2.62994507148092</v>
      </c>
      <c r="X2565" t="s">
        <v>52</v>
      </c>
      <c r="Y2565" t="s">
        <v>60</v>
      </c>
      <c r="Z2565">
        <v>621.33075812581001</v>
      </c>
    </row>
    <row r="2566" spans="1:26" x14ac:dyDescent="0.3">
      <c r="A2566" t="s">
        <v>49</v>
      </c>
      <c r="B2566" t="s">
        <v>2622</v>
      </c>
      <c r="C2566">
        <v>42.7100574287578</v>
      </c>
      <c r="D2566">
        <v>62</v>
      </c>
      <c r="E2566">
        <v>677</v>
      </c>
      <c r="F2566">
        <v>8990.3630346849804</v>
      </c>
      <c r="G2566" t="s">
        <v>54</v>
      </c>
      <c r="H2566">
        <v>64</v>
      </c>
      <c r="I2566">
        <v>21</v>
      </c>
      <c r="J2566">
        <v>33</v>
      </c>
      <c r="K2566">
        <v>4</v>
      </c>
      <c r="L2566" t="s">
        <v>36</v>
      </c>
      <c r="M2566">
        <v>13.6815665506152</v>
      </c>
      <c r="N2566" t="s">
        <v>28</v>
      </c>
      <c r="O2566" t="s">
        <v>29</v>
      </c>
      <c r="P2566">
        <f>VLOOKUP(O2566, Coordinates!$A$2:$C$6, 2, FALSE)</f>
        <v>29.760400000000001</v>
      </c>
      <c r="Q2566">
        <f>VLOOKUP(O2566, Coordinates!$A$2:$C$6, 3, FALSE)</f>
        <v>-95.369799999999998</v>
      </c>
      <c r="R2566">
        <v>8</v>
      </c>
      <c r="S2566">
        <v>690</v>
      </c>
      <c r="T2566">
        <v>8</v>
      </c>
      <c r="U2566">
        <v>91.194500533910201</v>
      </c>
      <c r="V2566" t="s">
        <v>30</v>
      </c>
      <c r="W2566">
        <v>2.8069039908517301</v>
      </c>
      <c r="X2566" t="s">
        <v>46</v>
      </c>
      <c r="Y2566" t="s">
        <v>41</v>
      </c>
      <c r="Z2566">
        <v>804.61807634138097</v>
      </c>
    </row>
    <row r="2567" spans="1:26" x14ac:dyDescent="0.3">
      <c r="A2567" t="s">
        <v>24</v>
      </c>
      <c r="B2567" t="s">
        <v>2623</v>
      </c>
      <c r="C2567">
        <v>24.341124586499699</v>
      </c>
      <c r="D2567">
        <v>36</v>
      </c>
      <c r="E2567">
        <v>443</v>
      </c>
      <c r="F2567">
        <v>9704.8063729999994</v>
      </c>
      <c r="G2567" t="s">
        <v>35</v>
      </c>
      <c r="H2567">
        <v>68</v>
      </c>
      <c r="I2567">
        <v>20</v>
      </c>
      <c r="J2567">
        <v>97</v>
      </c>
      <c r="K2567">
        <v>10</v>
      </c>
      <c r="L2567" t="s">
        <v>36</v>
      </c>
      <c r="M2567">
        <v>10.730483441662599</v>
      </c>
      <c r="N2567" t="s">
        <v>57</v>
      </c>
      <c r="O2567" t="s">
        <v>38</v>
      </c>
      <c r="P2567">
        <f>VLOOKUP(O2567, Coordinates!$A$2:$C$6, 2, FALSE)</f>
        <v>25.761700000000001</v>
      </c>
      <c r="Q2567">
        <f>VLOOKUP(O2567, Coordinates!$A$2:$C$6, 3, FALSE)</f>
        <v>-80.191800000000001</v>
      </c>
      <c r="R2567">
        <v>11</v>
      </c>
      <c r="S2567">
        <v>949</v>
      </c>
      <c r="T2567">
        <v>20</v>
      </c>
      <c r="U2567">
        <v>92.131866970000004</v>
      </c>
      <c r="V2567" t="s">
        <v>39</v>
      </c>
      <c r="W2567">
        <v>2.7715898171181101</v>
      </c>
      <c r="X2567" t="s">
        <v>40</v>
      </c>
      <c r="Y2567" t="s">
        <v>60</v>
      </c>
      <c r="Z2567">
        <v>174.48200063515699</v>
      </c>
    </row>
    <row r="2568" spans="1:26" x14ac:dyDescent="0.3">
      <c r="A2568" t="s">
        <v>72</v>
      </c>
      <c r="B2568" t="s">
        <v>2624</v>
      </c>
      <c r="C2568">
        <v>20.294929850685101</v>
      </c>
      <c r="D2568">
        <v>39</v>
      </c>
      <c r="E2568">
        <v>535</v>
      </c>
      <c r="F2568">
        <v>9772.0087231048892</v>
      </c>
      <c r="G2568" t="s">
        <v>48</v>
      </c>
      <c r="H2568">
        <v>66</v>
      </c>
      <c r="I2568">
        <v>25</v>
      </c>
      <c r="J2568">
        <v>33</v>
      </c>
      <c r="K2568">
        <v>9</v>
      </c>
      <c r="L2568" t="s">
        <v>36</v>
      </c>
      <c r="M2568">
        <v>4.4448224520517403</v>
      </c>
      <c r="N2568" t="s">
        <v>37</v>
      </c>
      <c r="O2568" t="s">
        <v>29</v>
      </c>
      <c r="P2568">
        <f>VLOOKUP(O2568, Coordinates!$A$2:$C$6, 2, FALSE)</f>
        <v>29.760400000000001</v>
      </c>
      <c r="Q2568">
        <f>VLOOKUP(O2568, Coordinates!$A$2:$C$6, 3, FALSE)</f>
        <v>-95.369799999999998</v>
      </c>
      <c r="R2568">
        <v>16</v>
      </c>
      <c r="S2568">
        <v>759</v>
      </c>
      <c r="T2568">
        <v>19</v>
      </c>
      <c r="U2568">
        <v>88.544737470926805</v>
      </c>
      <c r="V2568" t="s">
        <v>55</v>
      </c>
      <c r="W2568">
        <v>2.4289370408913</v>
      </c>
      <c r="X2568" t="s">
        <v>52</v>
      </c>
      <c r="Y2568" t="s">
        <v>41</v>
      </c>
      <c r="Z2568">
        <v>263.15353309629899</v>
      </c>
    </row>
    <row r="2569" spans="1:26" x14ac:dyDescent="0.3">
      <c r="A2569" t="s">
        <v>42</v>
      </c>
      <c r="B2569" t="s">
        <v>2625</v>
      </c>
      <c r="C2569">
        <v>74.396785360818399</v>
      </c>
      <c r="D2569">
        <v>53</v>
      </c>
      <c r="E2569">
        <v>968</v>
      </c>
      <c r="F2569">
        <v>4352.2204502089699</v>
      </c>
      <c r="G2569" t="s">
        <v>26</v>
      </c>
      <c r="H2569">
        <v>5</v>
      </c>
      <c r="I2569">
        <v>30</v>
      </c>
      <c r="J2569">
        <v>28</v>
      </c>
      <c r="K2569">
        <v>10</v>
      </c>
      <c r="L2569" t="s">
        <v>36</v>
      </c>
      <c r="M2569">
        <v>6.0533508663564</v>
      </c>
      <c r="N2569" t="s">
        <v>37</v>
      </c>
      <c r="O2569" t="s">
        <v>67</v>
      </c>
      <c r="P2569">
        <f>VLOOKUP(O2569, Coordinates!$A$2:$C$6, 2, FALSE)</f>
        <v>40.712800000000001</v>
      </c>
      <c r="Q2569">
        <f>VLOOKUP(O2569, Coordinates!$A$2:$C$6, 3, FALSE)</f>
        <v>-74.006</v>
      </c>
      <c r="R2569">
        <v>20</v>
      </c>
      <c r="S2569">
        <v>804</v>
      </c>
      <c r="T2569">
        <v>7</v>
      </c>
      <c r="U2569">
        <v>58.752724562924897</v>
      </c>
      <c r="V2569" t="s">
        <v>30</v>
      </c>
      <c r="W2569">
        <v>4.7259352683891196</v>
      </c>
      <c r="X2569" t="s">
        <v>52</v>
      </c>
      <c r="Y2569" t="s">
        <v>32</v>
      </c>
      <c r="Z2569">
        <v>183.67064458258801</v>
      </c>
    </row>
    <row r="2570" spans="1:26" x14ac:dyDescent="0.3">
      <c r="A2570" t="s">
        <v>42</v>
      </c>
      <c r="B2570" t="s">
        <v>2626</v>
      </c>
      <c r="C2570">
        <v>17.8587663224619</v>
      </c>
      <c r="D2570">
        <v>90</v>
      </c>
      <c r="E2570">
        <v>209</v>
      </c>
      <c r="F2570">
        <v>5101.62232607636</v>
      </c>
      <c r="G2570" t="s">
        <v>26</v>
      </c>
      <c r="H2570">
        <v>49</v>
      </c>
      <c r="I2570">
        <v>2</v>
      </c>
      <c r="J2570">
        <v>48</v>
      </c>
      <c r="K2570">
        <v>7</v>
      </c>
      <c r="L2570" t="s">
        <v>36</v>
      </c>
      <c r="M2570">
        <v>11.370997880441699</v>
      </c>
      <c r="N2570" t="s">
        <v>45</v>
      </c>
      <c r="O2570" t="s">
        <v>38</v>
      </c>
      <c r="P2570">
        <f>VLOOKUP(O2570, Coordinates!$A$2:$C$6, 2, FALSE)</f>
        <v>25.761700000000001</v>
      </c>
      <c r="Q2570">
        <f>VLOOKUP(O2570, Coordinates!$A$2:$C$6, 3, FALSE)</f>
        <v>-80.191800000000001</v>
      </c>
      <c r="R2570">
        <v>29</v>
      </c>
      <c r="S2570">
        <v>870</v>
      </c>
      <c r="T2570">
        <v>29</v>
      </c>
      <c r="U2570">
        <v>63.927903485551298</v>
      </c>
      <c r="V2570" t="s">
        <v>39</v>
      </c>
      <c r="W2570">
        <v>3.9705530900203101</v>
      </c>
      <c r="X2570" t="s">
        <v>46</v>
      </c>
      <c r="Y2570" t="s">
        <v>32</v>
      </c>
      <c r="Z2570">
        <v>670.76016903412199</v>
      </c>
    </row>
    <row r="2571" spans="1:26" x14ac:dyDescent="0.3">
      <c r="A2571" t="s">
        <v>82</v>
      </c>
      <c r="B2571" t="s">
        <v>2627</v>
      </c>
      <c r="C2571">
        <v>23.775725956157299</v>
      </c>
      <c r="D2571">
        <v>78</v>
      </c>
      <c r="E2571">
        <v>33</v>
      </c>
      <c r="F2571">
        <v>2593.3729695391498</v>
      </c>
      <c r="G2571" t="s">
        <v>48</v>
      </c>
      <c r="H2571">
        <v>57</v>
      </c>
      <c r="I2571">
        <v>19</v>
      </c>
      <c r="J2571">
        <v>70</v>
      </c>
      <c r="K2571">
        <v>7</v>
      </c>
      <c r="L2571" t="s">
        <v>27</v>
      </c>
      <c r="M2571">
        <v>12.0727410299867</v>
      </c>
      <c r="N2571" t="s">
        <v>57</v>
      </c>
      <c r="O2571" t="s">
        <v>67</v>
      </c>
      <c r="P2571">
        <f>VLOOKUP(O2571, Coordinates!$A$2:$C$6, 2, FALSE)</f>
        <v>40.712800000000001</v>
      </c>
      <c r="Q2571">
        <f>VLOOKUP(O2571, Coordinates!$A$2:$C$6, 3, FALSE)</f>
        <v>-74.006</v>
      </c>
      <c r="R2571">
        <v>23</v>
      </c>
      <c r="S2571">
        <v>235</v>
      </c>
      <c r="T2571">
        <v>12</v>
      </c>
      <c r="U2571">
        <v>50.05887156</v>
      </c>
      <c r="V2571" t="s">
        <v>55</v>
      </c>
      <c r="W2571">
        <v>0.53979088127694497</v>
      </c>
      <c r="X2571" t="s">
        <v>52</v>
      </c>
      <c r="Y2571" t="s">
        <v>32</v>
      </c>
      <c r="Z2571">
        <v>171.551871457164</v>
      </c>
    </row>
    <row r="2572" spans="1:26" x14ac:dyDescent="0.3">
      <c r="A2572" t="s">
        <v>61</v>
      </c>
      <c r="B2572" t="s">
        <v>2628</v>
      </c>
      <c r="C2572">
        <v>22.1492316972802</v>
      </c>
      <c r="D2572">
        <v>56</v>
      </c>
      <c r="E2572">
        <v>449</v>
      </c>
      <c r="F2572">
        <v>6706.0069067438899</v>
      </c>
      <c r="G2572" t="s">
        <v>35</v>
      </c>
      <c r="H2572">
        <v>52</v>
      </c>
      <c r="I2572">
        <v>28</v>
      </c>
      <c r="J2572">
        <v>34</v>
      </c>
      <c r="K2572">
        <v>1</v>
      </c>
      <c r="L2572" t="s">
        <v>27</v>
      </c>
      <c r="M2572">
        <v>3.4701063158832</v>
      </c>
      <c r="N2572" t="s">
        <v>37</v>
      </c>
      <c r="O2572" t="s">
        <v>67</v>
      </c>
      <c r="P2572">
        <f>VLOOKUP(O2572, Coordinates!$A$2:$C$6, 2, FALSE)</f>
        <v>40.712800000000001</v>
      </c>
      <c r="Q2572">
        <f>VLOOKUP(O2572, Coordinates!$A$2:$C$6, 3, FALSE)</f>
        <v>-74.006</v>
      </c>
      <c r="R2572">
        <v>23</v>
      </c>
      <c r="S2572">
        <v>138</v>
      </c>
      <c r="T2572">
        <v>1</v>
      </c>
      <c r="U2572">
        <v>23.107469665609202</v>
      </c>
      <c r="V2572" t="s">
        <v>55</v>
      </c>
      <c r="W2572">
        <v>4.6477364216241499</v>
      </c>
      <c r="X2572" t="s">
        <v>46</v>
      </c>
      <c r="Y2572" t="s">
        <v>32</v>
      </c>
      <c r="Z2572">
        <v>183.966017468476</v>
      </c>
    </row>
    <row r="2573" spans="1:26" x14ac:dyDescent="0.3">
      <c r="A2573" t="s">
        <v>72</v>
      </c>
      <c r="B2573" t="s">
        <v>2629</v>
      </c>
      <c r="C2573">
        <v>29.563347664969601</v>
      </c>
      <c r="D2573">
        <v>1</v>
      </c>
      <c r="E2573">
        <v>970</v>
      </c>
      <c r="F2573">
        <v>25808.802511518501</v>
      </c>
      <c r="G2573" t="s">
        <v>26</v>
      </c>
      <c r="H2573">
        <v>90</v>
      </c>
      <c r="I2573">
        <v>16</v>
      </c>
      <c r="J2573">
        <v>34</v>
      </c>
      <c r="K2573">
        <v>5</v>
      </c>
      <c r="L2573" t="s">
        <v>36</v>
      </c>
      <c r="M2573">
        <v>14.1120651770322</v>
      </c>
      <c r="N2573" t="s">
        <v>57</v>
      </c>
      <c r="O2573" t="s">
        <v>67</v>
      </c>
      <c r="P2573">
        <f>VLOOKUP(O2573, Coordinates!$A$2:$C$6, 2, FALSE)</f>
        <v>40.712800000000001</v>
      </c>
      <c r="Q2573">
        <f>VLOOKUP(O2573, Coordinates!$A$2:$C$6, 3, FALSE)</f>
        <v>-74.006</v>
      </c>
      <c r="R2573">
        <v>9</v>
      </c>
      <c r="S2573">
        <v>419</v>
      </c>
      <c r="T2573">
        <v>24</v>
      </c>
      <c r="U2573">
        <v>81.397062379803302</v>
      </c>
      <c r="V2573" t="s">
        <v>55</v>
      </c>
      <c r="W2573">
        <v>1.06519157105576</v>
      </c>
      <c r="X2573" t="s">
        <v>40</v>
      </c>
      <c r="Y2573" t="s">
        <v>60</v>
      </c>
      <c r="Z2573">
        <v>337.75058628383999</v>
      </c>
    </row>
    <row r="2574" spans="1:26" x14ac:dyDescent="0.3">
      <c r="A2574" t="s">
        <v>33</v>
      </c>
      <c r="B2574" t="s">
        <v>2630</v>
      </c>
      <c r="C2574">
        <v>54.899549784250397</v>
      </c>
      <c r="D2574">
        <v>56</v>
      </c>
      <c r="E2574">
        <v>963</v>
      </c>
      <c r="F2574">
        <v>8671.2881433583898</v>
      </c>
      <c r="G2574" t="s">
        <v>54</v>
      </c>
      <c r="H2574">
        <v>0</v>
      </c>
      <c r="I2574">
        <v>27</v>
      </c>
      <c r="J2574">
        <v>36</v>
      </c>
      <c r="K2574">
        <v>3</v>
      </c>
      <c r="L2574" t="s">
        <v>36</v>
      </c>
      <c r="M2574">
        <v>11.993807145860099</v>
      </c>
      <c r="N2574" t="s">
        <v>51</v>
      </c>
      <c r="O2574" t="s">
        <v>67</v>
      </c>
      <c r="P2574">
        <f>VLOOKUP(O2574, Coordinates!$A$2:$C$6, 2, FALSE)</f>
        <v>40.712800000000001</v>
      </c>
      <c r="Q2574">
        <f>VLOOKUP(O2574, Coordinates!$A$2:$C$6, 3, FALSE)</f>
        <v>-74.006</v>
      </c>
      <c r="R2574">
        <v>10</v>
      </c>
      <c r="S2574">
        <v>386</v>
      </c>
      <c r="T2574">
        <v>30</v>
      </c>
      <c r="U2574">
        <v>97.970340719999996</v>
      </c>
      <c r="V2574" t="s">
        <v>30</v>
      </c>
      <c r="W2574">
        <v>3.7457767677104199</v>
      </c>
      <c r="X2574" t="s">
        <v>40</v>
      </c>
      <c r="Y2574" t="s">
        <v>41</v>
      </c>
      <c r="Z2574">
        <v>343.21137815289302</v>
      </c>
    </row>
    <row r="2575" spans="1:26" x14ac:dyDescent="0.3">
      <c r="A2575" t="s">
        <v>61</v>
      </c>
      <c r="B2575" t="s">
        <v>2631</v>
      </c>
      <c r="C2575">
        <v>15.5648309971307</v>
      </c>
      <c r="D2575">
        <v>4</v>
      </c>
      <c r="E2575">
        <v>468</v>
      </c>
      <c r="F2575">
        <v>7808.97394052034</v>
      </c>
      <c r="G2575" t="s">
        <v>35</v>
      </c>
      <c r="H2575">
        <v>85</v>
      </c>
      <c r="I2575">
        <v>16</v>
      </c>
      <c r="J2575">
        <v>41</v>
      </c>
      <c r="K2575">
        <v>3</v>
      </c>
      <c r="L2575" t="s">
        <v>36</v>
      </c>
      <c r="M2575">
        <v>12.9954021198739</v>
      </c>
      <c r="N2575" t="s">
        <v>28</v>
      </c>
      <c r="O2575" t="s">
        <v>58</v>
      </c>
      <c r="P2575">
        <f>VLOOKUP(O2575, Coordinates!$A$2:$C$6, 2, FALSE)</f>
        <v>34.052199999999999</v>
      </c>
      <c r="Q2575">
        <f>VLOOKUP(O2575, Coordinates!$A$2:$C$6, 3, FALSE)</f>
        <v>-118.2437</v>
      </c>
      <c r="R2575">
        <v>23</v>
      </c>
      <c r="S2575">
        <v>978</v>
      </c>
      <c r="T2575">
        <v>28</v>
      </c>
      <c r="U2575">
        <v>80.846739615905506</v>
      </c>
      <c r="V2575" t="s">
        <v>39</v>
      </c>
      <c r="W2575">
        <v>1.0193665461605701</v>
      </c>
      <c r="X2575" t="s">
        <v>31</v>
      </c>
      <c r="Y2575" t="s">
        <v>60</v>
      </c>
      <c r="Z2575">
        <v>601.75326248818101</v>
      </c>
    </row>
    <row r="2576" spans="1:26" x14ac:dyDescent="0.3">
      <c r="A2576" t="s">
        <v>61</v>
      </c>
      <c r="B2576" t="s">
        <v>2632</v>
      </c>
      <c r="C2576">
        <v>87.476083056017799</v>
      </c>
      <c r="D2576">
        <v>30</v>
      </c>
      <c r="E2576">
        <v>284</v>
      </c>
      <c r="F2576">
        <v>6494.6184768294397</v>
      </c>
      <c r="G2576" t="s">
        <v>26</v>
      </c>
      <c r="H2576">
        <v>17</v>
      </c>
      <c r="I2576">
        <v>21</v>
      </c>
      <c r="J2576">
        <v>20</v>
      </c>
      <c r="K2576">
        <v>6</v>
      </c>
      <c r="L2576" t="s">
        <v>44</v>
      </c>
      <c r="M2576">
        <v>3.0140232974861898</v>
      </c>
      <c r="N2576" t="s">
        <v>28</v>
      </c>
      <c r="O2576" t="s">
        <v>29</v>
      </c>
      <c r="P2576">
        <f>VLOOKUP(O2576, Coordinates!$A$2:$C$6, 2, FALSE)</f>
        <v>29.760400000000001</v>
      </c>
      <c r="Q2576">
        <f>VLOOKUP(O2576, Coordinates!$A$2:$C$6, 3, FALSE)</f>
        <v>-95.369799999999998</v>
      </c>
      <c r="R2576">
        <v>6</v>
      </c>
      <c r="S2576">
        <v>562</v>
      </c>
      <c r="T2576">
        <v>17</v>
      </c>
      <c r="U2576">
        <v>77.274863627809196</v>
      </c>
      <c r="V2576" t="s">
        <v>39</v>
      </c>
      <c r="W2576">
        <v>4.8009300781117901</v>
      </c>
      <c r="X2576" t="s">
        <v>46</v>
      </c>
      <c r="Y2576" t="s">
        <v>60</v>
      </c>
      <c r="Z2576">
        <v>128.96772389285999</v>
      </c>
    </row>
    <row r="2577" spans="1:26" x14ac:dyDescent="0.3">
      <c r="A2577" t="s">
        <v>72</v>
      </c>
      <c r="B2577" t="s">
        <v>2633</v>
      </c>
      <c r="C2577">
        <v>39.209419179999998</v>
      </c>
      <c r="D2577">
        <v>12</v>
      </c>
      <c r="E2577">
        <v>155</v>
      </c>
      <c r="F2577">
        <v>5469.7139753781003</v>
      </c>
      <c r="G2577" t="s">
        <v>48</v>
      </c>
      <c r="H2577">
        <v>15</v>
      </c>
      <c r="I2577">
        <v>13</v>
      </c>
      <c r="J2577">
        <v>78</v>
      </c>
      <c r="K2577">
        <v>4</v>
      </c>
      <c r="L2577" t="s">
        <v>27</v>
      </c>
      <c r="M2577">
        <v>3.0071401309873602</v>
      </c>
      <c r="N2577" t="s">
        <v>57</v>
      </c>
      <c r="O2577" t="s">
        <v>65</v>
      </c>
      <c r="P2577">
        <f>VLOOKUP(O2577, Coordinates!$A$2:$C$6, 2, FALSE)</f>
        <v>41.878100000000003</v>
      </c>
      <c r="Q2577">
        <f>VLOOKUP(O2577, Coordinates!$A$2:$C$6, 3, FALSE)</f>
        <v>-87.629800000000003</v>
      </c>
      <c r="R2577">
        <v>3</v>
      </c>
      <c r="S2577">
        <v>990</v>
      </c>
      <c r="T2577">
        <v>23</v>
      </c>
      <c r="U2577">
        <v>89.254136634668995</v>
      </c>
      <c r="V2577" t="s">
        <v>55</v>
      </c>
      <c r="W2577">
        <v>3.9556088516865402</v>
      </c>
      <c r="X2577" t="s">
        <v>40</v>
      </c>
      <c r="Y2577" t="s">
        <v>32</v>
      </c>
      <c r="Z2577">
        <v>653.81022720321903</v>
      </c>
    </row>
    <row r="2578" spans="1:26" x14ac:dyDescent="0.3">
      <c r="A2578" t="s">
        <v>24</v>
      </c>
      <c r="B2578" t="s">
        <v>2634</v>
      </c>
      <c r="C2578">
        <v>36.287440804323303</v>
      </c>
      <c r="D2578">
        <v>35</v>
      </c>
      <c r="E2578">
        <v>244</v>
      </c>
      <c r="F2578">
        <v>7968.7220010000001</v>
      </c>
      <c r="G2578" t="s">
        <v>35</v>
      </c>
      <c r="H2578">
        <v>1</v>
      </c>
      <c r="I2578">
        <v>3</v>
      </c>
      <c r="J2578">
        <v>42</v>
      </c>
      <c r="K2578">
        <v>8</v>
      </c>
      <c r="L2578" t="s">
        <v>44</v>
      </c>
      <c r="M2578">
        <v>5.2751638191551402</v>
      </c>
      <c r="N2578" t="s">
        <v>28</v>
      </c>
      <c r="O2578" t="s">
        <v>67</v>
      </c>
      <c r="P2578">
        <f>VLOOKUP(O2578, Coordinates!$A$2:$C$6, 2, FALSE)</f>
        <v>40.712800000000001</v>
      </c>
      <c r="Q2578">
        <f>VLOOKUP(O2578, Coordinates!$A$2:$C$6, 3, FALSE)</f>
        <v>-74.006</v>
      </c>
      <c r="R2578">
        <v>20</v>
      </c>
      <c r="S2578">
        <v>761</v>
      </c>
      <c r="T2578">
        <v>6</v>
      </c>
      <c r="U2578">
        <v>84.376998362280801</v>
      </c>
      <c r="V2578" t="s">
        <v>55</v>
      </c>
      <c r="W2578">
        <v>4.5935908605742899</v>
      </c>
      <c r="X2578" t="s">
        <v>46</v>
      </c>
      <c r="Y2578" t="s">
        <v>60</v>
      </c>
      <c r="Z2578">
        <v>470.537349503521</v>
      </c>
    </row>
    <row r="2579" spans="1:26" x14ac:dyDescent="0.3">
      <c r="A2579" t="s">
        <v>82</v>
      </c>
      <c r="B2579" t="s">
        <v>2635</v>
      </c>
      <c r="C2579">
        <v>69.184024411833093</v>
      </c>
      <c r="D2579">
        <v>77</v>
      </c>
      <c r="E2579">
        <v>270</v>
      </c>
      <c r="F2579">
        <v>7985.3667769506001</v>
      </c>
      <c r="G2579" t="s">
        <v>26</v>
      </c>
      <c r="H2579">
        <v>12</v>
      </c>
      <c r="I2579">
        <v>10</v>
      </c>
      <c r="J2579">
        <v>28</v>
      </c>
      <c r="K2579">
        <v>4</v>
      </c>
      <c r="L2579" t="s">
        <v>27</v>
      </c>
      <c r="M2579">
        <v>1.9050498747496201</v>
      </c>
      <c r="N2579" t="s">
        <v>28</v>
      </c>
      <c r="O2579" t="s">
        <v>65</v>
      </c>
      <c r="P2579">
        <f>VLOOKUP(O2579, Coordinates!$A$2:$C$6, 2, FALSE)</f>
        <v>41.878100000000003</v>
      </c>
      <c r="Q2579">
        <f>VLOOKUP(O2579, Coordinates!$A$2:$C$6, 3, FALSE)</f>
        <v>-87.629800000000003</v>
      </c>
      <c r="R2579">
        <v>8</v>
      </c>
      <c r="S2579">
        <v>451</v>
      </c>
      <c r="T2579">
        <v>26</v>
      </c>
      <c r="U2579">
        <v>25.265367503054001</v>
      </c>
      <c r="V2579" t="s">
        <v>30</v>
      </c>
      <c r="W2579">
        <v>4.7549241005582896</v>
      </c>
      <c r="X2579" t="s">
        <v>52</v>
      </c>
      <c r="Y2579" t="s">
        <v>41</v>
      </c>
      <c r="Z2579">
        <v>260.85868153523398</v>
      </c>
    </row>
    <row r="2580" spans="1:26" x14ac:dyDescent="0.3">
      <c r="A2580" t="s">
        <v>82</v>
      </c>
      <c r="B2580" t="s">
        <v>2636</v>
      </c>
      <c r="C2580">
        <v>8.6181985569353294</v>
      </c>
      <c r="D2580">
        <v>52</v>
      </c>
      <c r="E2580">
        <v>698</v>
      </c>
      <c r="F2580">
        <v>5377.68189091977</v>
      </c>
      <c r="G2580" t="s">
        <v>48</v>
      </c>
      <c r="H2580">
        <v>44</v>
      </c>
      <c r="I2580">
        <v>22</v>
      </c>
      <c r="J2580">
        <v>25</v>
      </c>
      <c r="K2580">
        <v>8</v>
      </c>
      <c r="L2580" t="s">
        <v>27</v>
      </c>
      <c r="M2580">
        <v>2.27494257598079</v>
      </c>
      <c r="N2580" t="s">
        <v>51</v>
      </c>
      <c r="O2580" t="s">
        <v>65</v>
      </c>
      <c r="P2580">
        <f>VLOOKUP(O2580, Coordinates!$A$2:$C$6, 2, FALSE)</f>
        <v>41.878100000000003</v>
      </c>
      <c r="Q2580">
        <f>VLOOKUP(O2580, Coordinates!$A$2:$C$6, 3, FALSE)</f>
        <v>-87.629800000000003</v>
      </c>
      <c r="R2580">
        <v>6</v>
      </c>
      <c r="S2580">
        <v>104</v>
      </c>
      <c r="T2580">
        <v>24</v>
      </c>
      <c r="U2580">
        <v>30.209644147841999</v>
      </c>
      <c r="V2580" t="s">
        <v>30</v>
      </c>
      <c r="W2580">
        <v>0.42212192134499799</v>
      </c>
      <c r="X2580" t="s">
        <v>52</v>
      </c>
      <c r="Y2580" t="s">
        <v>60</v>
      </c>
      <c r="Z2580">
        <v>688.01166454503903</v>
      </c>
    </row>
    <row r="2581" spans="1:26" x14ac:dyDescent="0.3">
      <c r="A2581" t="s">
        <v>82</v>
      </c>
      <c r="B2581" t="s">
        <v>2637</v>
      </c>
      <c r="C2581">
        <v>63.897013659999999</v>
      </c>
      <c r="D2581">
        <v>31</v>
      </c>
      <c r="E2581">
        <v>109</v>
      </c>
      <c r="F2581">
        <v>3022.7503435962099</v>
      </c>
      <c r="G2581" t="s">
        <v>35</v>
      </c>
      <c r="H2581">
        <v>79</v>
      </c>
      <c r="I2581">
        <v>18</v>
      </c>
      <c r="J2581">
        <v>20</v>
      </c>
      <c r="K2581">
        <v>4</v>
      </c>
      <c r="L2581" t="s">
        <v>36</v>
      </c>
      <c r="M2581">
        <v>3.00490017727912</v>
      </c>
      <c r="N2581" t="s">
        <v>28</v>
      </c>
      <c r="O2581" t="s">
        <v>67</v>
      </c>
      <c r="P2581">
        <f>VLOOKUP(O2581, Coordinates!$A$2:$C$6, 2, FALSE)</f>
        <v>40.712800000000001</v>
      </c>
      <c r="Q2581">
        <f>VLOOKUP(O2581, Coordinates!$A$2:$C$6, 3, FALSE)</f>
        <v>-74.006</v>
      </c>
      <c r="R2581">
        <v>25</v>
      </c>
      <c r="S2581">
        <v>335</v>
      </c>
      <c r="T2581">
        <v>22</v>
      </c>
      <c r="U2581">
        <v>10.568988058838499</v>
      </c>
      <c r="V2581" t="s">
        <v>30</v>
      </c>
      <c r="W2581">
        <v>2.16694427912473</v>
      </c>
      <c r="X2581" t="s">
        <v>46</v>
      </c>
      <c r="Y2581" t="s">
        <v>41</v>
      </c>
      <c r="Z2581">
        <v>396.70656592095099</v>
      </c>
    </row>
    <row r="2582" spans="1:26" x14ac:dyDescent="0.3">
      <c r="A2582" t="s">
        <v>82</v>
      </c>
      <c r="B2582" t="s">
        <v>2638</v>
      </c>
      <c r="C2582">
        <v>71.328850914267406</v>
      </c>
      <c r="D2582">
        <v>87</v>
      </c>
      <c r="E2582">
        <v>941</v>
      </c>
      <c r="F2582">
        <v>2756.5715353600499</v>
      </c>
      <c r="G2582" t="s">
        <v>54</v>
      </c>
      <c r="H2582">
        <v>71</v>
      </c>
      <c r="I2582">
        <v>6</v>
      </c>
      <c r="J2582">
        <v>84</v>
      </c>
      <c r="K2582">
        <v>3</v>
      </c>
      <c r="L2582" t="s">
        <v>36</v>
      </c>
      <c r="M2582">
        <v>10.9740162575892</v>
      </c>
      <c r="N2582" t="s">
        <v>28</v>
      </c>
      <c r="O2582" t="s">
        <v>38</v>
      </c>
      <c r="P2582">
        <f>VLOOKUP(O2582, Coordinates!$A$2:$C$6, 2, FALSE)</f>
        <v>25.761700000000001</v>
      </c>
      <c r="Q2582">
        <f>VLOOKUP(O2582, Coordinates!$A$2:$C$6, 3, FALSE)</f>
        <v>-80.191800000000001</v>
      </c>
      <c r="R2582">
        <v>8</v>
      </c>
      <c r="S2582">
        <v>335</v>
      </c>
      <c r="T2582">
        <v>5</v>
      </c>
      <c r="U2582">
        <v>70.613237880851898</v>
      </c>
      <c r="V2582" t="s">
        <v>30</v>
      </c>
      <c r="W2582">
        <v>3.24050168514154</v>
      </c>
      <c r="X2582" t="s">
        <v>46</v>
      </c>
      <c r="Y2582" t="s">
        <v>32</v>
      </c>
      <c r="Z2582">
        <v>844.74048199766696</v>
      </c>
    </row>
    <row r="2583" spans="1:26" x14ac:dyDescent="0.3">
      <c r="A2583" t="s">
        <v>42</v>
      </c>
      <c r="B2583" t="s">
        <v>2639</v>
      </c>
      <c r="C2583">
        <v>25.4170704817383</v>
      </c>
      <c r="D2583">
        <v>68</v>
      </c>
      <c r="E2583">
        <v>437</v>
      </c>
      <c r="F2583">
        <v>2488.60814051223</v>
      </c>
      <c r="G2583" t="s">
        <v>35</v>
      </c>
      <c r="H2583">
        <v>42</v>
      </c>
      <c r="I2583">
        <v>6</v>
      </c>
      <c r="J2583">
        <v>83</v>
      </c>
      <c r="K2583">
        <v>5</v>
      </c>
      <c r="L2583" t="s">
        <v>44</v>
      </c>
      <c r="M2583">
        <v>1.4232240829767799</v>
      </c>
      <c r="N2583" t="s">
        <v>37</v>
      </c>
      <c r="O2583" t="s">
        <v>65</v>
      </c>
      <c r="P2583">
        <f>VLOOKUP(O2583, Coordinates!$A$2:$C$6, 2, FALSE)</f>
        <v>41.878100000000003</v>
      </c>
      <c r="Q2583">
        <f>VLOOKUP(O2583, Coordinates!$A$2:$C$6, 3, FALSE)</f>
        <v>-87.629800000000003</v>
      </c>
      <c r="R2583">
        <v>14</v>
      </c>
      <c r="S2583">
        <v>925</v>
      </c>
      <c r="T2583">
        <v>25</v>
      </c>
      <c r="U2583">
        <v>83.068980270078995</v>
      </c>
      <c r="V2583" t="s">
        <v>55</v>
      </c>
      <c r="W2583">
        <v>4.0122805206311503</v>
      </c>
      <c r="X2583" t="s">
        <v>52</v>
      </c>
      <c r="Y2583" t="s">
        <v>32</v>
      </c>
      <c r="Z2583">
        <v>990.48923939999997</v>
      </c>
    </row>
    <row r="2584" spans="1:26" x14ac:dyDescent="0.3">
      <c r="A2584" t="s">
        <v>82</v>
      </c>
      <c r="B2584" t="s">
        <v>2640</v>
      </c>
      <c r="C2584">
        <v>8.9865869771452491</v>
      </c>
      <c r="D2584">
        <v>52</v>
      </c>
      <c r="E2584">
        <v>917</v>
      </c>
      <c r="F2584">
        <v>7994.4507658503499</v>
      </c>
      <c r="G2584" t="s">
        <v>54</v>
      </c>
      <c r="H2584">
        <v>71</v>
      </c>
      <c r="I2584">
        <v>18</v>
      </c>
      <c r="J2584">
        <v>78</v>
      </c>
      <c r="K2584">
        <v>5</v>
      </c>
      <c r="L2584" t="s">
        <v>44</v>
      </c>
      <c r="M2584">
        <v>2.1654269391604002</v>
      </c>
      <c r="N2584" t="s">
        <v>28</v>
      </c>
      <c r="O2584" t="s">
        <v>38</v>
      </c>
      <c r="P2584">
        <f>VLOOKUP(O2584, Coordinates!$A$2:$C$6, 2, FALSE)</f>
        <v>25.761700000000001</v>
      </c>
      <c r="Q2584">
        <f>VLOOKUP(O2584, Coordinates!$A$2:$C$6, 3, FALSE)</f>
        <v>-80.191800000000001</v>
      </c>
      <c r="R2584">
        <v>8</v>
      </c>
      <c r="S2584">
        <v>600</v>
      </c>
      <c r="T2584">
        <v>20</v>
      </c>
      <c r="U2584">
        <v>34.202021607825301</v>
      </c>
      <c r="V2584" t="s">
        <v>30</v>
      </c>
      <c r="W2584">
        <v>1.2073587220720099</v>
      </c>
      <c r="X2584" t="s">
        <v>46</v>
      </c>
      <c r="Y2584" t="s">
        <v>60</v>
      </c>
      <c r="Z2584">
        <v>801.12599591847095</v>
      </c>
    </row>
    <row r="2585" spans="1:26" x14ac:dyDescent="0.3">
      <c r="A2585" t="s">
        <v>42</v>
      </c>
      <c r="B2585" t="s">
        <v>2641</v>
      </c>
      <c r="C2585">
        <v>39.546309097347702</v>
      </c>
      <c r="D2585">
        <v>80</v>
      </c>
      <c r="E2585">
        <v>501</v>
      </c>
      <c r="F2585">
        <v>3060.8846677028</v>
      </c>
      <c r="G2585" t="s">
        <v>35</v>
      </c>
      <c r="H2585">
        <v>53</v>
      </c>
      <c r="I2585">
        <v>6</v>
      </c>
      <c r="J2585">
        <v>96</v>
      </c>
      <c r="K2585">
        <v>10</v>
      </c>
      <c r="L2585" t="s">
        <v>36</v>
      </c>
      <c r="M2585">
        <v>14.218569506599501</v>
      </c>
      <c r="N2585" t="s">
        <v>57</v>
      </c>
      <c r="O2585" t="s">
        <v>29</v>
      </c>
      <c r="P2585">
        <f>VLOOKUP(O2585, Coordinates!$A$2:$C$6, 2, FALSE)</f>
        <v>29.760400000000001</v>
      </c>
      <c r="Q2585">
        <f>VLOOKUP(O2585, Coordinates!$A$2:$C$6, 3, FALSE)</f>
        <v>-95.369799999999998</v>
      </c>
      <c r="R2585">
        <v>11</v>
      </c>
      <c r="S2585">
        <v>204</v>
      </c>
      <c r="T2585">
        <v>7</v>
      </c>
      <c r="U2585">
        <v>18.266535967984399</v>
      </c>
      <c r="V2585" t="s">
        <v>30</v>
      </c>
      <c r="W2585">
        <v>4.5730242969464401</v>
      </c>
      <c r="X2585" t="s">
        <v>52</v>
      </c>
      <c r="Y2585" t="s">
        <v>41</v>
      </c>
      <c r="Z2585">
        <v>768.69100538518603</v>
      </c>
    </row>
    <row r="2586" spans="1:26" x14ac:dyDescent="0.3">
      <c r="A2586" t="s">
        <v>42</v>
      </c>
      <c r="B2586" t="s">
        <v>2642</v>
      </c>
      <c r="C2586">
        <v>14.3664518729839</v>
      </c>
      <c r="D2586">
        <v>7</v>
      </c>
      <c r="E2586">
        <v>444</v>
      </c>
      <c r="F2586">
        <v>5739.7803717267698</v>
      </c>
      <c r="G2586" t="s">
        <v>48</v>
      </c>
      <c r="H2586">
        <v>73</v>
      </c>
      <c r="I2586">
        <v>6</v>
      </c>
      <c r="J2586">
        <v>64</v>
      </c>
      <c r="K2586">
        <v>10</v>
      </c>
      <c r="L2586" t="s">
        <v>36</v>
      </c>
      <c r="M2586">
        <v>2.17119354341281</v>
      </c>
      <c r="N2586" t="s">
        <v>28</v>
      </c>
      <c r="O2586" t="s">
        <v>65</v>
      </c>
      <c r="P2586">
        <f>VLOOKUP(O2586, Coordinates!$A$2:$C$6, 2, FALSE)</f>
        <v>41.878100000000003</v>
      </c>
      <c r="Q2586">
        <f>VLOOKUP(O2586, Coordinates!$A$2:$C$6, 3, FALSE)</f>
        <v>-87.629800000000003</v>
      </c>
      <c r="R2586">
        <v>10</v>
      </c>
      <c r="S2586">
        <v>306</v>
      </c>
      <c r="T2586">
        <v>22</v>
      </c>
      <c r="U2586">
        <v>40.2154361039726</v>
      </c>
      <c r="V2586" t="s">
        <v>55</v>
      </c>
      <c r="W2586">
        <v>1.10488164549067</v>
      </c>
      <c r="X2586" t="s">
        <v>31</v>
      </c>
      <c r="Y2586" t="s">
        <v>32</v>
      </c>
      <c r="Z2586">
        <v>419.63810862709698</v>
      </c>
    </row>
    <row r="2587" spans="1:26" x14ac:dyDescent="0.3">
      <c r="A2587" t="s">
        <v>24</v>
      </c>
      <c r="B2587" t="s">
        <v>2643</v>
      </c>
      <c r="C2587">
        <v>28.167904480950799</v>
      </c>
      <c r="D2587">
        <v>22</v>
      </c>
      <c r="E2587">
        <v>752</v>
      </c>
      <c r="F2587">
        <v>19064.0377527075</v>
      </c>
      <c r="G2587" t="s">
        <v>54</v>
      </c>
      <c r="H2587">
        <v>96</v>
      </c>
      <c r="I2587">
        <v>22</v>
      </c>
      <c r="J2587">
        <v>34</v>
      </c>
      <c r="K2587">
        <v>1</v>
      </c>
      <c r="L2587" t="s">
        <v>27</v>
      </c>
      <c r="M2587">
        <v>8.5244731837660197</v>
      </c>
      <c r="N2587" t="s">
        <v>57</v>
      </c>
      <c r="O2587" t="s">
        <v>58</v>
      </c>
      <c r="P2587">
        <f>VLOOKUP(O2587, Coordinates!$A$2:$C$6, 2, FALSE)</f>
        <v>34.052199999999999</v>
      </c>
      <c r="Q2587">
        <f>VLOOKUP(O2587, Coordinates!$A$2:$C$6, 3, FALSE)</f>
        <v>-118.2437</v>
      </c>
      <c r="R2587">
        <v>26</v>
      </c>
      <c r="S2587">
        <v>338</v>
      </c>
      <c r="T2587">
        <v>26</v>
      </c>
      <c r="U2587">
        <v>81.824692425193504</v>
      </c>
      <c r="V2587" t="s">
        <v>30</v>
      </c>
      <c r="W2587">
        <v>4.3308820077034298</v>
      </c>
      <c r="X2587" t="s">
        <v>31</v>
      </c>
      <c r="Y2587" t="s">
        <v>32</v>
      </c>
      <c r="Z2587">
        <v>581.14512160000004</v>
      </c>
    </row>
    <row r="2588" spans="1:26" x14ac:dyDescent="0.3">
      <c r="A2588" t="s">
        <v>82</v>
      </c>
      <c r="B2588" t="s">
        <v>2644</v>
      </c>
      <c r="C2588">
        <v>29.154816987262102</v>
      </c>
      <c r="D2588">
        <v>93</v>
      </c>
      <c r="E2588">
        <v>689</v>
      </c>
      <c r="F2588">
        <v>6216.4980930545498</v>
      </c>
      <c r="G2588" t="s">
        <v>54</v>
      </c>
      <c r="H2588">
        <v>30</v>
      </c>
      <c r="I2588">
        <v>28</v>
      </c>
      <c r="J2588">
        <v>86</v>
      </c>
      <c r="K2588">
        <v>8</v>
      </c>
      <c r="L2588" t="s">
        <v>27</v>
      </c>
      <c r="M2588">
        <v>9.9960246916783895</v>
      </c>
      <c r="N2588" t="s">
        <v>28</v>
      </c>
      <c r="O2588" t="s">
        <v>29</v>
      </c>
      <c r="P2588">
        <f>VLOOKUP(O2588, Coordinates!$A$2:$C$6, 2, FALSE)</f>
        <v>29.760400000000001</v>
      </c>
      <c r="Q2588">
        <f>VLOOKUP(O2588, Coordinates!$A$2:$C$6, 3, FALSE)</f>
        <v>-95.369799999999998</v>
      </c>
      <c r="R2588">
        <v>23</v>
      </c>
      <c r="S2588">
        <v>930</v>
      </c>
      <c r="T2588">
        <v>22</v>
      </c>
      <c r="U2588">
        <v>50.578872469995801</v>
      </c>
      <c r="V2588" t="s">
        <v>30</v>
      </c>
      <c r="W2588">
        <v>2.5635628979999998</v>
      </c>
      <c r="X2588" t="s">
        <v>31</v>
      </c>
      <c r="Y2588" t="s">
        <v>60</v>
      </c>
      <c r="Z2588">
        <v>147.413198963658</v>
      </c>
    </row>
    <row r="2589" spans="1:26" x14ac:dyDescent="0.3">
      <c r="A2589" t="s">
        <v>49</v>
      </c>
      <c r="B2589" t="s">
        <v>2645</v>
      </c>
      <c r="C2589">
        <v>33.069452839542102</v>
      </c>
      <c r="D2589">
        <v>75</v>
      </c>
      <c r="E2589">
        <v>162</v>
      </c>
      <c r="F2589">
        <v>8894.3941033407391</v>
      </c>
      <c r="G2589" t="s">
        <v>35</v>
      </c>
      <c r="H2589">
        <v>75</v>
      </c>
      <c r="I2589">
        <v>13</v>
      </c>
      <c r="J2589">
        <v>43</v>
      </c>
      <c r="K2589">
        <v>8</v>
      </c>
      <c r="L2589" t="s">
        <v>36</v>
      </c>
      <c r="M2589">
        <v>14.4203091920141</v>
      </c>
      <c r="N2589" t="s">
        <v>57</v>
      </c>
      <c r="O2589" t="s">
        <v>29</v>
      </c>
      <c r="P2589">
        <f>VLOOKUP(O2589, Coordinates!$A$2:$C$6, 2, FALSE)</f>
        <v>29.760400000000001</v>
      </c>
      <c r="Q2589">
        <f>VLOOKUP(O2589, Coordinates!$A$2:$C$6, 3, FALSE)</f>
        <v>-95.369799999999998</v>
      </c>
      <c r="R2589">
        <v>10</v>
      </c>
      <c r="S2589">
        <v>928</v>
      </c>
      <c r="T2589">
        <v>27</v>
      </c>
      <c r="U2589">
        <v>33.769184888890898</v>
      </c>
      <c r="V2589" t="s">
        <v>30</v>
      </c>
      <c r="W2589">
        <v>2.57711085935094</v>
      </c>
      <c r="X2589" t="s">
        <v>46</v>
      </c>
      <c r="Y2589" t="s">
        <v>41</v>
      </c>
      <c r="Z2589">
        <v>754.60171091425502</v>
      </c>
    </row>
    <row r="2590" spans="1:26" x14ac:dyDescent="0.3">
      <c r="A2590" t="s">
        <v>33</v>
      </c>
      <c r="B2590" t="s">
        <v>2646</v>
      </c>
      <c r="C2590">
        <v>55.347182397034899</v>
      </c>
      <c r="D2590">
        <v>56</v>
      </c>
      <c r="E2590">
        <v>176</v>
      </c>
      <c r="F2590">
        <v>8809.7265107355706</v>
      </c>
      <c r="G2590" t="s">
        <v>26</v>
      </c>
      <c r="H2590">
        <v>8</v>
      </c>
      <c r="I2590">
        <v>14</v>
      </c>
      <c r="J2590">
        <v>21</v>
      </c>
      <c r="K2590">
        <v>8</v>
      </c>
      <c r="L2590" t="s">
        <v>27</v>
      </c>
      <c r="M2590">
        <v>13.597238050763</v>
      </c>
      <c r="N2590" t="s">
        <v>28</v>
      </c>
      <c r="O2590" t="s">
        <v>38</v>
      </c>
      <c r="P2590">
        <f>VLOOKUP(O2590, Coordinates!$A$2:$C$6, 2, FALSE)</f>
        <v>25.761700000000001</v>
      </c>
      <c r="Q2590">
        <f>VLOOKUP(O2590, Coordinates!$A$2:$C$6, 3, FALSE)</f>
        <v>-80.191800000000001</v>
      </c>
      <c r="R2590">
        <v>11</v>
      </c>
      <c r="S2590">
        <v>151</v>
      </c>
      <c r="T2590">
        <v>12</v>
      </c>
      <c r="U2590">
        <v>40.575943481052597</v>
      </c>
      <c r="V2590" t="s">
        <v>39</v>
      </c>
      <c r="W2590">
        <v>1.87002807740995</v>
      </c>
      <c r="X2590" t="s">
        <v>52</v>
      </c>
      <c r="Y2590" t="s">
        <v>32</v>
      </c>
      <c r="Z2590">
        <v>707.53626893880801</v>
      </c>
    </row>
    <row r="2591" spans="1:26" x14ac:dyDescent="0.3">
      <c r="A2591" t="s">
        <v>61</v>
      </c>
      <c r="B2591" t="s">
        <v>2647</v>
      </c>
      <c r="C2591">
        <v>69.447229122786197</v>
      </c>
      <c r="D2591">
        <v>97</v>
      </c>
      <c r="E2591">
        <v>498</v>
      </c>
      <c r="F2591">
        <v>5059.6846464237296</v>
      </c>
      <c r="G2591" t="s">
        <v>54</v>
      </c>
      <c r="H2591">
        <v>100</v>
      </c>
      <c r="I2591">
        <v>21</v>
      </c>
      <c r="J2591">
        <v>97</v>
      </c>
      <c r="K2591">
        <v>10</v>
      </c>
      <c r="L2591" t="s">
        <v>44</v>
      </c>
      <c r="M2591">
        <v>7.1695587406124197</v>
      </c>
      <c r="N2591" t="s">
        <v>57</v>
      </c>
      <c r="O2591" t="s">
        <v>67</v>
      </c>
      <c r="P2591">
        <f>VLOOKUP(O2591, Coordinates!$A$2:$C$6, 2, FALSE)</f>
        <v>40.712800000000001</v>
      </c>
      <c r="Q2591">
        <f>VLOOKUP(O2591, Coordinates!$A$2:$C$6, 3, FALSE)</f>
        <v>-74.006</v>
      </c>
      <c r="R2591">
        <v>1</v>
      </c>
      <c r="S2591">
        <v>207</v>
      </c>
      <c r="T2591">
        <v>5</v>
      </c>
      <c r="U2591">
        <v>91.679930141431797</v>
      </c>
      <c r="V2591" t="s">
        <v>30</v>
      </c>
      <c r="W2591">
        <v>0.51752615709345196</v>
      </c>
      <c r="X2591" t="s">
        <v>40</v>
      </c>
      <c r="Y2591" t="s">
        <v>32</v>
      </c>
      <c r="Z2591">
        <v>342.41680802732401</v>
      </c>
    </row>
    <row r="2592" spans="1:26" x14ac:dyDescent="0.3">
      <c r="A2592" t="s">
        <v>42</v>
      </c>
      <c r="B2592" t="s">
        <v>2648</v>
      </c>
      <c r="C2592">
        <v>61.313239382667497</v>
      </c>
      <c r="D2592">
        <v>58</v>
      </c>
      <c r="E2592">
        <v>974</v>
      </c>
      <c r="F2592">
        <v>1138.2962566125</v>
      </c>
      <c r="G2592" t="s">
        <v>35</v>
      </c>
      <c r="H2592">
        <v>72</v>
      </c>
      <c r="I2592">
        <v>7</v>
      </c>
      <c r="J2592">
        <v>30</v>
      </c>
      <c r="K2592">
        <v>4</v>
      </c>
      <c r="L2592" t="s">
        <v>27</v>
      </c>
      <c r="M2592">
        <v>14.190296858430999</v>
      </c>
      <c r="N2592" t="s">
        <v>28</v>
      </c>
      <c r="O2592" t="s">
        <v>58</v>
      </c>
      <c r="P2592">
        <f>VLOOKUP(O2592, Coordinates!$A$2:$C$6, 2, FALSE)</f>
        <v>34.052199999999999</v>
      </c>
      <c r="Q2592">
        <f>VLOOKUP(O2592, Coordinates!$A$2:$C$6, 3, FALSE)</f>
        <v>-118.2437</v>
      </c>
      <c r="R2592">
        <v>15</v>
      </c>
      <c r="S2592">
        <v>456</v>
      </c>
      <c r="T2592">
        <v>2</v>
      </c>
      <c r="U2592">
        <v>40.135181760064498</v>
      </c>
      <c r="V2592" t="s">
        <v>30</v>
      </c>
      <c r="W2592">
        <v>1.7354503155976899</v>
      </c>
      <c r="X2592" t="s">
        <v>40</v>
      </c>
      <c r="Y2592" t="s">
        <v>41</v>
      </c>
      <c r="Z2592">
        <v>580.72278790431301</v>
      </c>
    </row>
    <row r="2593" spans="1:26" x14ac:dyDescent="0.3">
      <c r="A2593" t="s">
        <v>72</v>
      </c>
      <c r="B2593" t="s">
        <v>2649</v>
      </c>
      <c r="C2593">
        <v>23.501981818421299</v>
      </c>
      <c r="D2593">
        <v>93</v>
      </c>
      <c r="E2593">
        <v>315</v>
      </c>
      <c r="F2593">
        <v>6662.8118455224603</v>
      </c>
      <c r="G2593" t="s">
        <v>48</v>
      </c>
      <c r="H2593">
        <v>47</v>
      </c>
      <c r="I2593">
        <v>13</v>
      </c>
      <c r="J2593">
        <v>38</v>
      </c>
      <c r="K2593">
        <v>9</v>
      </c>
      <c r="L2593" t="s">
        <v>36</v>
      </c>
      <c r="M2593">
        <v>7.0517222471708498</v>
      </c>
      <c r="N2593" t="s">
        <v>51</v>
      </c>
      <c r="O2593" t="s">
        <v>58</v>
      </c>
      <c r="P2593">
        <f>VLOOKUP(O2593, Coordinates!$A$2:$C$6, 2, FALSE)</f>
        <v>34.052199999999999</v>
      </c>
      <c r="Q2593">
        <f>VLOOKUP(O2593, Coordinates!$A$2:$C$6, 3, FALSE)</f>
        <v>-118.2437</v>
      </c>
      <c r="R2593">
        <v>5</v>
      </c>
      <c r="S2593">
        <v>132</v>
      </c>
      <c r="T2593">
        <v>4</v>
      </c>
      <c r="U2593">
        <v>88.358558400922803</v>
      </c>
      <c r="V2593" t="s">
        <v>30</v>
      </c>
      <c r="W2593">
        <v>2.1336835749123599</v>
      </c>
      <c r="X2593" t="s">
        <v>52</v>
      </c>
      <c r="Y2593" t="s">
        <v>60</v>
      </c>
      <c r="Z2593">
        <v>711.38247200000001</v>
      </c>
    </row>
    <row r="2594" spans="1:26" x14ac:dyDescent="0.3">
      <c r="A2594" t="s">
        <v>72</v>
      </c>
      <c r="B2594" t="s">
        <v>2650</v>
      </c>
      <c r="C2594">
        <v>31.402704594816701</v>
      </c>
      <c r="D2594">
        <v>64</v>
      </c>
      <c r="E2594">
        <v>407</v>
      </c>
      <c r="F2594">
        <v>11502.810693081299</v>
      </c>
      <c r="G2594" t="s">
        <v>35</v>
      </c>
      <c r="H2594">
        <v>17</v>
      </c>
      <c r="I2594">
        <v>15</v>
      </c>
      <c r="J2594">
        <v>60</v>
      </c>
      <c r="K2594">
        <v>10</v>
      </c>
      <c r="L2594" t="s">
        <v>27</v>
      </c>
      <c r="M2594">
        <v>10.378862016588799</v>
      </c>
      <c r="N2594" t="s">
        <v>37</v>
      </c>
      <c r="O2594" t="s">
        <v>38</v>
      </c>
      <c r="P2594">
        <f>VLOOKUP(O2594, Coordinates!$A$2:$C$6, 2, FALSE)</f>
        <v>25.761700000000001</v>
      </c>
      <c r="Q2594">
        <f>VLOOKUP(O2594, Coordinates!$A$2:$C$6, 3, FALSE)</f>
        <v>-80.191800000000001</v>
      </c>
      <c r="R2594">
        <v>14</v>
      </c>
      <c r="S2594">
        <v>121</v>
      </c>
      <c r="T2594">
        <v>17</v>
      </c>
      <c r="U2594">
        <v>90.486722461412697</v>
      </c>
      <c r="V2594" t="s">
        <v>39</v>
      </c>
      <c r="W2594">
        <v>2.3951052827648498</v>
      </c>
      <c r="X2594" t="s">
        <v>52</v>
      </c>
      <c r="Y2594" t="s">
        <v>60</v>
      </c>
      <c r="Z2594">
        <v>431.10467269999998</v>
      </c>
    </row>
    <row r="2595" spans="1:26" x14ac:dyDescent="0.3">
      <c r="A2595" t="s">
        <v>33</v>
      </c>
      <c r="B2595" t="s">
        <v>2651</v>
      </c>
      <c r="C2595">
        <v>88.483078730326795</v>
      </c>
      <c r="D2595">
        <v>12</v>
      </c>
      <c r="E2595">
        <v>673</v>
      </c>
      <c r="F2595">
        <v>6019.8828318825499</v>
      </c>
      <c r="G2595" t="s">
        <v>35</v>
      </c>
      <c r="H2595">
        <v>93</v>
      </c>
      <c r="I2595">
        <v>12</v>
      </c>
      <c r="J2595">
        <v>32</v>
      </c>
      <c r="K2595">
        <v>3</v>
      </c>
      <c r="L2595" t="s">
        <v>36</v>
      </c>
      <c r="M2595">
        <v>4.6345129900547004</v>
      </c>
      <c r="N2595" t="s">
        <v>37</v>
      </c>
      <c r="O2595" t="s">
        <v>38</v>
      </c>
      <c r="P2595">
        <f>VLOOKUP(O2595, Coordinates!$A$2:$C$6, 2, FALSE)</f>
        <v>25.761700000000001</v>
      </c>
      <c r="Q2595">
        <f>VLOOKUP(O2595, Coordinates!$A$2:$C$6, 3, FALSE)</f>
        <v>-80.191800000000001</v>
      </c>
      <c r="R2595">
        <v>23</v>
      </c>
      <c r="S2595">
        <v>406</v>
      </c>
      <c r="T2595">
        <v>25</v>
      </c>
      <c r="U2595">
        <v>40.378415106823603</v>
      </c>
      <c r="V2595" t="s">
        <v>30</v>
      </c>
      <c r="W2595">
        <v>3.6954764520506602</v>
      </c>
      <c r="X2595" t="s">
        <v>52</v>
      </c>
      <c r="Y2595" t="s">
        <v>32</v>
      </c>
      <c r="Z2595">
        <v>753.047270506735</v>
      </c>
    </row>
    <row r="2596" spans="1:26" x14ac:dyDescent="0.3">
      <c r="A2596" t="s">
        <v>72</v>
      </c>
      <c r="B2596" t="s">
        <v>2652</v>
      </c>
      <c r="C2596">
        <v>37.594091269138097</v>
      </c>
      <c r="D2596">
        <v>7</v>
      </c>
      <c r="E2596">
        <v>774</v>
      </c>
      <c r="F2596">
        <v>26188.043979999999</v>
      </c>
      <c r="G2596" t="s">
        <v>54</v>
      </c>
      <c r="H2596">
        <v>95</v>
      </c>
      <c r="I2596">
        <v>21</v>
      </c>
      <c r="J2596">
        <v>42</v>
      </c>
      <c r="K2596">
        <v>7</v>
      </c>
      <c r="L2596" t="s">
        <v>27</v>
      </c>
      <c r="M2596">
        <v>9.9130233624536004</v>
      </c>
      <c r="N2596" t="s">
        <v>37</v>
      </c>
      <c r="O2596" t="s">
        <v>29</v>
      </c>
      <c r="P2596">
        <f>VLOOKUP(O2596, Coordinates!$A$2:$C$6, 2, FALSE)</f>
        <v>29.760400000000001</v>
      </c>
      <c r="Q2596">
        <f>VLOOKUP(O2596, Coordinates!$A$2:$C$6, 3, FALSE)</f>
        <v>-95.369799999999998</v>
      </c>
      <c r="R2596">
        <v>26</v>
      </c>
      <c r="S2596">
        <v>110</v>
      </c>
      <c r="T2596">
        <v>25</v>
      </c>
      <c r="U2596">
        <v>88.772247649697306</v>
      </c>
      <c r="V2596" t="s">
        <v>55</v>
      </c>
      <c r="W2596">
        <v>1.76035055232529</v>
      </c>
      <c r="X2596" t="s">
        <v>52</v>
      </c>
      <c r="Y2596" t="s">
        <v>32</v>
      </c>
      <c r="Z2596">
        <v>817.04133241131797</v>
      </c>
    </row>
    <row r="2597" spans="1:26" x14ac:dyDescent="0.3">
      <c r="A2597" t="s">
        <v>49</v>
      </c>
      <c r="B2597" t="s">
        <v>2653</v>
      </c>
      <c r="C2597">
        <v>87.644094125280404</v>
      </c>
      <c r="D2597">
        <v>55</v>
      </c>
      <c r="E2597">
        <v>680</v>
      </c>
      <c r="F2597">
        <v>2386.6815922577498</v>
      </c>
      <c r="G2597" t="s">
        <v>26</v>
      </c>
      <c r="H2597">
        <v>86</v>
      </c>
      <c r="I2597">
        <v>27</v>
      </c>
      <c r="J2597">
        <v>17</v>
      </c>
      <c r="K2597">
        <v>6</v>
      </c>
      <c r="L2597" t="s">
        <v>44</v>
      </c>
      <c r="M2597">
        <v>8.5346452245213094</v>
      </c>
      <c r="N2597" t="s">
        <v>37</v>
      </c>
      <c r="O2597" t="s">
        <v>38</v>
      </c>
      <c r="P2597">
        <f>VLOOKUP(O2597, Coordinates!$A$2:$C$6, 2, FALSE)</f>
        <v>25.761700000000001</v>
      </c>
      <c r="Q2597">
        <f>VLOOKUP(O2597, Coordinates!$A$2:$C$6, 3, FALSE)</f>
        <v>-80.191800000000001</v>
      </c>
      <c r="R2597">
        <v>25</v>
      </c>
      <c r="S2597">
        <v>738</v>
      </c>
      <c r="T2597">
        <v>8</v>
      </c>
      <c r="U2597">
        <v>63.5568462636638</v>
      </c>
      <c r="V2597" t="s">
        <v>30</v>
      </c>
      <c r="W2597">
        <v>2.0329643015699301</v>
      </c>
      <c r="X2597" t="s">
        <v>52</v>
      </c>
      <c r="Y2597" t="s">
        <v>60</v>
      </c>
      <c r="Z2597">
        <v>301.18304977605902</v>
      </c>
    </row>
    <row r="2598" spans="1:26" x14ac:dyDescent="0.3">
      <c r="A2598" t="s">
        <v>72</v>
      </c>
      <c r="B2598" t="s">
        <v>2654</v>
      </c>
      <c r="C2598">
        <v>34.345471315912803</v>
      </c>
      <c r="D2598">
        <v>62</v>
      </c>
      <c r="E2598">
        <v>663</v>
      </c>
      <c r="F2598">
        <v>20493.9427342052</v>
      </c>
      <c r="G2598" t="s">
        <v>48</v>
      </c>
      <c r="H2598">
        <v>10</v>
      </c>
      <c r="I2598">
        <v>1</v>
      </c>
      <c r="J2598">
        <v>51</v>
      </c>
      <c r="K2598">
        <v>9</v>
      </c>
      <c r="L2598" t="s">
        <v>44</v>
      </c>
      <c r="M2598">
        <v>9.4956345985594304</v>
      </c>
      <c r="N2598" t="s">
        <v>51</v>
      </c>
      <c r="O2598" t="s">
        <v>67</v>
      </c>
      <c r="P2598">
        <f>VLOOKUP(O2598, Coordinates!$A$2:$C$6, 2, FALSE)</f>
        <v>40.712800000000001</v>
      </c>
      <c r="Q2598">
        <f>VLOOKUP(O2598, Coordinates!$A$2:$C$6, 3, FALSE)</f>
        <v>-74.006</v>
      </c>
      <c r="R2598">
        <v>28</v>
      </c>
      <c r="S2598">
        <v>541</v>
      </c>
      <c r="T2598">
        <v>20</v>
      </c>
      <c r="U2598">
        <v>84.257204621588102</v>
      </c>
      <c r="V2598" t="s">
        <v>30</v>
      </c>
      <c r="W2598">
        <v>4.5304930116105897</v>
      </c>
      <c r="X2598" t="s">
        <v>40</v>
      </c>
      <c r="Y2598" t="s">
        <v>60</v>
      </c>
      <c r="Z2598">
        <v>371.12870983167102</v>
      </c>
    </row>
    <row r="2599" spans="1:26" x14ac:dyDescent="0.3">
      <c r="A2599" t="s">
        <v>61</v>
      </c>
      <c r="B2599" t="s">
        <v>2655</v>
      </c>
      <c r="C2599">
        <v>63.368000705975703</v>
      </c>
      <c r="D2599">
        <v>90</v>
      </c>
      <c r="E2599">
        <v>907</v>
      </c>
      <c r="F2599">
        <v>2643.8645689999998</v>
      </c>
      <c r="G2599" t="s">
        <v>54</v>
      </c>
      <c r="H2599">
        <v>61</v>
      </c>
      <c r="I2599">
        <v>28</v>
      </c>
      <c r="J2599">
        <v>86</v>
      </c>
      <c r="K2599">
        <v>4</v>
      </c>
      <c r="L2599" t="s">
        <v>36</v>
      </c>
      <c r="M2599">
        <v>10.557116818671201</v>
      </c>
      <c r="N2599" t="s">
        <v>51</v>
      </c>
      <c r="O2599" t="s">
        <v>29</v>
      </c>
      <c r="P2599">
        <f>VLOOKUP(O2599, Coordinates!$A$2:$C$6, 2, FALSE)</f>
        <v>29.760400000000001</v>
      </c>
      <c r="Q2599">
        <f>VLOOKUP(O2599, Coordinates!$A$2:$C$6, 3, FALSE)</f>
        <v>-95.369799999999998</v>
      </c>
      <c r="R2599">
        <v>20</v>
      </c>
      <c r="S2599">
        <v>661</v>
      </c>
      <c r="T2599">
        <v>5</v>
      </c>
      <c r="U2599">
        <v>16.185538141515899</v>
      </c>
      <c r="V2599" t="s">
        <v>39</v>
      </c>
      <c r="W2599">
        <v>3.7628364731679702</v>
      </c>
      <c r="X2599" t="s">
        <v>31</v>
      </c>
      <c r="Y2599" t="s">
        <v>32</v>
      </c>
      <c r="Z2599">
        <v>461.40662871951798</v>
      </c>
    </row>
    <row r="2600" spans="1:26" x14ac:dyDescent="0.3">
      <c r="A2600" t="s">
        <v>61</v>
      </c>
      <c r="B2600" t="s">
        <v>2656</v>
      </c>
      <c r="C2600">
        <v>54.748024525188001</v>
      </c>
      <c r="D2600">
        <v>73</v>
      </c>
      <c r="E2600">
        <v>670</v>
      </c>
      <c r="F2600">
        <v>7754.7158262707399</v>
      </c>
      <c r="G2600" t="s">
        <v>54</v>
      </c>
      <c r="H2600">
        <v>83</v>
      </c>
      <c r="I2600">
        <v>25</v>
      </c>
      <c r="J2600">
        <v>78</v>
      </c>
      <c r="K2600">
        <v>4</v>
      </c>
      <c r="L2600" t="s">
        <v>36</v>
      </c>
      <c r="M2600">
        <v>3.4283742014299201</v>
      </c>
      <c r="N2600" t="s">
        <v>28</v>
      </c>
      <c r="O2600" t="s">
        <v>29</v>
      </c>
      <c r="P2600">
        <f>VLOOKUP(O2600, Coordinates!$A$2:$C$6, 2, FALSE)</f>
        <v>29.760400000000001</v>
      </c>
      <c r="Q2600">
        <f>VLOOKUP(O2600, Coordinates!$A$2:$C$6, 3, FALSE)</f>
        <v>-95.369799999999998</v>
      </c>
      <c r="R2600">
        <v>8</v>
      </c>
      <c r="S2600">
        <v>297</v>
      </c>
      <c r="T2600">
        <v>17</v>
      </c>
      <c r="U2600">
        <v>77.737560350708605</v>
      </c>
      <c r="V2600" t="s">
        <v>30</v>
      </c>
      <c r="W2600">
        <v>0.11427884751895701</v>
      </c>
      <c r="X2600" t="s">
        <v>52</v>
      </c>
      <c r="Y2600" t="s">
        <v>41</v>
      </c>
      <c r="Z2600">
        <v>312.110329548984</v>
      </c>
    </row>
    <row r="2601" spans="1:26" x14ac:dyDescent="0.3">
      <c r="A2601" t="s">
        <v>42</v>
      </c>
      <c r="B2601" t="s">
        <v>2657</v>
      </c>
      <c r="C2601">
        <v>35.316731532943898</v>
      </c>
      <c r="D2601">
        <v>98</v>
      </c>
      <c r="E2601">
        <v>467</v>
      </c>
      <c r="F2601">
        <v>4051.7885190000002</v>
      </c>
      <c r="G2601" t="s">
        <v>54</v>
      </c>
      <c r="H2601">
        <v>18</v>
      </c>
      <c r="I2601">
        <v>3</v>
      </c>
      <c r="J2601">
        <v>50</v>
      </c>
      <c r="K2601">
        <v>6</v>
      </c>
      <c r="L2601" t="s">
        <v>36</v>
      </c>
      <c r="M2601">
        <v>5.2176792136592596</v>
      </c>
      <c r="N2601" t="s">
        <v>51</v>
      </c>
      <c r="O2601" t="s">
        <v>29</v>
      </c>
      <c r="P2601">
        <f>VLOOKUP(O2601, Coordinates!$A$2:$C$6, 2, FALSE)</f>
        <v>29.760400000000001</v>
      </c>
      <c r="Q2601">
        <f>VLOOKUP(O2601, Coordinates!$A$2:$C$6, 3, FALSE)</f>
        <v>-95.369799999999998</v>
      </c>
      <c r="R2601">
        <v>17</v>
      </c>
      <c r="S2601">
        <v>628</v>
      </c>
      <c r="T2601">
        <v>20</v>
      </c>
      <c r="U2601">
        <v>50.187501062667401</v>
      </c>
      <c r="V2601" t="s">
        <v>30</v>
      </c>
      <c r="W2601">
        <v>4.0604437886151796</v>
      </c>
      <c r="X2601" t="s">
        <v>46</v>
      </c>
      <c r="Y2601" t="s">
        <v>41</v>
      </c>
      <c r="Z2601">
        <v>798.04679622055005</v>
      </c>
    </row>
    <row r="2602" spans="1:26" x14ac:dyDescent="0.3">
      <c r="A2602" t="s">
        <v>82</v>
      </c>
      <c r="B2602" t="s">
        <v>2658</v>
      </c>
      <c r="C2602">
        <v>49.641960343191499</v>
      </c>
      <c r="D2602">
        <v>77</v>
      </c>
      <c r="E2602">
        <v>371</v>
      </c>
      <c r="F2602">
        <v>7389.0589004330805</v>
      </c>
      <c r="G2602" t="s">
        <v>48</v>
      </c>
      <c r="H2602">
        <v>99</v>
      </c>
      <c r="I2602">
        <v>18</v>
      </c>
      <c r="J2602">
        <v>83</v>
      </c>
      <c r="K2602">
        <v>8</v>
      </c>
      <c r="L2602" t="s">
        <v>27</v>
      </c>
      <c r="M2602">
        <v>11.3073794169573</v>
      </c>
      <c r="N2602" t="s">
        <v>37</v>
      </c>
      <c r="O2602" t="s">
        <v>58</v>
      </c>
      <c r="P2602">
        <f>VLOOKUP(O2602, Coordinates!$A$2:$C$6, 2, FALSE)</f>
        <v>34.052199999999999</v>
      </c>
      <c r="Q2602">
        <f>VLOOKUP(O2602, Coordinates!$A$2:$C$6, 3, FALSE)</f>
        <v>-118.2437</v>
      </c>
      <c r="R2602">
        <v>4</v>
      </c>
      <c r="S2602">
        <v>143</v>
      </c>
      <c r="T2602">
        <v>4</v>
      </c>
      <c r="U2602">
        <v>46.495701256918601</v>
      </c>
      <c r="V2602" t="s">
        <v>55</v>
      </c>
      <c r="W2602">
        <v>4.9497196217517896</v>
      </c>
      <c r="X2602" t="s">
        <v>31</v>
      </c>
      <c r="Y2602" t="s">
        <v>32</v>
      </c>
      <c r="Z2602">
        <v>614.65845730714398</v>
      </c>
    </row>
    <row r="2603" spans="1:26" x14ac:dyDescent="0.3">
      <c r="A2603" t="s">
        <v>24</v>
      </c>
      <c r="B2603" t="s">
        <v>2659</v>
      </c>
      <c r="C2603">
        <v>30.8040044595705</v>
      </c>
      <c r="D2603">
        <v>55</v>
      </c>
      <c r="E2603">
        <v>554</v>
      </c>
      <c r="F2603">
        <v>15358.876623541801</v>
      </c>
      <c r="G2603" t="s">
        <v>26</v>
      </c>
      <c r="H2603">
        <v>89</v>
      </c>
      <c r="I2603">
        <v>26</v>
      </c>
      <c r="J2603">
        <v>72</v>
      </c>
      <c r="K2603">
        <v>3</v>
      </c>
      <c r="L2603" t="s">
        <v>27</v>
      </c>
      <c r="M2603">
        <v>3.2935358077895498</v>
      </c>
      <c r="N2603" t="s">
        <v>45</v>
      </c>
      <c r="O2603" t="s">
        <v>38</v>
      </c>
      <c r="P2603">
        <f>VLOOKUP(O2603, Coordinates!$A$2:$C$6, 2, FALSE)</f>
        <v>25.761700000000001</v>
      </c>
      <c r="Q2603">
        <f>VLOOKUP(O2603, Coordinates!$A$2:$C$6, 3, FALSE)</f>
        <v>-80.191800000000001</v>
      </c>
      <c r="R2603">
        <v>30</v>
      </c>
      <c r="S2603">
        <v>284</v>
      </c>
      <c r="T2603">
        <v>21</v>
      </c>
      <c r="U2603">
        <v>80.186168532591296</v>
      </c>
      <c r="V2603" t="s">
        <v>55</v>
      </c>
      <c r="W2603">
        <v>4.4420981049962096</v>
      </c>
      <c r="X2603" t="s">
        <v>40</v>
      </c>
      <c r="Y2603" t="s">
        <v>32</v>
      </c>
      <c r="Z2603">
        <v>442.09255354375199</v>
      </c>
    </row>
    <row r="2604" spans="1:26" x14ac:dyDescent="0.3">
      <c r="A2604" t="s">
        <v>49</v>
      </c>
      <c r="B2604" t="s">
        <v>2660</v>
      </c>
      <c r="C2604">
        <v>24.073242601884399</v>
      </c>
      <c r="D2604">
        <v>36</v>
      </c>
      <c r="E2604">
        <v>647</v>
      </c>
      <c r="F2604">
        <v>4670.7402303182198</v>
      </c>
      <c r="G2604" t="s">
        <v>48</v>
      </c>
      <c r="H2604">
        <v>73</v>
      </c>
      <c r="I2604">
        <v>22</v>
      </c>
      <c r="J2604">
        <v>23</v>
      </c>
      <c r="K2604">
        <v>8</v>
      </c>
      <c r="L2604" t="s">
        <v>27</v>
      </c>
      <c r="M2604">
        <v>5.81936194206531</v>
      </c>
      <c r="N2604" t="s">
        <v>28</v>
      </c>
      <c r="O2604" t="s">
        <v>29</v>
      </c>
      <c r="P2604">
        <f>VLOOKUP(O2604, Coordinates!$A$2:$C$6, 2, FALSE)</f>
        <v>29.760400000000001</v>
      </c>
      <c r="Q2604">
        <f>VLOOKUP(O2604, Coordinates!$A$2:$C$6, 3, FALSE)</f>
        <v>-95.369799999999998</v>
      </c>
      <c r="R2604">
        <v>18</v>
      </c>
      <c r="S2604">
        <v>488</v>
      </c>
      <c r="T2604">
        <v>18</v>
      </c>
      <c r="U2604">
        <v>24.1586734565143</v>
      </c>
      <c r="V2604" t="s">
        <v>39</v>
      </c>
      <c r="W2604">
        <v>4.1797794974804399</v>
      </c>
      <c r="X2604" t="s">
        <v>52</v>
      </c>
      <c r="Y2604" t="s">
        <v>32</v>
      </c>
      <c r="Z2604">
        <v>114.455680873631</v>
      </c>
    </row>
    <row r="2605" spans="1:26" x14ac:dyDescent="0.3">
      <c r="A2605" t="s">
        <v>42</v>
      </c>
      <c r="B2605" t="s">
        <v>2661</v>
      </c>
      <c r="C2605">
        <v>34.925985375789402</v>
      </c>
      <c r="D2605">
        <v>89</v>
      </c>
      <c r="E2605">
        <v>856</v>
      </c>
      <c r="F2605">
        <v>7345.3107003699897</v>
      </c>
      <c r="G2605" t="s">
        <v>48</v>
      </c>
      <c r="H2605">
        <v>1</v>
      </c>
      <c r="I2605">
        <v>27</v>
      </c>
      <c r="J2605">
        <v>97</v>
      </c>
      <c r="K2605">
        <v>8</v>
      </c>
      <c r="L2605" t="s">
        <v>44</v>
      </c>
      <c r="M2605">
        <v>10.330701680000001</v>
      </c>
      <c r="N2605" t="s">
        <v>57</v>
      </c>
      <c r="O2605" t="s">
        <v>67</v>
      </c>
      <c r="P2605">
        <f>VLOOKUP(O2605, Coordinates!$A$2:$C$6, 2, FALSE)</f>
        <v>40.712800000000001</v>
      </c>
      <c r="Q2605">
        <f>VLOOKUP(O2605, Coordinates!$A$2:$C$6, 3, FALSE)</f>
        <v>-74.006</v>
      </c>
      <c r="R2605">
        <v>27</v>
      </c>
      <c r="S2605">
        <v>650</v>
      </c>
      <c r="T2605">
        <v>18</v>
      </c>
      <c r="U2605">
        <v>81.797720508631002</v>
      </c>
      <c r="V2605" t="s">
        <v>30</v>
      </c>
      <c r="W2605">
        <v>3.1458687366863298</v>
      </c>
      <c r="X2605" t="s">
        <v>46</v>
      </c>
      <c r="Y2605" t="s">
        <v>32</v>
      </c>
      <c r="Z2605">
        <v>393.28402490033102</v>
      </c>
    </row>
    <row r="2606" spans="1:26" x14ac:dyDescent="0.3">
      <c r="A2606" t="s">
        <v>49</v>
      </c>
      <c r="B2606" t="s">
        <v>2662</v>
      </c>
      <c r="C2606">
        <v>80.183926298162604</v>
      </c>
      <c r="D2606">
        <v>24</v>
      </c>
      <c r="E2606">
        <v>259</v>
      </c>
      <c r="F2606">
        <v>3041.8346469834401</v>
      </c>
      <c r="G2606" t="s">
        <v>26</v>
      </c>
      <c r="H2606">
        <v>12</v>
      </c>
      <c r="I2606">
        <v>2</v>
      </c>
      <c r="J2606">
        <v>71</v>
      </c>
      <c r="K2606">
        <v>7</v>
      </c>
      <c r="L2606" t="s">
        <v>36</v>
      </c>
      <c r="M2606">
        <v>14.127113792683399</v>
      </c>
      <c r="N2606" t="s">
        <v>37</v>
      </c>
      <c r="O2606" t="s">
        <v>65</v>
      </c>
      <c r="P2606">
        <f>VLOOKUP(O2606, Coordinates!$A$2:$C$6, 2, FALSE)</f>
        <v>41.878100000000003</v>
      </c>
      <c r="Q2606">
        <f>VLOOKUP(O2606, Coordinates!$A$2:$C$6, 3, FALSE)</f>
        <v>-87.629800000000003</v>
      </c>
      <c r="R2606">
        <v>27</v>
      </c>
      <c r="S2606">
        <v>606</v>
      </c>
      <c r="T2606">
        <v>28</v>
      </c>
      <c r="U2606">
        <v>84.611542056530894</v>
      </c>
      <c r="V2606" t="s">
        <v>55</v>
      </c>
      <c r="W2606">
        <v>1.3909606108263</v>
      </c>
      <c r="X2606" t="s">
        <v>40</v>
      </c>
      <c r="Y2606" t="s">
        <v>60</v>
      </c>
      <c r="Z2606">
        <v>852.85177723004404</v>
      </c>
    </row>
    <row r="2607" spans="1:26" x14ac:dyDescent="0.3">
      <c r="A2607" t="s">
        <v>82</v>
      </c>
      <c r="B2607" t="s">
        <v>2663</v>
      </c>
      <c r="C2607">
        <v>91.999882748141999</v>
      </c>
      <c r="D2607">
        <v>44</v>
      </c>
      <c r="E2607">
        <v>212</v>
      </c>
      <c r="F2607">
        <v>8157.5834031750001</v>
      </c>
      <c r="G2607" t="s">
        <v>48</v>
      </c>
      <c r="H2607">
        <v>45</v>
      </c>
      <c r="I2607">
        <v>4</v>
      </c>
      <c r="J2607">
        <v>84</v>
      </c>
      <c r="K2607">
        <v>7</v>
      </c>
      <c r="L2607" t="s">
        <v>27</v>
      </c>
      <c r="M2607">
        <v>2.0542028951938902</v>
      </c>
      <c r="N2607" t="s">
        <v>37</v>
      </c>
      <c r="O2607" t="s">
        <v>29</v>
      </c>
      <c r="P2607">
        <f>VLOOKUP(O2607, Coordinates!$A$2:$C$6, 2, FALSE)</f>
        <v>29.760400000000001</v>
      </c>
      <c r="Q2607">
        <f>VLOOKUP(O2607, Coordinates!$A$2:$C$6, 3, FALSE)</f>
        <v>-95.369799999999998</v>
      </c>
      <c r="R2607">
        <v>19</v>
      </c>
      <c r="S2607">
        <v>541</v>
      </c>
      <c r="T2607">
        <v>18</v>
      </c>
      <c r="U2607">
        <v>60.400228657485599</v>
      </c>
      <c r="V2607" t="s">
        <v>55</v>
      </c>
      <c r="W2607">
        <v>3.2721530569004802</v>
      </c>
      <c r="X2607" t="s">
        <v>31</v>
      </c>
      <c r="Y2607" t="s">
        <v>41</v>
      </c>
      <c r="Z2607">
        <v>769.160392761043</v>
      </c>
    </row>
    <row r="2608" spans="1:26" x14ac:dyDescent="0.3">
      <c r="A2608" t="s">
        <v>72</v>
      </c>
      <c r="B2608" t="s">
        <v>2664</v>
      </c>
      <c r="C2608">
        <v>34.697530397060703</v>
      </c>
      <c r="D2608">
        <v>17</v>
      </c>
      <c r="E2608">
        <v>454</v>
      </c>
      <c r="F2608">
        <v>14177.410920238999</v>
      </c>
      <c r="G2608" t="s">
        <v>35</v>
      </c>
      <c r="H2608">
        <v>52</v>
      </c>
      <c r="I2608">
        <v>18</v>
      </c>
      <c r="J2608">
        <v>55</v>
      </c>
      <c r="K2608">
        <v>5</v>
      </c>
      <c r="L2608" t="s">
        <v>44</v>
      </c>
      <c r="M2608">
        <v>8.2318511872693794</v>
      </c>
      <c r="N2608" t="s">
        <v>37</v>
      </c>
      <c r="O2608" t="s">
        <v>38</v>
      </c>
      <c r="P2608">
        <f>VLOOKUP(O2608, Coordinates!$A$2:$C$6, 2, FALSE)</f>
        <v>25.761700000000001</v>
      </c>
      <c r="Q2608">
        <f>VLOOKUP(O2608, Coordinates!$A$2:$C$6, 3, FALSE)</f>
        <v>-80.191800000000001</v>
      </c>
      <c r="R2608">
        <v>3</v>
      </c>
      <c r="S2608">
        <v>595</v>
      </c>
      <c r="T2608">
        <v>16</v>
      </c>
      <c r="U2608">
        <v>91.207917080523103</v>
      </c>
      <c r="V2608" t="s">
        <v>30</v>
      </c>
      <c r="W2608">
        <v>3.4779623543793199</v>
      </c>
      <c r="X2608" t="s">
        <v>31</v>
      </c>
      <c r="Y2608" t="s">
        <v>41</v>
      </c>
      <c r="Z2608">
        <v>160.641174216076</v>
      </c>
    </row>
    <row r="2609" spans="1:26" x14ac:dyDescent="0.3">
      <c r="A2609" t="s">
        <v>72</v>
      </c>
      <c r="B2609" t="s">
        <v>2665</v>
      </c>
      <c r="C2609">
        <v>39.293093634122499</v>
      </c>
      <c r="D2609">
        <v>2</v>
      </c>
      <c r="E2609">
        <v>99</v>
      </c>
      <c r="F2609">
        <v>3501.01464280032</v>
      </c>
      <c r="G2609" t="s">
        <v>48</v>
      </c>
      <c r="H2609">
        <v>97</v>
      </c>
      <c r="I2609">
        <v>28</v>
      </c>
      <c r="J2609">
        <v>76</v>
      </c>
      <c r="K2609">
        <v>2</v>
      </c>
      <c r="L2609" t="s">
        <v>36</v>
      </c>
      <c r="M2609">
        <v>2.1466747493285498</v>
      </c>
      <c r="N2609" t="s">
        <v>51</v>
      </c>
      <c r="O2609" t="s">
        <v>65</v>
      </c>
      <c r="P2609">
        <f>VLOOKUP(O2609, Coordinates!$A$2:$C$6, 2, FALSE)</f>
        <v>41.878100000000003</v>
      </c>
      <c r="Q2609">
        <f>VLOOKUP(O2609, Coordinates!$A$2:$C$6, 3, FALSE)</f>
        <v>-87.629800000000003</v>
      </c>
      <c r="R2609">
        <v>9</v>
      </c>
      <c r="S2609">
        <v>604</v>
      </c>
      <c r="T2609">
        <v>11</v>
      </c>
      <c r="U2609">
        <v>81.932948231865097</v>
      </c>
      <c r="V2609" t="s">
        <v>39</v>
      </c>
      <c r="W2609">
        <v>1.4077908051533501</v>
      </c>
      <c r="X2609" t="s">
        <v>46</v>
      </c>
      <c r="Y2609" t="s">
        <v>41</v>
      </c>
      <c r="Z2609">
        <v>821.30081908869897</v>
      </c>
    </row>
    <row r="2610" spans="1:26" x14ac:dyDescent="0.3">
      <c r="A2610" t="s">
        <v>24</v>
      </c>
      <c r="B2610" t="s">
        <v>2666</v>
      </c>
      <c r="C2610">
        <v>31.053870181056102</v>
      </c>
      <c r="D2610">
        <v>13</v>
      </c>
      <c r="E2610">
        <v>864</v>
      </c>
      <c r="F2610">
        <v>24147.489452789199</v>
      </c>
      <c r="G2610" t="s">
        <v>54</v>
      </c>
      <c r="H2610">
        <v>28</v>
      </c>
      <c r="I2610">
        <v>28</v>
      </c>
      <c r="J2610">
        <v>62</v>
      </c>
      <c r="K2610">
        <v>2</v>
      </c>
      <c r="L2610" t="s">
        <v>44</v>
      </c>
      <c r="M2610">
        <v>6.3078473133215596</v>
      </c>
      <c r="N2610" t="s">
        <v>57</v>
      </c>
      <c r="O2610" t="s">
        <v>58</v>
      </c>
      <c r="P2610">
        <f>VLOOKUP(O2610, Coordinates!$A$2:$C$6, 2, FALSE)</f>
        <v>34.052199999999999</v>
      </c>
      <c r="Q2610">
        <f>VLOOKUP(O2610, Coordinates!$A$2:$C$6, 3, FALSE)</f>
        <v>-118.2437</v>
      </c>
      <c r="R2610">
        <v>7</v>
      </c>
      <c r="S2610">
        <v>236</v>
      </c>
      <c r="T2610">
        <v>8</v>
      </c>
      <c r="U2610">
        <v>87.259107377292807</v>
      </c>
      <c r="V2610" t="s">
        <v>30</v>
      </c>
      <c r="W2610">
        <v>1.2766481220421899</v>
      </c>
      <c r="X2610" t="s">
        <v>52</v>
      </c>
      <c r="Y2610" t="s">
        <v>60</v>
      </c>
      <c r="Z2610">
        <v>261.14925543951102</v>
      </c>
    </row>
    <row r="2611" spans="1:26" x14ac:dyDescent="0.3">
      <c r="A2611" t="s">
        <v>82</v>
      </c>
      <c r="B2611" t="s">
        <v>2667</v>
      </c>
      <c r="C2611">
        <v>69.456661021805203</v>
      </c>
      <c r="D2611">
        <v>31</v>
      </c>
      <c r="E2611">
        <v>843</v>
      </c>
      <c r="F2611">
        <v>5342.0632334300499</v>
      </c>
      <c r="G2611" t="s">
        <v>48</v>
      </c>
      <c r="H2611">
        <v>35</v>
      </c>
      <c r="I2611">
        <v>25</v>
      </c>
      <c r="J2611">
        <v>61</v>
      </c>
      <c r="K2611">
        <v>10</v>
      </c>
      <c r="L2611" t="s">
        <v>36</v>
      </c>
      <c r="M2611">
        <v>3.4554110572228298</v>
      </c>
      <c r="N2611" t="s">
        <v>28</v>
      </c>
      <c r="O2611" t="s">
        <v>58</v>
      </c>
      <c r="P2611">
        <f>VLOOKUP(O2611, Coordinates!$A$2:$C$6, 2, FALSE)</f>
        <v>34.052199999999999</v>
      </c>
      <c r="Q2611">
        <f>VLOOKUP(O2611, Coordinates!$A$2:$C$6, 3, FALSE)</f>
        <v>-118.2437</v>
      </c>
      <c r="R2611">
        <v>2</v>
      </c>
      <c r="S2611">
        <v>378</v>
      </c>
      <c r="T2611">
        <v>29</v>
      </c>
      <c r="U2611">
        <v>81.6977907506609</v>
      </c>
      <c r="V2611" t="s">
        <v>55</v>
      </c>
      <c r="W2611">
        <v>1.98461929546135</v>
      </c>
      <c r="X2611" t="s">
        <v>46</v>
      </c>
      <c r="Y2611" t="s">
        <v>32</v>
      </c>
      <c r="Z2611">
        <v>988.34831840000004</v>
      </c>
    </row>
    <row r="2612" spans="1:26" x14ac:dyDescent="0.3">
      <c r="A2612" t="s">
        <v>42</v>
      </c>
      <c r="B2612" t="s">
        <v>2668</v>
      </c>
      <c r="C2612">
        <v>35.694471658302</v>
      </c>
      <c r="D2612">
        <v>93</v>
      </c>
      <c r="E2612">
        <v>482</v>
      </c>
      <c r="F2612">
        <v>6376.1437088006696</v>
      </c>
      <c r="G2612" t="s">
        <v>54</v>
      </c>
      <c r="H2612">
        <v>70</v>
      </c>
      <c r="I2612">
        <v>26</v>
      </c>
      <c r="J2612">
        <v>16</v>
      </c>
      <c r="K2612">
        <v>8</v>
      </c>
      <c r="L2612" t="s">
        <v>27</v>
      </c>
      <c r="M2612">
        <v>10.0921379160991</v>
      </c>
      <c r="N2612" t="s">
        <v>37</v>
      </c>
      <c r="O2612" t="s">
        <v>65</v>
      </c>
      <c r="P2612">
        <f>VLOOKUP(O2612, Coordinates!$A$2:$C$6, 2, FALSE)</f>
        <v>41.878100000000003</v>
      </c>
      <c r="Q2612">
        <f>VLOOKUP(O2612, Coordinates!$A$2:$C$6, 3, FALSE)</f>
        <v>-87.629800000000003</v>
      </c>
      <c r="R2612">
        <v>9</v>
      </c>
      <c r="S2612">
        <v>263</v>
      </c>
      <c r="T2612">
        <v>12</v>
      </c>
      <c r="U2612">
        <v>10.2954628259393</v>
      </c>
      <c r="V2612" t="s">
        <v>30</v>
      </c>
      <c r="W2612">
        <v>3.2057348451676702</v>
      </c>
      <c r="X2612" t="s">
        <v>46</v>
      </c>
      <c r="Y2612" t="s">
        <v>41</v>
      </c>
      <c r="Z2612">
        <v>881.69220566027604</v>
      </c>
    </row>
    <row r="2613" spans="1:26" x14ac:dyDescent="0.3">
      <c r="A2613" t="s">
        <v>24</v>
      </c>
      <c r="B2613" t="s">
        <v>2669</v>
      </c>
      <c r="C2613">
        <v>31.106958902727602</v>
      </c>
      <c r="D2613">
        <v>28</v>
      </c>
      <c r="E2613">
        <v>687</v>
      </c>
      <c r="F2613">
        <v>19233.432690000001</v>
      </c>
      <c r="G2613" t="s">
        <v>48</v>
      </c>
      <c r="H2613">
        <v>93</v>
      </c>
      <c r="I2613">
        <v>13</v>
      </c>
      <c r="J2613">
        <v>90</v>
      </c>
      <c r="K2613">
        <v>6</v>
      </c>
      <c r="L2613" t="s">
        <v>44</v>
      </c>
      <c r="M2613">
        <v>11.6096557273657</v>
      </c>
      <c r="N2613" t="s">
        <v>57</v>
      </c>
      <c r="O2613" t="s">
        <v>38</v>
      </c>
      <c r="P2613">
        <f>VLOOKUP(O2613, Coordinates!$A$2:$C$6, 2, FALSE)</f>
        <v>25.761700000000001</v>
      </c>
      <c r="Q2613">
        <f>VLOOKUP(O2613, Coordinates!$A$2:$C$6, 3, FALSE)</f>
        <v>-80.191800000000001</v>
      </c>
      <c r="R2613">
        <v>24</v>
      </c>
      <c r="S2613">
        <v>642</v>
      </c>
      <c r="T2613">
        <v>18</v>
      </c>
      <c r="U2613">
        <v>77.3069734910096</v>
      </c>
      <c r="V2613" t="s">
        <v>39</v>
      </c>
      <c r="W2613">
        <v>1.4653113464118599</v>
      </c>
      <c r="X2613" t="s">
        <v>40</v>
      </c>
      <c r="Y2613" t="s">
        <v>41</v>
      </c>
      <c r="Z2613">
        <v>921.934455573425</v>
      </c>
    </row>
    <row r="2614" spans="1:26" x14ac:dyDescent="0.3">
      <c r="A2614" t="s">
        <v>82</v>
      </c>
      <c r="B2614" t="s">
        <v>2670</v>
      </c>
      <c r="C2614">
        <v>35.940056196075503</v>
      </c>
      <c r="D2614">
        <v>60</v>
      </c>
      <c r="E2614">
        <v>766</v>
      </c>
      <c r="F2614">
        <v>7284.8199154650401</v>
      </c>
      <c r="G2614" t="s">
        <v>54</v>
      </c>
      <c r="H2614">
        <v>16</v>
      </c>
      <c r="I2614">
        <v>15</v>
      </c>
      <c r="J2614">
        <v>93</v>
      </c>
      <c r="K2614">
        <v>8</v>
      </c>
      <c r="L2614" t="s">
        <v>44</v>
      </c>
      <c r="M2614">
        <v>4.4628048918243701</v>
      </c>
      <c r="N2614" t="s">
        <v>45</v>
      </c>
      <c r="O2614" t="s">
        <v>38</v>
      </c>
      <c r="P2614">
        <f>VLOOKUP(O2614, Coordinates!$A$2:$C$6, 2, FALSE)</f>
        <v>25.761700000000001</v>
      </c>
      <c r="Q2614">
        <f>VLOOKUP(O2614, Coordinates!$A$2:$C$6, 3, FALSE)</f>
        <v>-80.191800000000001</v>
      </c>
      <c r="R2614">
        <v>25</v>
      </c>
      <c r="S2614">
        <v>951</v>
      </c>
      <c r="T2614">
        <v>22</v>
      </c>
      <c r="U2614">
        <v>88.385417768796003</v>
      </c>
      <c r="V2614" t="s">
        <v>39</v>
      </c>
      <c r="W2614">
        <v>4.1569809043342696</v>
      </c>
      <c r="X2614" t="s">
        <v>46</v>
      </c>
      <c r="Y2614" t="s">
        <v>60</v>
      </c>
      <c r="Z2614">
        <v>792.50535609999997</v>
      </c>
    </row>
    <row r="2615" spans="1:26" x14ac:dyDescent="0.3">
      <c r="A2615" t="s">
        <v>33</v>
      </c>
      <c r="B2615" t="s">
        <v>2671</v>
      </c>
      <c r="C2615">
        <v>42.4429244443496</v>
      </c>
      <c r="D2615">
        <v>27</v>
      </c>
      <c r="E2615">
        <v>194</v>
      </c>
      <c r="F2615">
        <v>4903.2723979626298</v>
      </c>
      <c r="G2615" t="s">
        <v>54</v>
      </c>
      <c r="H2615">
        <v>47</v>
      </c>
      <c r="I2615">
        <v>2</v>
      </c>
      <c r="J2615">
        <v>63</v>
      </c>
      <c r="K2615">
        <v>3</v>
      </c>
      <c r="L2615" t="s">
        <v>44</v>
      </c>
      <c r="M2615">
        <v>10.9804200867384</v>
      </c>
      <c r="N2615" t="s">
        <v>51</v>
      </c>
      <c r="O2615" t="s">
        <v>58</v>
      </c>
      <c r="P2615">
        <f>VLOOKUP(O2615, Coordinates!$A$2:$C$6, 2, FALSE)</f>
        <v>34.052199999999999</v>
      </c>
      <c r="Q2615">
        <f>VLOOKUP(O2615, Coordinates!$A$2:$C$6, 3, FALSE)</f>
        <v>-118.2437</v>
      </c>
      <c r="R2615">
        <v>6</v>
      </c>
      <c r="S2615">
        <v>122</v>
      </c>
      <c r="T2615">
        <v>18</v>
      </c>
      <c r="U2615">
        <v>40.4409954909449</v>
      </c>
      <c r="V2615" t="s">
        <v>30</v>
      </c>
      <c r="W2615">
        <v>4.4961870092709102</v>
      </c>
      <c r="X2615" t="s">
        <v>46</v>
      </c>
      <c r="Y2615" t="s">
        <v>32</v>
      </c>
      <c r="Z2615">
        <v>739.69912547966601</v>
      </c>
    </row>
    <row r="2616" spans="1:26" x14ac:dyDescent="0.3">
      <c r="A2616" t="s">
        <v>61</v>
      </c>
      <c r="B2616" t="s">
        <v>2672</v>
      </c>
      <c r="C2616">
        <v>62.31674864</v>
      </c>
      <c r="D2616">
        <v>15</v>
      </c>
      <c r="E2616">
        <v>715</v>
      </c>
      <c r="F2616">
        <v>2820.4586356782702</v>
      </c>
      <c r="G2616" t="s">
        <v>54</v>
      </c>
      <c r="H2616">
        <v>76</v>
      </c>
      <c r="I2616">
        <v>10</v>
      </c>
      <c r="J2616">
        <v>20</v>
      </c>
      <c r="K2616">
        <v>1</v>
      </c>
      <c r="L2616" t="s">
        <v>36</v>
      </c>
      <c r="M2616">
        <v>7.2554651299935102</v>
      </c>
      <c r="N2616" t="s">
        <v>37</v>
      </c>
      <c r="O2616" t="s">
        <v>29</v>
      </c>
      <c r="P2616">
        <f>VLOOKUP(O2616, Coordinates!$A$2:$C$6, 2, FALSE)</f>
        <v>29.760400000000001</v>
      </c>
      <c r="Q2616">
        <f>VLOOKUP(O2616, Coordinates!$A$2:$C$6, 3, FALSE)</f>
        <v>-95.369799999999998</v>
      </c>
      <c r="R2616">
        <v>28</v>
      </c>
      <c r="S2616">
        <v>810</v>
      </c>
      <c r="T2616">
        <v>29</v>
      </c>
      <c r="U2616">
        <v>75.389605918505197</v>
      </c>
      <c r="V2616" t="s">
        <v>30</v>
      </c>
      <c r="W2616">
        <v>1.47550162439624</v>
      </c>
      <c r="X2616" t="s">
        <v>31</v>
      </c>
      <c r="Y2616" t="s">
        <v>32</v>
      </c>
      <c r="Z2616">
        <v>319.99358675239199</v>
      </c>
    </row>
    <row r="2617" spans="1:26" x14ac:dyDescent="0.3">
      <c r="A2617" t="s">
        <v>24</v>
      </c>
      <c r="B2617" t="s">
        <v>2673</v>
      </c>
      <c r="C2617">
        <v>29.572066376730799</v>
      </c>
      <c r="D2617">
        <v>95</v>
      </c>
      <c r="E2617">
        <v>488</v>
      </c>
      <c r="F2617">
        <v>12988.051552660099</v>
      </c>
      <c r="G2617" t="s">
        <v>26</v>
      </c>
      <c r="H2617">
        <v>23</v>
      </c>
      <c r="I2617">
        <v>2</v>
      </c>
      <c r="J2617">
        <v>34</v>
      </c>
      <c r="K2617">
        <v>6</v>
      </c>
      <c r="L2617" t="s">
        <v>36</v>
      </c>
      <c r="M2617">
        <v>4.9701204254469804</v>
      </c>
      <c r="N2617" t="s">
        <v>57</v>
      </c>
      <c r="O2617" t="s">
        <v>67</v>
      </c>
      <c r="P2617">
        <f>VLOOKUP(O2617, Coordinates!$A$2:$C$6, 2, FALSE)</f>
        <v>40.712800000000001</v>
      </c>
      <c r="Q2617">
        <f>VLOOKUP(O2617, Coordinates!$A$2:$C$6, 3, FALSE)</f>
        <v>-74.006</v>
      </c>
      <c r="R2617">
        <v>16</v>
      </c>
      <c r="S2617">
        <v>606</v>
      </c>
      <c r="T2617">
        <v>8</v>
      </c>
      <c r="U2617">
        <v>89.805562518889701</v>
      </c>
      <c r="V2617" t="s">
        <v>30</v>
      </c>
      <c r="W2617">
        <v>4.8298686806375501</v>
      </c>
      <c r="X2617" t="s">
        <v>40</v>
      </c>
      <c r="Y2617" t="s">
        <v>32</v>
      </c>
      <c r="Z2617">
        <v>627.75857364129695</v>
      </c>
    </row>
    <row r="2618" spans="1:26" x14ac:dyDescent="0.3">
      <c r="A2618" t="s">
        <v>24</v>
      </c>
      <c r="B2618" t="s">
        <v>2674</v>
      </c>
      <c r="C2618">
        <v>31.332259547538001</v>
      </c>
      <c r="D2618">
        <v>79</v>
      </c>
      <c r="E2618">
        <v>737</v>
      </c>
      <c r="F2618">
        <v>20782.687757881999</v>
      </c>
      <c r="G2618" t="s">
        <v>48</v>
      </c>
      <c r="H2618">
        <v>53</v>
      </c>
      <c r="I2618">
        <v>30</v>
      </c>
      <c r="J2618">
        <v>68</v>
      </c>
      <c r="K2618">
        <v>2</v>
      </c>
      <c r="L2618" t="s">
        <v>44</v>
      </c>
      <c r="M2618">
        <v>8.3276233616142807</v>
      </c>
      <c r="N2618" t="s">
        <v>57</v>
      </c>
      <c r="O2618" t="s">
        <v>38</v>
      </c>
      <c r="P2618">
        <f>VLOOKUP(O2618, Coordinates!$A$2:$C$6, 2, FALSE)</f>
        <v>25.761700000000001</v>
      </c>
      <c r="Q2618">
        <f>VLOOKUP(O2618, Coordinates!$A$2:$C$6, 3, FALSE)</f>
        <v>-80.191800000000001</v>
      </c>
      <c r="R2618">
        <v>2</v>
      </c>
      <c r="S2618">
        <v>785</v>
      </c>
      <c r="T2618">
        <v>16</v>
      </c>
      <c r="U2618">
        <v>94.058256808228194</v>
      </c>
      <c r="V2618" t="s">
        <v>55</v>
      </c>
      <c r="W2618">
        <v>2.3667398933660699</v>
      </c>
      <c r="X2618" t="s">
        <v>52</v>
      </c>
      <c r="Y2618" t="s">
        <v>41</v>
      </c>
      <c r="Z2618">
        <v>726.78236849999996</v>
      </c>
    </row>
    <row r="2619" spans="1:26" x14ac:dyDescent="0.3">
      <c r="A2619" t="s">
        <v>42</v>
      </c>
      <c r="B2619" t="s">
        <v>2675</v>
      </c>
      <c r="C2619">
        <v>45.152323209951</v>
      </c>
      <c r="D2619">
        <v>33</v>
      </c>
      <c r="E2619">
        <v>540</v>
      </c>
      <c r="F2619">
        <v>3708.6194400280501</v>
      </c>
      <c r="G2619" t="s">
        <v>48</v>
      </c>
      <c r="H2619">
        <v>94</v>
      </c>
      <c r="I2619">
        <v>29</v>
      </c>
      <c r="J2619">
        <v>97</v>
      </c>
      <c r="K2619">
        <v>9</v>
      </c>
      <c r="L2619" t="s">
        <v>36</v>
      </c>
      <c r="M2619">
        <v>6.3151020134935099</v>
      </c>
      <c r="N2619" t="s">
        <v>37</v>
      </c>
      <c r="O2619" t="s">
        <v>29</v>
      </c>
      <c r="P2619">
        <f>VLOOKUP(O2619, Coordinates!$A$2:$C$6, 2, FALSE)</f>
        <v>29.760400000000001</v>
      </c>
      <c r="Q2619">
        <f>VLOOKUP(O2619, Coordinates!$A$2:$C$6, 3, FALSE)</f>
        <v>-95.369799999999998</v>
      </c>
      <c r="R2619">
        <v>29</v>
      </c>
      <c r="S2619">
        <v>609</v>
      </c>
      <c r="T2619">
        <v>30</v>
      </c>
      <c r="U2619">
        <v>79.741344452896399</v>
      </c>
      <c r="V2619" t="s">
        <v>30</v>
      </c>
      <c r="W2619">
        <v>0.50454168822946899</v>
      </c>
      <c r="X2619" t="s">
        <v>31</v>
      </c>
      <c r="Y2619" t="s">
        <v>60</v>
      </c>
      <c r="Z2619">
        <v>359.27768274676299</v>
      </c>
    </row>
    <row r="2620" spans="1:26" x14ac:dyDescent="0.3">
      <c r="A2620" t="s">
        <v>49</v>
      </c>
      <c r="B2620" t="s">
        <v>2676</v>
      </c>
      <c r="C2620">
        <v>99.585594191506701</v>
      </c>
      <c r="D2620">
        <v>20</v>
      </c>
      <c r="E2620">
        <v>760</v>
      </c>
      <c r="F2620">
        <v>7740.2587643066699</v>
      </c>
      <c r="G2620" t="s">
        <v>35</v>
      </c>
      <c r="H2620">
        <v>90</v>
      </c>
      <c r="I2620">
        <v>21</v>
      </c>
      <c r="J2620">
        <v>75</v>
      </c>
      <c r="K2620">
        <v>8</v>
      </c>
      <c r="L2620" t="s">
        <v>44</v>
      </c>
      <c r="M2620">
        <v>4.2199475637734496</v>
      </c>
      <c r="N2620" t="s">
        <v>57</v>
      </c>
      <c r="O2620" t="s">
        <v>67</v>
      </c>
      <c r="P2620">
        <f>VLOOKUP(O2620, Coordinates!$A$2:$C$6, 2, FALSE)</f>
        <v>40.712800000000001</v>
      </c>
      <c r="Q2620">
        <f>VLOOKUP(O2620, Coordinates!$A$2:$C$6, 3, FALSE)</f>
        <v>-74.006</v>
      </c>
      <c r="R2620">
        <v>16</v>
      </c>
      <c r="S2620">
        <v>669</v>
      </c>
      <c r="T2620">
        <v>17</v>
      </c>
      <c r="U2620">
        <v>20.127411129999999</v>
      </c>
      <c r="V2620" t="s">
        <v>39</v>
      </c>
      <c r="W2620">
        <v>0.27519696864786802</v>
      </c>
      <c r="X2620" t="s">
        <v>46</v>
      </c>
      <c r="Y2620" t="s">
        <v>41</v>
      </c>
      <c r="Z2620">
        <v>948.39058275646596</v>
      </c>
    </row>
    <row r="2621" spans="1:26" x14ac:dyDescent="0.3">
      <c r="A2621" t="s">
        <v>33</v>
      </c>
      <c r="B2621" t="s">
        <v>2677</v>
      </c>
      <c r="C2621">
        <v>5.9968959082947197</v>
      </c>
      <c r="D2621">
        <v>42</v>
      </c>
      <c r="E2621">
        <v>427</v>
      </c>
      <c r="F2621">
        <v>8147.46437953848</v>
      </c>
      <c r="G2621" t="s">
        <v>35</v>
      </c>
      <c r="H2621">
        <v>84</v>
      </c>
      <c r="I2621">
        <v>12</v>
      </c>
      <c r="J2621">
        <v>36</v>
      </c>
      <c r="K2621">
        <v>5</v>
      </c>
      <c r="L2621" t="s">
        <v>27</v>
      </c>
      <c r="M2621">
        <v>11.595827145819699</v>
      </c>
      <c r="N2621" t="s">
        <v>57</v>
      </c>
      <c r="O2621" t="s">
        <v>58</v>
      </c>
      <c r="P2621">
        <f>VLOOKUP(O2621, Coordinates!$A$2:$C$6, 2, FALSE)</f>
        <v>34.052199999999999</v>
      </c>
      <c r="Q2621">
        <f>VLOOKUP(O2621, Coordinates!$A$2:$C$6, 3, FALSE)</f>
        <v>-118.2437</v>
      </c>
      <c r="R2621">
        <v>3</v>
      </c>
      <c r="S2621">
        <v>807</v>
      </c>
      <c r="T2621">
        <v>2</v>
      </c>
      <c r="U2621">
        <v>75.512268691474603</v>
      </c>
      <c r="V2621" t="s">
        <v>30</v>
      </c>
      <c r="W2621">
        <v>1.6933725714965699</v>
      </c>
      <c r="X2621" t="s">
        <v>52</v>
      </c>
      <c r="Y2621" t="s">
        <v>60</v>
      </c>
      <c r="Z2621">
        <v>952.345268133074</v>
      </c>
    </row>
    <row r="2622" spans="1:26" x14ac:dyDescent="0.3">
      <c r="A2622" t="s">
        <v>42</v>
      </c>
      <c r="B2622" t="s">
        <v>2678</v>
      </c>
      <c r="C2622">
        <v>90.031202440868299</v>
      </c>
      <c r="D2622">
        <v>12</v>
      </c>
      <c r="E2622">
        <v>884</v>
      </c>
      <c r="F2622">
        <v>2822.207879</v>
      </c>
      <c r="G2622" t="s">
        <v>35</v>
      </c>
      <c r="H2622">
        <v>0</v>
      </c>
      <c r="I2622">
        <v>25</v>
      </c>
      <c r="J2622">
        <v>92</v>
      </c>
      <c r="K2622">
        <v>10</v>
      </c>
      <c r="L2622" t="s">
        <v>44</v>
      </c>
      <c r="M2622">
        <v>12.1653380850942</v>
      </c>
      <c r="N2622" t="s">
        <v>28</v>
      </c>
      <c r="O2622" t="s">
        <v>67</v>
      </c>
      <c r="P2622">
        <f>VLOOKUP(O2622, Coordinates!$A$2:$C$6, 2, FALSE)</f>
        <v>40.712800000000001</v>
      </c>
      <c r="Q2622">
        <f>VLOOKUP(O2622, Coordinates!$A$2:$C$6, 3, FALSE)</f>
        <v>-74.006</v>
      </c>
      <c r="R2622">
        <v>22</v>
      </c>
      <c r="S2622">
        <v>699</v>
      </c>
      <c r="T2622">
        <v>30</v>
      </c>
      <c r="U2622">
        <v>99.187150310000007</v>
      </c>
      <c r="V2622" t="s">
        <v>30</v>
      </c>
      <c r="W2622">
        <v>1.29379478364936</v>
      </c>
      <c r="X2622" t="s">
        <v>40</v>
      </c>
      <c r="Y2622" t="s">
        <v>60</v>
      </c>
      <c r="Z2622">
        <v>467.16175190004498</v>
      </c>
    </row>
    <row r="2623" spans="1:26" x14ac:dyDescent="0.3">
      <c r="A2623" t="s">
        <v>82</v>
      </c>
      <c r="B2623" t="s">
        <v>2679</v>
      </c>
      <c r="C2623">
        <v>19.168378464275001</v>
      </c>
      <c r="D2623">
        <v>73</v>
      </c>
      <c r="E2623">
        <v>644</v>
      </c>
      <c r="F2623">
        <v>9631.3959720000003</v>
      </c>
      <c r="G2623" t="s">
        <v>48</v>
      </c>
      <c r="H2623">
        <v>78</v>
      </c>
      <c r="I2623">
        <v>12</v>
      </c>
      <c r="J2623">
        <v>67</v>
      </c>
      <c r="K2623">
        <v>8</v>
      </c>
      <c r="L2623" t="s">
        <v>44</v>
      </c>
      <c r="M2623">
        <v>12.20437137057</v>
      </c>
      <c r="N2623" t="s">
        <v>51</v>
      </c>
      <c r="O2623" t="s">
        <v>58</v>
      </c>
      <c r="P2623">
        <f>VLOOKUP(O2623, Coordinates!$A$2:$C$6, 2, FALSE)</f>
        <v>34.052199999999999</v>
      </c>
      <c r="Q2623">
        <f>VLOOKUP(O2623, Coordinates!$A$2:$C$6, 3, FALSE)</f>
        <v>-118.2437</v>
      </c>
      <c r="R2623">
        <v>30</v>
      </c>
      <c r="S2623">
        <v>543</v>
      </c>
      <c r="T2623">
        <v>21</v>
      </c>
      <c r="U2623">
        <v>96.218328863058602</v>
      </c>
      <c r="V2623" t="s">
        <v>39</v>
      </c>
      <c r="W2623">
        <v>4.2185666360162601</v>
      </c>
      <c r="X2623" t="s">
        <v>31</v>
      </c>
      <c r="Y2623" t="s">
        <v>41</v>
      </c>
      <c r="Z2623">
        <v>383.84242380000001</v>
      </c>
    </row>
    <row r="2624" spans="1:26" x14ac:dyDescent="0.3">
      <c r="A2624" t="s">
        <v>82</v>
      </c>
      <c r="B2624" t="s">
        <v>2680</v>
      </c>
      <c r="C2624">
        <v>79.662901239846704</v>
      </c>
      <c r="D2624">
        <v>23</v>
      </c>
      <c r="E2624">
        <v>609</v>
      </c>
      <c r="F2624">
        <v>5521.6251410000004</v>
      </c>
      <c r="G2624" t="s">
        <v>26</v>
      </c>
      <c r="H2624">
        <v>66</v>
      </c>
      <c r="I2624">
        <v>23</v>
      </c>
      <c r="J2624">
        <v>20</v>
      </c>
      <c r="K2624">
        <v>6</v>
      </c>
      <c r="L2624" t="s">
        <v>36</v>
      </c>
      <c r="M2624">
        <v>6.3499991444997201</v>
      </c>
      <c r="N2624" t="s">
        <v>28</v>
      </c>
      <c r="O2624" t="s">
        <v>29</v>
      </c>
      <c r="P2624">
        <f>VLOOKUP(O2624, Coordinates!$A$2:$C$6, 2, FALSE)</f>
        <v>29.760400000000001</v>
      </c>
      <c r="Q2624">
        <f>VLOOKUP(O2624, Coordinates!$A$2:$C$6, 3, FALSE)</f>
        <v>-95.369799999999998</v>
      </c>
      <c r="R2624">
        <v>16</v>
      </c>
      <c r="S2624">
        <v>241</v>
      </c>
      <c r="T2624">
        <v>22</v>
      </c>
      <c r="U2624">
        <v>82.021756875130393</v>
      </c>
      <c r="V2624" t="s">
        <v>55</v>
      </c>
      <c r="W2624">
        <v>3.6881921070847801</v>
      </c>
      <c r="X2624" t="s">
        <v>52</v>
      </c>
      <c r="Y2624" t="s">
        <v>60</v>
      </c>
      <c r="Z2624">
        <v>196.491250087488</v>
      </c>
    </row>
    <row r="2625" spans="1:26" x14ac:dyDescent="0.3">
      <c r="A2625" t="s">
        <v>82</v>
      </c>
      <c r="B2625" t="s">
        <v>2681</v>
      </c>
      <c r="C2625">
        <v>63.703498185398303</v>
      </c>
      <c r="D2625">
        <v>72</v>
      </c>
      <c r="E2625">
        <v>816</v>
      </c>
      <c r="F2625">
        <v>9252.8087411665201</v>
      </c>
      <c r="H2625">
        <v>5</v>
      </c>
      <c r="I2625">
        <v>1</v>
      </c>
      <c r="J2625">
        <v>64</v>
      </c>
      <c r="K2625">
        <v>3</v>
      </c>
      <c r="L2625" t="s">
        <v>36</v>
      </c>
      <c r="M2625">
        <v>3.3733983197312201</v>
      </c>
      <c r="N2625" t="s">
        <v>51</v>
      </c>
      <c r="O2625" t="s">
        <v>58</v>
      </c>
      <c r="P2625">
        <f>VLOOKUP(O2625, Coordinates!$A$2:$C$6, 2, FALSE)</f>
        <v>34.052199999999999</v>
      </c>
      <c r="Q2625">
        <f>VLOOKUP(O2625, Coordinates!$A$2:$C$6, 3, FALSE)</f>
        <v>-118.2437</v>
      </c>
      <c r="R2625">
        <v>12</v>
      </c>
      <c r="S2625">
        <v>380</v>
      </c>
      <c r="T2625">
        <v>15</v>
      </c>
      <c r="U2625">
        <v>58.106568180673101</v>
      </c>
      <c r="V2625" t="s">
        <v>39</v>
      </c>
      <c r="W2625">
        <v>4.4227314343502897</v>
      </c>
      <c r="X2625" t="s">
        <v>46</v>
      </c>
      <c r="Y2625" t="s">
        <v>60</v>
      </c>
      <c r="Z2625">
        <v>407.20722475061001</v>
      </c>
    </row>
    <row r="2626" spans="1:26" x14ac:dyDescent="0.3">
      <c r="A2626" t="s">
        <v>82</v>
      </c>
      <c r="B2626" t="s">
        <v>2682</v>
      </c>
      <c r="C2626">
        <v>37.475492122318698</v>
      </c>
      <c r="D2626">
        <v>96</v>
      </c>
      <c r="E2626">
        <v>137</v>
      </c>
      <c r="G2626" t="s">
        <v>48</v>
      </c>
      <c r="H2626">
        <v>77</v>
      </c>
      <c r="I2626">
        <v>28</v>
      </c>
      <c r="J2626">
        <v>28</v>
      </c>
      <c r="K2626">
        <v>9</v>
      </c>
      <c r="L2626" t="s">
        <v>36</v>
      </c>
      <c r="M2626">
        <v>12.765757941104599</v>
      </c>
      <c r="N2626" t="s">
        <v>51</v>
      </c>
      <c r="O2626" t="s">
        <v>67</v>
      </c>
      <c r="P2626">
        <f>VLOOKUP(O2626, Coordinates!$A$2:$C$6, 2, FALSE)</f>
        <v>40.712800000000001</v>
      </c>
      <c r="Q2626">
        <f>VLOOKUP(O2626, Coordinates!$A$2:$C$6, 3, FALSE)</f>
        <v>-74.006</v>
      </c>
      <c r="R2626">
        <v>3</v>
      </c>
      <c r="S2626">
        <v>306</v>
      </c>
      <c r="T2626">
        <v>25</v>
      </c>
      <c r="U2626">
        <v>70.734211823866502</v>
      </c>
      <c r="V2626" t="s">
        <v>55</v>
      </c>
      <c r="W2626">
        <v>2.94626749105934</v>
      </c>
      <c r="X2626" t="s">
        <v>46</v>
      </c>
      <c r="Y2626" t="s">
        <v>60</v>
      </c>
      <c r="Z2626">
        <v>650.92872133132596</v>
      </c>
    </row>
    <row r="2627" spans="1:26" x14ac:dyDescent="0.3">
      <c r="A2627" t="s">
        <v>49</v>
      </c>
      <c r="B2627" t="s">
        <v>2683</v>
      </c>
      <c r="C2627">
        <v>88.018120774496694</v>
      </c>
      <c r="D2627">
        <v>14</v>
      </c>
      <c r="E2627">
        <v>59</v>
      </c>
      <c r="G2627" t="s">
        <v>26</v>
      </c>
      <c r="H2627">
        <v>54</v>
      </c>
      <c r="I2627">
        <v>2</v>
      </c>
      <c r="J2627">
        <v>48</v>
      </c>
      <c r="K2627">
        <v>10</v>
      </c>
      <c r="L2627" t="s">
        <v>27</v>
      </c>
      <c r="M2627">
        <v>5.6096942708069797</v>
      </c>
      <c r="N2627" t="s">
        <v>28</v>
      </c>
      <c r="O2627" t="s">
        <v>29</v>
      </c>
      <c r="P2627">
        <f>VLOOKUP(O2627, Coordinates!$A$2:$C$6, 2, FALSE)</f>
        <v>29.760400000000001</v>
      </c>
      <c r="Q2627">
        <f>VLOOKUP(O2627, Coordinates!$A$2:$C$6, 3, FALSE)</f>
        <v>-95.369799999999998</v>
      </c>
      <c r="R2627">
        <v>11</v>
      </c>
      <c r="S2627">
        <v>783</v>
      </c>
      <c r="T2627">
        <v>22</v>
      </c>
      <c r="U2627">
        <v>75.529755130968297</v>
      </c>
      <c r="V2627" t="s">
        <v>39</v>
      </c>
      <c r="W2627">
        <v>2.1772862379525</v>
      </c>
      <c r="X2627" t="s">
        <v>52</v>
      </c>
      <c r="Y2627" t="s">
        <v>32</v>
      </c>
      <c r="Z2627">
        <v>232.958886667657</v>
      </c>
    </row>
    <row r="2628" spans="1:26" x14ac:dyDescent="0.3">
      <c r="A2628" t="s">
        <v>33</v>
      </c>
      <c r="B2628" t="s">
        <v>2684</v>
      </c>
      <c r="C2628">
        <v>6.22618665819423</v>
      </c>
      <c r="D2628">
        <v>91</v>
      </c>
      <c r="E2628">
        <v>889</v>
      </c>
      <c r="F2628">
        <v>1765.3925917546401</v>
      </c>
      <c r="G2628" t="s">
        <v>26</v>
      </c>
      <c r="H2628">
        <v>3</v>
      </c>
      <c r="I2628">
        <v>30</v>
      </c>
      <c r="J2628">
        <v>94</v>
      </c>
      <c r="K2628">
        <v>4</v>
      </c>
      <c r="L2628" t="s">
        <v>27</v>
      </c>
      <c r="M2628">
        <v>11.472935231528201</v>
      </c>
      <c r="N2628" t="s">
        <v>37</v>
      </c>
      <c r="O2628" t="s">
        <v>67</v>
      </c>
      <c r="P2628">
        <f>VLOOKUP(O2628, Coordinates!$A$2:$C$6, 2, FALSE)</f>
        <v>40.712800000000001</v>
      </c>
      <c r="Q2628">
        <f>VLOOKUP(O2628, Coordinates!$A$2:$C$6, 3, FALSE)</f>
        <v>-74.006</v>
      </c>
      <c r="R2628">
        <v>11</v>
      </c>
      <c r="S2628">
        <v>401</v>
      </c>
      <c r="T2628">
        <v>24</v>
      </c>
      <c r="U2628">
        <v>10.7561371850414</v>
      </c>
      <c r="V2628" t="s">
        <v>39</v>
      </c>
      <c r="W2628">
        <v>1.35283964042868</v>
      </c>
      <c r="X2628" t="s">
        <v>31</v>
      </c>
      <c r="Y2628" t="s">
        <v>32</v>
      </c>
      <c r="Z2628">
        <v>644.75783670293004</v>
      </c>
    </row>
    <row r="2629" spans="1:26" x14ac:dyDescent="0.3">
      <c r="A2629" t="s">
        <v>72</v>
      </c>
      <c r="B2629" t="s">
        <v>2685</v>
      </c>
      <c r="C2629">
        <v>32.703244569793704</v>
      </c>
      <c r="D2629">
        <v>25</v>
      </c>
      <c r="E2629">
        <v>514</v>
      </c>
      <c r="F2629">
        <v>15128.520937986499</v>
      </c>
      <c r="G2629" t="s">
        <v>48</v>
      </c>
      <c r="H2629">
        <v>32</v>
      </c>
      <c r="I2629">
        <v>16</v>
      </c>
      <c r="J2629">
        <v>99</v>
      </c>
      <c r="K2629">
        <v>10</v>
      </c>
      <c r="L2629" t="s">
        <v>27</v>
      </c>
      <c r="M2629">
        <v>12.4443078546176</v>
      </c>
      <c r="N2629" t="s">
        <v>57</v>
      </c>
      <c r="O2629" t="s">
        <v>67</v>
      </c>
      <c r="P2629">
        <f>VLOOKUP(O2629, Coordinates!$A$2:$C$6, 2, FALSE)</f>
        <v>40.712800000000001</v>
      </c>
      <c r="Q2629">
        <f>VLOOKUP(O2629, Coordinates!$A$2:$C$6, 3, FALSE)</f>
        <v>-74.006</v>
      </c>
      <c r="R2629">
        <v>23</v>
      </c>
      <c r="S2629">
        <v>496</v>
      </c>
      <c r="T2629">
        <v>28</v>
      </c>
      <c r="U2629">
        <v>83.985765950000001</v>
      </c>
      <c r="V2629" t="s">
        <v>30</v>
      </c>
      <c r="W2629">
        <v>2.9155441721162401</v>
      </c>
      <c r="X2629" t="s">
        <v>52</v>
      </c>
      <c r="Y2629" t="s">
        <v>32</v>
      </c>
      <c r="Z2629">
        <v>767.07601838244</v>
      </c>
    </row>
    <row r="2630" spans="1:26" x14ac:dyDescent="0.3">
      <c r="A2630" t="s">
        <v>61</v>
      </c>
      <c r="B2630" t="s">
        <v>2686</v>
      </c>
      <c r="C2630">
        <v>58.854815643705898</v>
      </c>
      <c r="D2630">
        <v>77</v>
      </c>
      <c r="E2630">
        <v>674</v>
      </c>
      <c r="F2630">
        <v>1079.3334996502499</v>
      </c>
      <c r="G2630" t="s">
        <v>54</v>
      </c>
      <c r="H2630">
        <v>7</v>
      </c>
      <c r="I2630">
        <v>27</v>
      </c>
      <c r="J2630">
        <v>95</v>
      </c>
      <c r="K2630">
        <v>4</v>
      </c>
      <c r="L2630" t="s">
        <v>36</v>
      </c>
      <c r="M2630">
        <v>11.754134966438601</v>
      </c>
      <c r="N2630" t="s">
        <v>45</v>
      </c>
      <c r="O2630" t="s">
        <v>38</v>
      </c>
      <c r="P2630">
        <f>VLOOKUP(O2630, Coordinates!$A$2:$C$6, 2, FALSE)</f>
        <v>25.761700000000001</v>
      </c>
      <c r="Q2630">
        <f>VLOOKUP(O2630, Coordinates!$A$2:$C$6, 3, FALSE)</f>
        <v>-80.191800000000001</v>
      </c>
      <c r="R2630">
        <v>27</v>
      </c>
      <c r="S2630">
        <v>417</v>
      </c>
      <c r="T2630">
        <v>7</v>
      </c>
      <c r="U2630">
        <v>63.735321887097598</v>
      </c>
      <c r="V2630" t="s">
        <v>39</v>
      </c>
      <c r="W2630">
        <v>4.9525776824314702</v>
      </c>
      <c r="X2630" t="s">
        <v>46</v>
      </c>
      <c r="Y2630" t="s">
        <v>32</v>
      </c>
      <c r="Z2630">
        <v>791.41957297638999</v>
      </c>
    </row>
    <row r="2631" spans="1:26" x14ac:dyDescent="0.3">
      <c r="A2631" t="s">
        <v>49</v>
      </c>
      <c r="B2631" t="s">
        <v>2687</v>
      </c>
      <c r="C2631">
        <v>38.396514704721298</v>
      </c>
      <c r="D2631">
        <v>85</v>
      </c>
      <c r="E2631">
        <v>545</v>
      </c>
      <c r="F2631">
        <v>7445.1487642906304</v>
      </c>
      <c r="G2631" t="s">
        <v>26</v>
      </c>
      <c r="H2631">
        <v>89</v>
      </c>
      <c r="I2631">
        <v>22</v>
      </c>
      <c r="J2631">
        <v>79</v>
      </c>
      <c r="K2631">
        <v>2</v>
      </c>
      <c r="L2631" t="s">
        <v>44</v>
      </c>
      <c r="M2631">
        <v>6.4572844296712999</v>
      </c>
      <c r="N2631" t="s">
        <v>28</v>
      </c>
      <c r="O2631" t="s">
        <v>58</v>
      </c>
      <c r="P2631">
        <f>VLOOKUP(O2631, Coordinates!$A$2:$C$6, 2, FALSE)</f>
        <v>34.052199999999999</v>
      </c>
      <c r="Q2631">
        <f>VLOOKUP(O2631, Coordinates!$A$2:$C$6, 3, FALSE)</f>
        <v>-118.2437</v>
      </c>
      <c r="R2631">
        <v>16</v>
      </c>
      <c r="S2631">
        <v>886</v>
      </c>
      <c r="T2631">
        <v>1</v>
      </c>
      <c r="U2631">
        <v>10.5881086128618</v>
      </c>
      <c r="V2631" t="s">
        <v>39</v>
      </c>
      <c r="W2631">
        <v>1.9647378187093301</v>
      </c>
      <c r="X2631" t="s">
        <v>40</v>
      </c>
      <c r="Y2631" t="s">
        <v>41</v>
      </c>
      <c r="Z2631">
        <v>986.32771961973503</v>
      </c>
    </row>
    <row r="2632" spans="1:26" x14ac:dyDescent="0.3">
      <c r="A2632" t="s">
        <v>49</v>
      </c>
      <c r="B2632" t="s">
        <v>2688</v>
      </c>
      <c r="C2632">
        <v>62.9858620552411</v>
      </c>
      <c r="D2632">
        <v>31</v>
      </c>
      <c r="E2632">
        <v>414</v>
      </c>
      <c r="F2632">
        <v>4099.9445960000003</v>
      </c>
      <c r="G2632" t="s">
        <v>48</v>
      </c>
      <c r="H2632">
        <v>78</v>
      </c>
      <c r="I2632">
        <v>2</v>
      </c>
      <c r="J2632">
        <v>20</v>
      </c>
      <c r="K2632">
        <v>3</v>
      </c>
      <c r="L2632" t="s">
        <v>44</v>
      </c>
      <c r="M2632">
        <v>14.132234172249699</v>
      </c>
      <c r="N2632" t="s">
        <v>28</v>
      </c>
      <c r="O2632" t="s">
        <v>58</v>
      </c>
      <c r="P2632">
        <f>VLOOKUP(O2632, Coordinates!$A$2:$C$6, 2, FALSE)</f>
        <v>34.052199999999999</v>
      </c>
      <c r="Q2632">
        <f>VLOOKUP(O2632, Coordinates!$A$2:$C$6, 3, FALSE)</f>
        <v>-118.2437</v>
      </c>
      <c r="R2632">
        <v>5</v>
      </c>
      <c r="S2632">
        <v>979</v>
      </c>
      <c r="T2632">
        <v>2</v>
      </c>
      <c r="U2632">
        <v>91.801508569614697</v>
      </c>
      <c r="V2632" t="s">
        <v>39</v>
      </c>
      <c r="W2632">
        <v>4.6829771091369397</v>
      </c>
      <c r="X2632" t="s">
        <v>31</v>
      </c>
      <c r="Y2632" t="s">
        <v>41</v>
      </c>
      <c r="Z2632">
        <v>491.10547150848402</v>
      </c>
    </row>
    <row r="2633" spans="1:26" x14ac:dyDescent="0.3">
      <c r="A2633" t="s">
        <v>72</v>
      </c>
      <c r="B2633" t="s">
        <v>2689</v>
      </c>
      <c r="C2633">
        <v>24.0855835380119</v>
      </c>
      <c r="D2633">
        <v>54</v>
      </c>
      <c r="E2633">
        <v>215</v>
      </c>
      <c r="F2633">
        <v>4660.5604149999999</v>
      </c>
      <c r="G2633" t="s">
        <v>54</v>
      </c>
      <c r="H2633">
        <v>77</v>
      </c>
      <c r="I2633">
        <v>16</v>
      </c>
      <c r="J2633">
        <v>23</v>
      </c>
      <c r="K2633">
        <v>10</v>
      </c>
      <c r="L2633" t="s">
        <v>44</v>
      </c>
      <c r="M2633">
        <v>10.242273835242599</v>
      </c>
      <c r="N2633" t="s">
        <v>37</v>
      </c>
      <c r="O2633" t="s">
        <v>67</v>
      </c>
      <c r="P2633">
        <f>VLOOKUP(O2633, Coordinates!$A$2:$C$6, 2, FALSE)</f>
        <v>40.712800000000001</v>
      </c>
      <c r="Q2633">
        <f>VLOOKUP(O2633, Coordinates!$A$2:$C$6, 3, FALSE)</f>
        <v>-74.006</v>
      </c>
      <c r="R2633">
        <v>20</v>
      </c>
      <c r="S2633">
        <v>957</v>
      </c>
      <c r="T2633">
        <v>4</v>
      </c>
      <c r="U2633">
        <v>85.967153730000007</v>
      </c>
      <c r="V2633" t="s">
        <v>39</v>
      </c>
      <c r="W2633">
        <v>3.19977294174757</v>
      </c>
      <c r="X2633" t="s">
        <v>46</v>
      </c>
      <c r="Y2633" t="s">
        <v>41</v>
      </c>
      <c r="Z2633">
        <v>869.27334050517902</v>
      </c>
    </row>
    <row r="2634" spans="1:26" x14ac:dyDescent="0.3">
      <c r="A2634" t="s">
        <v>72</v>
      </c>
      <c r="B2634" t="s">
        <v>2690</v>
      </c>
      <c r="C2634">
        <v>31.3605838735627</v>
      </c>
      <c r="D2634">
        <v>5</v>
      </c>
      <c r="E2634">
        <v>670</v>
      </c>
      <c r="F2634">
        <v>18910.432075758301</v>
      </c>
      <c r="G2634" t="s">
        <v>35</v>
      </c>
      <c r="H2634">
        <v>19</v>
      </c>
      <c r="I2634">
        <v>20</v>
      </c>
      <c r="J2634">
        <v>69</v>
      </c>
      <c r="K2634">
        <v>7</v>
      </c>
      <c r="L2634" t="s">
        <v>36</v>
      </c>
      <c r="M2634">
        <v>9.0604479804985196</v>
      </c>
      <c r="N2634" t="s">
        <v>57</v>
      </c>
      <c r="O2634" t="s">
        <v>58</v>
      </c>
      <c r="P2634">
        <f>VLOOKUP(O2634, Coordinates!$A$2:$C$6, 2, FALSE)</f>
        <v>34.052199999999999</v>
      </c>
      <c r="Q2634">
        <f>VLOOKUP(O2634, Coordinates!$A$2:$C$6, 3, FALSE)</f>
        <v>-118.2437</v>
      </c>
      <c r="R2634">
        <v>8</v>
      </c>
      <c r="S2634">
        <v>147</v>
      </c>
      <c r="T2634">
        <v>16</v>
      </c>
      <c r="U2634">
        <v>92.989798701974394</v>
      </c>
      <c r="V2634" t="s">
        <v>30</v>
      </c>
      <c r="W2634">
        <v>4.1874060030076601</v>
      </c>
      <c r="X2634" t="s">
        <v>46</v>
      </c>
      <c r="Y2634" t="s">
        <v>32</v>
      </c>
      <c r="Z2634">
        <v>869.22087109079803</v>
      </c>
    </row>
    <row r="2635" spans="1:26" x14ac:dyDescent="0.3">
      <c r="A2635" t="s">
        <v>61</v>
      </c>
      <c r="B2635" t="s">
        <v>2691</v>
      </c>
      <c r="C2635">
        <v>17.0741428207517</v>
      </c>
      <c r="D2635">
        <v>13</v>
      </c>
      <c r="E2635">
        <v>297</v>
      </c>
      <c r="F2635">
        <v>8374.0037709999997</v>
      </c>
      <c r="G2635" t="s">
        <v>26</v>
      </c>
      <c r="H2635">
        <v>54</v>
      </c>
      <c r="I2635">
        <v>26</v>
      </c>
      <c r="J2635">
        <v>45</v>
      </c>
      <c r="K2635">
        <v>3</v>
      </c>
      <c r="L2635" t="s">
        <v>36</v>
      </c>
      <c r="M2635">
        <v>10.770727429050099</v>
      </c>
      <c r="N2635" t="s">
        <v>28</v>
      </c>
      <c r="O2635" t="s">
        <v>38</v>
      </c>
      <c r="P2635">
        <f>VLOOKUP(O2635, Coordinates!$A$2:$C$6, 2, FALSE)</f>
        <v>25.761700000000001</v>
      </c>
      <c r="Q2635">
        <f>VLOOKUP(O2635, Coordinates!$A$2:$C$6, 3, FALSE)</f>
        <v>-80.191800000000001</v>
      </c>
      <c r="R2635">
        <v>11</v>
      </c>
      <c r="S2635">
        <v>772</v>
      </c>
      <c r="T2635">
        <v>12</v>
      </c>
      <c r="U2635">
        <v>45.443905263783897</v>
      </c>
      <c r="V2635" t="s">
        <v>30</v>
      </c>
      <c r="W2635">
        <v>3.1019537368447798</v>
      </c>
      <c r="X2635" t="s">
        <v>52</v>
      </c>
      <c r="Y2635" t="s">
        <v>41</v>
      </c>
      <c r="Z2635">
        <v>175.16285248578501</v>
      </c>
    </row>
    <row r="2636" spans="1:26" x14ac:dyDescent="0.3">
      <c r="A2636" t="s">
        <v>61</v>
      </c>
      <c r="B2636" t="s">
        <v>2692</v>
      </c>
      <c r="C2636">
        <v>22.9819463620208</v>
      </c>
      <c r="D2636">
        <v>28</v>
      </c>
      <c r="E2636">
        <v>991</v>
      </c>
      <c r="F2636">
        <v>2176.2842837348098</v>
      </c>
      <c r="G2636" t="s">
        <v>26</v>
      </c>
      <c r="H2636">
        <v>47</v>
      </c>
      <c r="I2636">
        <v>16</v>
      </c>
      <c r="J2636">
        <v>50</v>
      </c>
      <c r="K2636">
        <v>8</v>
      </c>
      <c r="L2636" t="s">
        <v>27</v>
      </c>
      <c r="M2636">
        <v>1.62617972571546</v>
      </c>
      <c r="N2636" t="s">
        <v>45</v>
      </c>
      <c r="O2636" t="s">
        <v>38</v>
      </c>
      <c r="P2636">
        <f>VLOOKUP(O2636, Coordinates!$A$2:$C$6, 2, FALSE)</f>
        <v>25.761700000000001</v>
      </c>
      <c r="Q2636">
        <f>VLOOKUP(O2636, Coordinates!$A$2:$C$6, 3, FALSE)</f>
        <v>-80.191800000000001</v>
      </c>
      <c r="R2636">
        <v>25</v>
      </c>
      <c r="S2636">
        <v>776</v>
      </c>
      <c r="T2636">
        <v>17</v>
      </c>
      <c r="U2636">
        <v>86.569876957600201</v>
      </c>
      <c r="V2636" t="s">
        <v>55</v>
      </c>
      <c r="W2636">
        <v>3.52376606702747</v>
      </c>
      <c r="X2636" t="s">
        <v>46</v>
      </c>
      <c r="Y2636" t="s">
        <v>32</v>
      </c>
      <c r="Z2636">
        <v>875.49148581459997</v>
      </c>
    </row>
    <row r="2637" spans="1:26" x14ac:dyDescent="0.3">
      <c r="A2637" t="s">
        <v>72</v>
      </c>
      <c r="B2637" t="s">
        <v>2693</v>
      </c>
      <c r="D2637">
        <v>43</v>
      </c>
      <c r="E2637">
        <v>738</v>
      </c>
      <c r="F2637">
        <v>13462.7673411464</v>
      </c>
      <c r="G2637" t="s">
        <v>48</v>
      </c>
      <c r="H2637">
        <v>82</v>
      </c>
      <c r="I2637">
        <v>6</v>
      </c>
      <c r="J2637">
        <v>11</v>
      </c>
      <c r="K2637">
        <v>8</v>
      </c>
      <c r="L2637" t="s">
        <v>36</v>
      </c>
      <c r="M2637">
        <v>6.46720961890093</v>
      </c>
      <c r="N2637" t="s">
        <v>57</v>
      </c>
      <c r="O2637" t="s">
        <v>29</v>
      </c>
      <c r="P2637">
        <f>VLOOKUP(O2637, Coordinates!$A$2:$C$6, 2, FALSE)</f>
        <v>29.760400000000001</v>
      </c>
      <c r="Q2637">
        <f>VLOOKUP(O2637, Coordinates!$A$2:$C$6, 3, FALSE)</f>
        <v>-95.369799999999998</v>
      </c>
      <c r="R2637">
        <v>18</v>
      </c>
      <c r="S2637">
        <v>489</v>
      </c>
      <c r="T2637">
        <v>24</v>
      </c>
      <c r="U2637">
        <v>90.905964159999996</v>
      </c>
      <c r="V2637" t="s">
        <v>55</v>
      </c>
      <c r="W2637">
        <v>3.6830957893935001</v>
      </c>
      <c r="X2637" t="s">
        <v>31</v>
      </c>
      <c r="Y2637" t="s">
        <v>32</v>
      </c>
      <c r="Z2637">
        <v>984.43039534465004</v>
      </c>
    </row>
    <row r="2638" spans="1:26" x14ac:dyDescent="0.3">
      <c r="A2638" t="s">
        <v>82</v>
      </c>
      <c r="B2638" t="s">
        <v>2694</v>
      </c>
      <c r="C2638">
        <v>76.452226456639195</v>
      </c>
      <c r="D2638">
        <v>89</v>
      </c>
      <c r="E2638">
        <v>119</v>
      </c>
      <c r="F2638">
        <v>4067.8888562554198</v>
      </c>
      <c r="G2638" t="s">
        <v>48</v>
      </c>
      <c r="H2638">
        <v>55</v>
      </c>
      <c r="I2638">
        <v>13</v>
      </c>
      <c r="J2638">
        <v>66</v>
      </c>
      <c r="K2638">
        <v>10</v>
      </c>
      <c r="L2638" t="s">
        <v>44</v>
      </c>
      <c r="M2638">
        <v>13.3370401538469</v>
      </c>
      <c r="N2638" t="s">
        <v>28</v>
      </c>
      <c r="O2638" t="s">
        <v>58</v>
      </c>
      <c r="P2638">
        <f>VLOOKUP(O2638, Coordinates!$A$2:$C$6, 2, FALSE)</f>
        <v>34.052199999999999</v>
      </c>
      <c r="Q2638">
        <f>VLOOKUP(O2638, Coordinates!$A$2:$C$6, 3, FALSE)</f>
        <v>-118.2437</v>
      </c>
      <c r="R2638">
        <v>19</v>
      </c>
      <c r="S2638">
        <v>478</v>
      </c>
      <c r="T2638">
        <v>4</v>
      </c>
      <c r="U2638">
        <v>20.461148242958799</v>
      </c>
      <c r="V2638" t="s">
        <v>30</v>
      </c>
      <c r="W2638">
        <v>1.1512726544183201</v>
      </c>
      <c r="X2638" t="s">
        <v>52</v>
      </c>
      <c r="Y2638" t="s">
        <v>60</v>
      </c>
      <c r="Z2638">
        <v>916.14071753334304</v>
      </c>
    </row>
    <row r="2639" spans="1:26" x14ac:dyDescent="0.3">
      <c r="A2639" t="s">
        <v>49</v>
      </c>
      <c r="B2639" t="s">
        <v>2695</v>
      </c>
      <c r="C2639">
        <v>91.026189603245598</v>
      </c>
      <c r="D2639">
        <v>99</v>
      </c>
      <c r="E2639">
        <v>953</v>
      </c>
      <c r="F2639">
        <v>4676.3864999404504</v>
      </c>
      <c r="G2639" t="s">
        <v>54</v>
      </c>
      <c r="H2639">
        <v>96</v>
      </c>
      <c r="I2639">
        <v>12</v>
      </c>
      <c r="J2639">
        <v>69</v>
      </c>
      <c r="K2639">
        <v>2</v>
      </c>
      <c r="L2639" t="s">
        <v>27</v>
      </c>
      <c r="M2639">
        <v>3.2551158209399902</v>
      </c>
      <c r="N2639" t="s">
        <v>28</v>
      </c>
      <c r="O2639" t="s">
        <v>38</v>
      </c>
      <c r="P2639">
        <f>VLOOKUP(O2639, Coordinates!$A$2:$C$6, 2, FALSE)</f>
        <v>25.761700000000001</v>
      </c>
      <c r="Q2639">
        <f>VLOOKUP(O2639, Coordinates!$A$2:$C$6, 3, FALSE)</f>
        <v>-80.191800000000001</v>
      </c>
      <c r="R2639">
        <v>10</v>
      </c>
      <c r="S2639">
        <v>316</v>
      </c>
      <c r="T2639">
        <v>16</v>
      </c>
      <c r="U2639">
        <v>80.016457059999993</v>
      </c>
      <c r="V2639" t="s">
        <v>30</v>
      </c>
      <c r="W2639">
        <v>2.98304682499304</v>
      </c>
      <c r="X2639" t="s">
        <v>40</v>
      </c>
      <c r="Y2639" t="s">
        <v>60</v>
      </c>
      <c r="Z2639">
        <v>967.60944712001503</v>
      </c>
    </row>
    <row r="2640" spans="1:26" x14ac:dyDescent="0.3">
      <c r="A2640" t="s">
        <v>42</v>
      </c>
      <c r="B2640" t="s">
        <v>2696</v>
      </c>
      <c r="C2640">
        <v>84.360390377003299</v>
      </c>
      <c r="D2640">
        <v>47</v>
      </c>
      <c r="E2640">
        <v>918</v>
      </c>
      <c r="F2640">
        <v>4138.3252975867999</v>
      </c>
      <c r="G2640" t="s">
        <v>35</v>
      </c>
      <c r="H2640">
        <v>1</v>
      </c>
      <c r="I2640">
        <v>24</v>
      </c>
      <c r="J2640">
        <v>29</v>
      </c>
      <c r="K2640">
        <v>4</v>
      </c>
      <c r="L2640" t="s">
        <v>27</v>
      </c>
      <c r="M2640">
        <v>6.8016090683086103</v>
      </c>
      <c r="N2640" t="s">
        <v>51</v>
      </c>
      <c r="O2640" t="s">
        <v>67</v>
      </c>
      <c r="P2640">
        <f>VLOOKUP(O2640, Coordinates!$A$2:$C$6, 2, FALSE)</f>
        <v>40.712800000000001</v>
      </c>
      <c r="Q2640">
        <f>VLOOKUP(O2640, Coordinates!$A$2:$C$6, 3, FALSE)</f>
        <v>-74.006</v>
      </c>
      <c r="R2640">
        <v>28</v>
      </c>
      <c r="S2640">
        <v>728</v>
      </c>
      <c r="T2640">
        <v>7</v>
      </c>
      <c r="U2640">
        <v>62.040440639487699</v>
      </c>
      <c r="V2640" t="s">
        <v>55</v>
      </c>
      <c r="W2640">
        <v>2.0118317150970002</v>
      </c>
      <c r="X2640" t="s">
        <v>46</v>
      </c>
      <c r="Y2640" t="s">
        <v>32</v>
      </c>
      <c r="Z2640">
        <v>121.002338314366</v>
      </c>
    </row>
    <row r="2641" spans="1:26" x14ac:dyDescent="0.3">
      <c r="A2641" t="s">
        <v>61</v>
      </c>
      <c r="B2641" t="s">
        <v>2697</v>
      </c>
      <c r="C2641">
        <v>23.7043478186899</v>
      </c>
      <c r="D2641">
        <v>71</v>
      </c>
      <c r="E2641">
        <v>263</v>
      </c>
      <c r="F2641">
        <v>7872.8232927089703</v>
      </c>
      <c r="G2641" t="s">
        <v>35</v>
      </c>
      <c r="H2641">
        <v>87</v>
      </c>
      <c r="I2641">
        <v>10</v>
      </c>
      <c r="J2641">
        <v>31</v>
      </c>
      <c r="K2641">
        <v>8</v>
      </c>
      <c r="L2641" t="s">
        <v>36</v>
      </c>
      <c r="M2641">
        <v>6.6734718764075902</v>
      </c>
      <c r="N2641" t="s">
        <v>51</v>
      </c>
      <c r="O2641" t="s">
        <v>58</v>
      </c>
      <c r="P2641">
        <f>VLOOKUP(O2641, Coordinates!$A$2:$C$6, 2, FALSE)</f>
        <v>34.052199999999999</v>
      </c>
      <c r="Q2641">
        <f>VLOOKUP(O2641, Coordinates!$A$2:$C$6, 3, FALSE)</f>
        <v>-118.2437</v>
      </c>
      <c r="R2641">
        <v>4</v>
      </c>
      <c r="S2641">
        <v>948</v>
      </c>
      <c r="T2641">
        <v>23</v>
      </c>
      <c r="U2641">
        <v>62.695248190000001</v>
      </c>
      <c r="V2641" t="s">
        <v>39</v>
      </c>
      <c r="W2641">
        <v>0.74942434402184999</v>
      </c>
      <c r="X2641" t="s">
        <v>31</v>
      </c>
      <c r="Y2641" t="s">
        <v>60</v>
      </c>
      <c r="Z2641">
        <v>110.232841206334</v>
      </c>
    </row>
    <row r="2642" spans="1:26" x14ac:dyDescent="0.3">
      <c r="A2642" t="s">
        <v>61</v>
      </c>
      <c r="B2642" t="s">
        <v>2698</v>
      </c>
      <c r="C2642">
        <v>46.909302461910002</v>
      </c>
      <c r="D2642">
        <v>38</v>
      </c>
      <c r="E2642">
        <v>767</v>
      </c>
      <c r="F2642">
        <v>1872.56253364043</v>
      </c>
      <c r="G2642" t="s">
        <v>48</v>
      </c>
      <c r="H2642">
        <v>9</v>
      </c>
      <c r="I2642">
        <v>5</v>
      </c>
      <c r="J2642">
        <v>13</v>
      </c>
      <c r="K2642">
        <v>1</v>
      </c>
      <c r="L2642" t="s">
        <v>27</v>
      </c>
      <c r="M2642">
        <v>5.9845839498423397</v>
      </c>
      <c r="N2642" t="s">
        <v>28</v>
      </c>
      <c r="O2642" t="s">
        <v>29</v>
      </c>
      <c r="P2642">
        <f>VLOOKUP(O2642, Coordinates!$A$2:$C$6, 2, FALSE)</f>
        <v>29.760400000000001</v>
      </c>
      <c r="Q2642">
        <f>VLOOKUP(O2642, Coordinates!$A$2:$C$6, 3, FALSE)</f>
        <v>-95.369799999999998</v>
      </c>
      <c r="R2642">
        <v>28</v>
      </c>
      <c r="S2642">
        <v>350</v>
      </c>
      <c r="T2642">
        <v>8</v>
      </c>
      <c r="U2642">
        <v>80.150690970624296</v>
      </c>
      <c r="V2642" t="s">
        <v>30</v>
      </c>
      <c r="W2642">
        <v>2.0662028776394599</v>
      </c>
      <c r="X2642" t="s">
        <v>31</v>
      </c>
      <c r="Y2642" t="s">
        <v>60</v>
      </c>
      <c r="Z2642">
        <v>289.26799981260098</v>
      </c>
    </row>
    <row r="2643" spans="1:26" x14ac:dyDescent="0.3">
      <c r="A2643" t="s">
        <v>72</v>
      </c>
      <c r="B2643" t="s">
        <v>2699</v>
      </c>
      <c r="C2643">
        <v>38.7585869378049</v>
      </c>
      <c r="D2643">
        <v>96</v>
      </c>
      <c r="E2643">
        <v>126</v>
      </c>
      <c r="F2643">
        <v>4395.22375874707</v>
      </c>
      <c r="G2643" t="s">
        <v>48</v>
      </c>
      <c r="H2643">
        <v>51</v>
      </c>
      <c r="I2643">
        <v>8</v>
      </c>
      <c r="J2643">
        <v>65</v>
      </c>
      <c r="K2643">
        <v>1</v>
      </c>
      <c r="L2643" t="s">
        <v>27</v>
      </c>
      <c r="M2643">
        <v>8.8729186040000005</v>
      </c>
      <c r="N2643" t="s">
        <v>37</v>
      </c>
      <c r="O2643" t="s">
        <v>38</v>
      </c>
      <c r="P2643">
        <f>VLOOKUP(O2643, Coordinates!$A$2:$C$6, 2, FALSE)</f>
        <v>25.761700000000001</v>
      </c>
      <c r="Q2643">
        <f>VLOOKUP(O2643, Coordinates!$A$2:$C$6, 3, FALSE)</f>
        <v>-80.191800000000001</v>
      </c>
      <c r="R2643">
        <v>10</v>
      </c>
      <c r="S2643">
        <v>967</v>
      </c>
      <c r="T2643">
        <v>25</v>
      </c>
      <c r="U2643">
        <v>94.245601177215505</v>
      </c>
      <c r="V2643" t="s">
        <v>55</v>
      </c>
      <c r="W2643">
        <v>1.5514041472704401</v>
      </c>
      <c r="X2643" t="s">
        <v>40</v>
      </c>
      <c r="Y2643" t="s">
        <v>60</v>
      </c>
      <c r="Z2643">
        <v>818.84106750000001</v>
      </c>
    </row>
    <row r="2644" spans="1:26" x14ac:dyDescent="0.3">
      <c r="A2644" t="s">
        <v>33</v>
      </c>
      <c r="B2644" t="s">
        <v>2700</v>
      </c>
      <c r="C2644">
        <v>30.1248225833831</v>
      </c>
      <c r="D2644">
        <v>67</v>
      </c>
      <c r="E2644">
        <v>303</v>
      </c>
      <c r="F2644">
        <v>8535.1599956391292</v>
      </c>
      <c r="G2644" t="s">
        <v>54</v>
      </c>
      <c r="H2644">
        <v>49</v>
      </c>
      <c r="I2644">
        <v>6</v>
      </c>
      <c r="J2644">
        <v>67</v>
      </c>
      <c r="K2644">
        <v>4</v>
      </c>
      <c r="L2644" t="s">
        <v>36</v>
      </c>
      <c r="M2644">
        <v>14.9467726941997</v>
      </c>
      <c r="N2644" t="s">
        <v>51</v>
      </c>
      <c r="O2644" t="s">
        <v>65</v>
      </c>
      <c r="P2644">
        <f>VLOOKUP(O2644, Coordinates!$A$2:$C$6, 2, FALSE)</f>
        <v>41.878100000000003</v>
      </c>
      <c r="Q2644">
        <f>VLOOKUP(O2644, Coordinates!$A$2:$C$6, 3, FALSE)</f>
        <v>-87.629800000000003</v>
      </c>
      <c r="R2644">
        <v>14</v>
      </c>
      <c r="S2644">
        <v>533</v>
      </c>
      <c r="T2644">
        <v>9</v>
      </c>
      <c r="U2644">
        <v>57.794047117746203</v>
      </c>
      <c r="V2644" t="s">
        <v>30</v>
      </c>
      <c r="W2644">
        <v>0.56111040899999998</v>
      </c>
      <c r="X2644" t="s">
        <v>31</v>
      </c>
      <c r="Y2644" t="s">
        <v>60</v>
      </c>
      <c r="Z2644">
        <v>180.47318818898299</v>
      </c>
    </row>
    <row r="2645" spans="1:26" x14ac:dyDescent="0.3">
      <c r="A2645" t="s">
        <v>42</v>
      </c>
      <c r="B2645" t="s">
        <v>2701</v>
      </c>
      <c r="C2645">
        <v>52.8369632436291</v>
      </c>
      <c r="D2645">
        <v>62</v>
      </c>
      <c r="E2645">
        <v>877</v>
      </c>
      <c r="F2645">
        <v>1601.17369535954</v>
      </c>
      <c r="G2645" t="s">
        <v>48</v>
      </c>
      <c r="H2645">
        <v>6</v>
      </c>
      <c r="I2645">
        <v>22</v>
      </c>
      <c r="J2645">
        <v>97</v>
      </c>
      <c r="K2645">
        <v>2</v>
      </c>
      <c r="L2645" t="s">
        <v>27</v>
      </c>
      <c r="M2645">
        <v>4.5818838830128099</v>
      </c>
      <c r="N2645" t="s">
        <v>28</v>
      </c>
      <c r="O2645" t="s">
        <v>67</v>
      </c>
      <c r="P2645">
        <f>VLOOKUP(O2645, Coordinates!$A$2:$C$6, 2, FALSE)</f>
        <v>40.712800000000001</v>
      </c>
      <c r="Q2645">
        <f>VLOOKUP(O2645, Coordinates!$A$2:$C$6, 3, FALSE)</f>
        <v>-74.006</v>
      </c>
      <c r="R2645">
        <v>6</v>
      </c>
      <c r="S2645">
        <v>855</v>
      </c>
      <c r="T2645">
        <v>14</v>
      </c>
      <c r="U2645">
        <v>38.741735390572799</v>
      </c>
      <c r="V2645" t="s">
        <v>39</v>
      </c>
      <c r="W2645">
        <v>4.1191411432992897</v>
      </c>
      <c r="X2645" t="s">
        <v>31</v>
      </c>
      <c r="Y2645" t="s">
        <v>41</v>
      </c>
      <c r="Z2645">
        <v>771.86640504648597</v>
      </c>
    </row>
    <row r="2646" spans="1:26" x14ac:dyDescent="0.3">
      <c r="A2646" t="s">
        <v>42</v>
      </c>
      <c r="B2646" t="s">
        <v>2702</v>
      </c>
      <c r="C2646">
        <v>11.4703573487346</v>
      </c>
      <c r="D2646">
        <v>39</v>
      </c>
      <c r="E2646">
        <v>970</v>
      </c>
      <c r="F2646">
        <v>9481.0915690422098</v>
      </c>
      <c r="H2646">
        <v>5</v>
      </c>
      <c r="I2646">
        <v>29</v>
      </c>
      <c r="J2646">
        <v>74</v>
      </c>
      <c r="K2646">
        <v>1</v>
      </c>
      <c r="L2646" t="s">
        <v>44</v>
      </c>
      <c r="M2646">
        <v>10.8693997160498</v>
      </c>
      <c r="N2646" t="s">
        <v>57</v>
      </c>
      <c r="O2646" t="s">
        <v>67</v>
      </c>
      <c r="P2646">
        <f>VLOOKUP(O2646, Coordinates!$A$2:$C$6, 2, FALSE)</f>
        <v>40.712800000000001</v>
      </c>
      <c r="Q2646">
        <f>VLOOKUP(O2646, Coordinates!$A$2:$C$6, 3, FALSE)</f>
        <v>-74.006</v>
      </c>
      <c r="R2646">
        <v>5</v>
      </c>
      <c r="S2646">
        <v>858</v>
      </c>
      <c r="T2646">
        <v>23</v>
      </c>
      <c r="U2646">
        <v>18.5061110478863</v>
      </c>
      <c r="V2646" t="s">
        <v>39</v>
      </c>
      <c r="W2646">
        <v>2.49291278217291</v>
      </c>
      <c r="X2646" t="s">
        <v>40</v>
      </c>
      <c r="Y2646" t="s">
        <v>60</v>
      </c>
      <c r="Z2646">
        <v>111.304053748957</v>
      </c>
    </row>
    <row r="2647" spans="1:26" x14ac:dyDescent="0.3">
      <c r="A2647" t="s">
        <v>61</v>
      </c>
      <c r="B2647" t="s">
        <v>2703</v>
      </c>
      <c r="C2647">
        <v>25.7265613113609</v>
      </c>
      <c r="D2647">
        <v>37</v>
      </c>
      <c r="E2647">
        <v>565</v>
      </c>
      <c r="F2647">
        <v>9876.8515804481103</v>
      </c>
      <c r="G2647" t="s">
        <v>54</v>
      </c>
      <c r="H2647">
        <v>60</v>
      </c>
      <c r="I2647">
        <v>22</v>
      </c>
      <c r="J2647">
        <v>97</v>
      </c>
      <c r="K2647">
        <v>8</v>
      </c>
      <c r="L2647" t="s">
        <v>36</v>
      </c>
      <c r="M2647">
        <v>11.6119299688593</v>
      </c>
      <c r="N2647" t="s">
        <v>45</v>
      </c>
      <c r="O2647" t="s">
        <v>38</v>
      </c>
      <c r="P2647">
        <f>VLOOKUP(O2647, Coordinates!$A$2:$C$6, 2, FALSE)</f>
        <v>25.761700000000001</v>
      </c>
      <c r="Q2647">
        <f>VLOOKUP(O2647, Coordinates!$A$2:$C$6, 3, FALSE)</f>
        <v>-80.191800000000001</v>
      </c>
      <c r="R2647">
        <v>30</v>
      </c>
      <c r="S2647">
        <v>684</v>
      </c>
      <c r="T2647">
        <v>9</v>
      </c>
      <c r="U2647">
        <v>19.457150100094299</v>
      </c>
      <c r="V2647" t="s">
        <v>39</v>
      </c>
      <c r="W2647">
        <v>3.8238551254747901</v>
      </c>
      <c r="X2647" t="s">
        <v>46</v>
      </c>
      <c r="Y2647" t="s">
        <v>32</v>
      </c>
      <c r="Z2647">
        <v>757.98937454751797</v>
      </c>
    </row>
    <row r="2648" spans="1:26" x14ac:dyDescent="0.3">
      <c r="A2648" t="s">
        <v>82</v>
      </c>
      <c r="B2648" t="s">
        <v>2704</v>
      </c>
      <c r="C2648">
        <v>93.860925324176094</v>
      </c>
      <c r="D2648">
        <v>86</v>
      </c>
      <c r="E2648">
        <v>893</v>
      </c>
      <c r="F2648">
        <v>1797.1135644257199</v>
      </c>
      <c r="G2648" t="s">
        <v>35</v>
      </c>
      <c r="H2648">
        <v>99</v>
      </c>
      <c r="I2648">
        <v>6</v>
      </c>
      <c r="J2648">
        <v>67</v>
      </c>
      <c r="K2648">
        <v>2</v>
      </c>
      <c r="L2648" t="s">
        <v>44</v>
      </c>
      <c r="M2648">
        <v>9.1829787155152705</v>
      </c>
      <c r="N2648" t="s">
        <v>51</v>
      </c>
      <c r="O2648" t="s">
        <v>38</v>
      </c>
      <c r="P2648">
        <f>VLOOKUP(O2648, Coordinates!$A$2:$C$6, 2, FALSE)</f>
        <v>25.761700000000001</v>
      </c>
      <c r="Q2648">
        <f>VLOOKUP(O2648, Coordinates!$A$2:$C$6, 3, FALSE)</f>
        <v>-80.191800000000001</v>
      </c>
      <c r="R2648">
        <v>5</v>
      </c>
      <c r="S2648">
        <v>383</v>
      </c>
      <c r="T2648">
        <v>15</v>
      </c>
      <c r="U2648">
        <v>22.282432356263499</v>
      </c>
      <c r="V2648" t="s">
        <v>30</v>
      </c>
      <c r="W2648">
        <v>2.5248212485147499</v>
      </c>
      <c r="X2648" t="s">
        <v>31</v>
      </c>
      <c r="Y2648" t="s">
        <v>60</v>
      </c>
      <c r="Z2648">
        <v>325.06231588262699</v>
      </c>
    </row>
    <row r="2649" spans="1:26" x14ac:dyDescent="0.3">
      <c r="A2649" t="s">
        <v>33</v>
      </c>
      <c r="B2649" t="s">
        <v>2705</v>
      </c>
      <c r="C2649">
        <v>49.281047802556401</v>
      </c>
      <c r="D2649">
        <v>8</v>
      </c>
      <c r="E2649">
        <v>845</v>
      </c>
      <c r="F2649">
        <v>3621.4527003016301</v>
      </c>
      <c r="G2649" t="s">
        <v>54</v>
      </c>
      <c r="H2649">
        <v>15</v>
      </c>
      <c r="I2649">
        <v>22</v>
      </c>
      <c r="J2649">
        <v>39</v>
      </c>
      <c r="K2649">
        <v>4</v>
      </c>
      <c r="L2649" t="s">
        <v>44</v>
      </c>
      <c r="M2649">
        <v>2.3646596306165302</v>
      </c>
      <c r="N2649" t="s">
        <v>28</v>
      </c>
      <c r="O2649" t="s">
        <v>58</v>
      </c>
      <c r="P2649">
        <f>VLOOKUP(O2649, Coordinates!$A$2:$C$6, 2, FALSE)</f>
        <v>34.052199999999999</v>
      </c>
      <c r="Q2649">
        <f>VLOOKUP(O2649, Coordinates!$A$2:$C$6, 3, FALSE)</f>
        <v>-118.2437</v>
      </c>
      <c r="R2649">
        <v>23</v>
      </c>
      <c r="S2649">
        <v>582</v>
      </c>
      <c r="T2649">
        <v>21</v>
      </c>
      <c r="U2649">
        <v>65.340986401435401</v>
      </c>
      <c r="V2649" t="s">
        <v>30</v>
      </c>
      <c r="W2649">
        <v>3.77291558754228</v>
      </c>
      <c r="X2649" t="s">
        <v>52</v>
      </c>
      <c r="Y2649" t="s">
        <v>60</v>
      </c>
      <c r="Z2649">
        <v>496.39496994613302</v>
      </c>
    </row>
    <row r="2650" spans="1:26" x14ac:dyDescent="0.3">
      <c r="A2650" t="s">
        <v>42</v>
      </c>
      <c r="B2650" t="s">
        <v>2706</v>
      </c>
      <c r="C2650">
        <v>47.311719967897801</v>
      </c>
      <c r="D2650">
        <v>81</v>
      </c>
      <c r="E2650">
        <v>505</v>
      </c>
      <c r="F2650">
        <v>4351.6059943181999</v>
      </c>
      <c r="G2650" t="s">
        <v>35</v>
      </c>
      <c r="H2650">
        <v>78</v>
      </c>
      <c r="I2650">
        <v>17</v>
      </c>
      <c r="J2650">
        <v>85</v>
      </c>
      <c r="K2650">
        <v>3</v>
      </c>
      <c r="L2650" t="s">
        <v>44</v>
      </c>
      <c r="M2650">
        <v>9.0132289628341606</v>
      </c>
      <c r="N2650" t="s">
        <v>51</v>
      </c>
      <c r="O2650" t="s">
        <v>58</v>
      </c>
      <c r="P2650">
        <f>VLOOKUP(O2650, Coordinates!$A$2:$C$6, 2, FALSE)</f>
        <v>34.052199999999999</v>
      </c>
      <c r="Q2650">
        <f>VLOOKUP(O2650, Coordinates!$A$2:$C$6, 3, FALSE)</f>
        <v>-118.2437</v>
      </c>
      <c r="R2650">
        <v>24</v>
      </c>
      <c r="S2650">
        <v>806</v>
      </c>
      <c r="T2650">
        <v>26</v>
      </c>
      <c r="U2650">
        <v>19.524717853957899</v>
      </c>
      <c r="V2650" t="s">
        <v>30</v>
      </c>
      <c r="W2650">
        <v>9.1476966000000007E-2</v>
      </c>
      <c r="X2650" t="s">
        <v>31</v>
      </c>
      <c r="Y2650" t="s">
        <v>41</v>
      </c>
      <c r="Z2650">
        <v>978.85487368250801</v>
      </c>
    </row>
    <row r="2651" spans="1:26" x14ac:dyDescent="0.3">
      <c r="A2651" t="s">
        <v>61</v>
      </c>
      <c r="B2651" t="s">
        <v>2707</v>
      </c>
      <c r="C2651">
        <v>6.3838797013714901</v>
      </c>
      <c r="D2651">
        <v>52</v>
      </c>
      <c r="E2651">
        <v>301</v>
      </c>
      <c r="F2651">
        <v>7987.52231787453</v>
      </c>
      <c r="G2651" t="s">
        <v>35</v>
      </c>
      <c r="H2651">
        <v>17</v>
      </c>
      <c r="I2651">
        <v>6</v>
      </c>
      <c r="J2651">
        <v>28</v>
      </c>
      <c r="K2651">
        <v>2</v>
      </c>
      <c r="L2651" t="s">
        <v>44</v>
      </c>
      <c r="M2651">
        <v>14.3485026594148</v>
      </c>
      <c r="N2651" t="s">
        <v>57</v>
      </c>
      <c r="O2651" t="s">
        <v>58</v>
      </c>
      <c r="P2651">
        <f>VLOOKUP(O2651, Coordinates!$A$2:$C$6, 2, FALSE)</f>
        <v>34.052199999999999</v>
      </c>
      <c r="Q2651">
        <f>VLOOKUP(O2651, Coordinates!$A$2:$C$6, 3, FALSE)</f>
        <v>-118.2437</v>
      </c>
      <c r="R2651">
        <v>6</v>
      </c>
      <c r="S2651">
        <v>366</v>
      </c>
      <c r="T2651">
        <v>4</v>
      </c>
      <c r="U2651">
        <v>61.3093458331156</v>
      </c>
      <c r="V2651" t="s">
        <v>30</v>
      </c>
      <c r="W2651">
        <v>2.7337588028680999</v>
      </c>
      <c r="X2651" t="s">
        <v>52</v>
      </c>
      <c r="Y2651" t="s">
        <v>41</v>
      </c>
      <c r="Z2651">
        <v>596.56161896296805</v>
      </c>
    </row>
    <row r="2652" spans="1:26" x14ac:dyDescent="0.3">
      <c r="A2652" t="s">
        <v>42</v>
      </c>
      <c r="B2652" t="s">
        <v>2708</v>
      </c>
      <c r="C2652">
        <v>28.502975970542799</v>
      </c>
      <c r="D2652">
        <v>91</v>
      </c>
      <c r="E2652">
        <v>366</v>
      </c>
      <c r="F2652">
        <v>6363.3413090506001</v>
      </c>
      <c r="G2652" t="s">
        <v>35</v>
      </c>
      <c r="H2652">
        <v>70</v>
      </c>
      <c r="I2652">
        <v>17</v>
      </c>
      <c r="J2652">
        <v>71</v>
      </c>
      <c r="K2652">
        <v>8</v>
      </c>
      <c r="L2652" t="s">
        <v>27</v>
      </c>
      <c r="M2652">
        <v>5.78884202144142</v>
      </c>
      <c r="N2652" t="s">
        <v>37</v>
      </c>
      <c r="O2652" t="s">
        <v>58</v>
      </c>
      <c r="P2652">
        <f>VLOOKUP(O2652, Coordinates!$A$2:$C$6, 2, FALSE)</f>
        <v>34.052199999999999</v>
      </c>
      <c r="Q2652">
        <f>VLOOKUP(O2652, Coordinates!$A$2:$C$6, 3, FALSE)</f>
        <v>-118.2437</v>
      </c>
      <c r="R2652">
        <v>30</v>
      </c>
      <c r="S2652">
        <v>698</v>
      </c>
      <c r="T2652">
        <v>3</v>
      </c>
      <c r="U2652">
        <v>62.946735217953297</v>
      </c>
      <c r="V2652" t="s">
        <v>55</v>
      </c>
      <c r="W2652">
        <v>2.3957539164198298</v>
      </c>
      <c r="X2652" t="s">
        <v>31</v>
      </c>
      <c r="Y2652" t="s">
        <v>41</v>
      </c>
      <c r="Z2652">
        <v>167.16129549535401</v>
      </c>
    </row>
    <row r="2653" spans="1:26" x14ac:dyDescent="0.3">
      <c r="A2653" t="s">
        <v>24</v>
      </c>
      <c r="B2653" t="s">
        <v>2709</v>
      </c>
      <c r="C2653">
        <v>20.756785914180401</v>
      </c>
      <c r="D2653">
        <v>33</v>
      </c>
      <c r="E2653">
        <v>593</v>
      </c>
      <c r="F2653">
        <v>11077.8966423981</v>
      </c>
      <c r="G2653" t="s">
        <v>48</v>
      </c>
      <c r="H2653">
        <v>46</v>
      </c>
      <c r="I2653">
        <v>5</v>
      </c>
      <c r="J2653">
        <v>77</v>
      </c>
      <c r="K2653">
        <v>3</v>
      </c>
      <c r="L2653" t="s">
        <v>27</v>
      </c>
      <c r="M2653">
        <v>9.9556337693119907</v>
      </c>
      <c r="N2653" t="s">
        <v>28</v>
      </c>
      <c r="O2653" t="s">
        <v>67</v>
      </c>
      <c r="P2653">
        <f>VLOOKUP(O2653, Coordinates!$A$2:$C$6, 2, FALSE)</f>
        <v>40.712800000000001</v>
      </c>
      <c r="Q2653">
        <f>VLOOKUP(O2653, Coordinates!$A$2:$C$6, 3, FALSE)</f>
        <v>-74.006</v>
      </c>
      <c r="R2653">
        <v>19</v>
      </c>
      <c r="S2653">
        <v>345</v>
      </c>
      <c r="T2653">
        <v>22</v>
      </c>
      <c r="U2653">
        <v>80.321298922472906</v>
      </c>
      <c r="V2653" t="s">
        <v>30</v>
      </c>
      <c r="W2653">
        <v>4.4653509575753603</v>
      </c>
      <c r="X2653" t="s">
        <v>46</v>
      </c>
      <c r="Y2653" t="s">
        <v>60</v>
      </c>
      <c r="Z2653">
        <v>885.81850174727504</v>
      </c>
    </row>
    <row r="2654" spans="1:26" x14ac:dyDescent="0.3">
      <c r="A2654" t="s">
        <v>33</v>
      </c>
      <c r="B2654" t="s">
        <v>2710</v>
      </c>
      <c r="C2654">
        <v>20.639700684573501</v>
      </c>
      <c r="D2654">
        <v>81</v>
      </c>
      <c r="E2654">
        <v>467</v>
      </c>
      <c r="F2654">
        <v>7817.5884053665504</v>
      </c>
      <c r="G2654" t="s">
        <v>35</v>
      </c>
      <c r="H2654">
        <v>85</v>
      </c>
      <c r="I2654">
        <v>23</v>
      </c>
      <c r="J2654">
        <v>88</v>
      </c>
      <c r="K2654">
        <v>9</v>
      </c>
      <c r="L2654" t="s">
        <v>36</v>
      </c>
      <c r="M2654">
        <v>14.431568253953399</v>
      </c>
      <c r="N2654" t="s">
        <v>57</v>
      </c>
      <c r="O2654" t="s">
        <v>65</v>
      </c>
      <c r="P2654">
        <f>VLOOKUP(O2654, Coordinates!$A$2:$C$6, 2, FALSE)</f>
        <v>41.878100000000003</v>
      </c>
      <c r="Q2654">
        <f>VLOOKUP(O2654, Coordinates!$A$2:$C$6, 3, FALSE)</f>
        <v>-87.629800000000003</v>
      </c>
      <c r="R2654">
        <v>20</v>
      </c>
      <c r="S2654">
        <v>257</v>
      </c>
      <c r="T2654">
        <v>10</v>
      </c>
      <c r="U2654">
        <v>66.373893669296194</v>
      </c>
      <c r="V2654" t="s">
        <v>55</v>
      </c>
      <c r="W2654">
        <v>2.7798582939390601</v>
      </c>
      <c r="X2654" t="s">
        <v>31</v>
      </c>
      <c r="Y2654" t="s">
        <v>32</v>
      </c>
      <c r="Z2654">
        <v>391.30058839547797</v>
      </c>
    </row>
    <row r="2655" spans="1:26" x14ac:dyDescent="0.3">
      <c r="A2655" t="s">
        <v>33</v>
      </c>
      <c r="B2655" t="s">
        <v>2711</v>
      </c>
      <c r="C2655">
        <v>44.436869260000002</v>
      </c>
      <c r="D2655">
        <v>42</v>
      </c>
      <c r="E2655">
        <v>442</v>
      </c>
      <c r="F2655">
        <v>2061.8109949332302</v>
      </c>
      <c r="G2655" t="s">
        <v>54</v>
      </c>
      <c r="H2655">
        <v>31</v>
      </c>
      <c r="I2655">
        <v>17</v>
      </c>
      <c r="J2655">
        <v>93</v>
      </c>
      <c r="K2655">
        <v>10</v>
      </c>
      <c r="L2655" t="s">
        <v>36</v>
      </c>
      <c r="M2655">
        <v>12.1718639372864</v>
      </c>
      <c r="N2655" t="s">
        <v>45</v>
      </c>
      <c r="O2655" t="s">
        <v>38</v>
      </c>
      <c r="P2655">
        <f>VLOOKUP(O2655, Coordinates!$A$2:$C$6, 2, FALSE)</f>
        <v>25.761700000000001</v>
      </c>
      <c r="Q2655">
        <f>VLOOKUP(O2655, Coordinates!$A$2:$C$6, 3, FALSE)</f>
        <v>-80.191800000000001</v>
      </c>
      <c r="R2655">
        <v>25</v>
      </c>
      <c r="S2655">
        <v>456</v>
      </c>
      <c r="T2655">
        <v>27</v>
      </c>
      <c r="U2655">
        <v>98.702905679335103</v>
      </c>
      <c r="V2655" t="s">
        <v>39</v>
      </c>
      <c r="W2655">
        <v>4.36011108988997</v>
      </c>
      <c r="X2655" t="s">
        <v>52</v>
      </c>
      <c r="Y2655" t="s">
        <v>41</v>
      </c>
      <c r="Z2655">
        <v>626.81801533223995</v>
      </c>
    </row>
    <row r="2656" spans="1:26" x14ac:dyDescent="0.3">
      <c r="A2656" t="s">
        <v>24</v>
      </c>
      <c r="B2656" t="s">
        <v>2712</v>
      </c>
      <c r="C2656">
        <v>39.163061801906402</v>
      </c>
      <c r="D2656">
        <v>76</v>
      </c>
      <c r="E2656">
        <v>131</v>
      </c>
      <c r="F2656">
        <v>4617.3249864447698</v>
      </c>
      <c r="G2656" t="s">
        <v>48</v>
      </c>
      <c r="H2656">
        <v>42</v>
      </c>
      <c r="I2656">
        <v>29</v>
      </c>
      <c r="J2656">
        <v>53</v>
      </c>
      <c r="K2656">
        <v>5</v>
      </c>
      <c r="L2656" t="s">
        <v>44</v>
      </c>
      <c r="M2656">
        <v>10.63630822</v>
      </c>
      <c r="N2656" t="s">
        <v>28</v>
      </c>
      <c r="O2656" t="s">
        <v>65</v>
      </c>
      <c r="P2656">
        <f>VLOOKUP(O2656, Coordinates!$A$2:$C$6, 2, FALSE)</f>
        <v>41.878100000000003</v>
      </c>
      <c r="Q2656">
        <f>VLOOKUP(O2656, Coordinates!$A$2:$C$6, 3, FALSE)</f>
        <v>-87.629800000000003</v>
      </c>
      <c r="R2656">
        <v>17</v>
      </c>
      <c r="S2656">
        <v>647</v>
      </c>
      <c r="T2656">
        <v>25</v>
      </c>
      <c r="U2656">
        <v>84.399860553202501</v>
      </c>
      <c r="V2656" t="s">
        <v>39</v>
      </c>
      <c r="W2656">
        <v>1.9434160764257</v>
      </c>
      <c r="X2656" t="s">
        <v>31</v>
      </c>
      <c r="Y2656" t="s">
        <v>60</v>
      </c>
      <c r="Z2656">
        <v>740.59479682759297</v>
      </c>
    </row>
    <row r="2657" spans="1:26" x14ac:dyDescent="0.3">
      <c r="A2657" t="s">
        <v>49</v>
      </c>
      <c r="B2657" t="s">
        <v>2713</v>
      </c>
      <c r="C2657">
        <v>50.441870758702798</v>
      </c>
      <c r="D2657">
        <v>27</v>
      </c>
      <c r="E2657">
        <v>201</v>
      </c>
      <c r="F2657">
        <v>7350.5782376212901</v>
      </c>
      <c r="G2657" t="s">
        <v>54</v>
      </c>
      <c r="H2657">
        <v>82</v>
      </c>
      <c r="I2657">
        <v>17</v>
      </c>
      <c r="J2657">
        <v>93</v>
      </c>
      <c r="K2657">
        <v>9</v>
      </c>
      <c r="L2657" t="s">
        <v>44</v>
      </c>
      <c r="M2657">
        <v>14.596084302756299</v>
      </c>
      <c r="N2657" t="s">
        <v>45</v>
      </c>
      <c r="O2657" t="s">
        <v>38</v>
      </c>
      <c r="P2657">
        <f>VLOOKUP(O2657, Coordinates!$A$2:$C$6, 2, FALSE)</f>
        <v>25.761700000000001</v>
      </c>
      <c r="Q2657">
        <f>VLOOKUP(O2657, Coordinates!$A$2:$C$6, 3, FALSE)</f>
        <v>-80.191800000000001</v>
      </c>
      <c r="R2657">
        <v>28</v>
      </c>
      <c r="S2657">
        <v>335</v>
      </c>
      <c r="T2657">
        <v>4</v>
      </c>
      <c r="U2657">
        <v>73.373152300000001</v>
      </c>
      <c r="V2657" t="s">
        <v>55</v>
      </c>
      <c r="W2657">
        <v>4.8190092390600201</v>
      </c>
      <c r="X2657" t="s">
        <v>52</v>
      </c>
      <c r="Y2657" t="s">
        <v>60</v>
      </c>
      <c r="Z2657">
        <v>799.76188382036105</v>
      </c>
    </row>
    <row r="2658" spans="1:26" x14ac:dyDescent="0.3">
      <c r="A2658" t="s">
        <v>24</v>
      </c>
      <c r="B2658" t="s">
        <v>2714</v>
      </c>
      <c r="C2658">
        <v>39.379855346497401</v>
      </c>
      <c r="D2658">
        <v>8</v>
      </c>
      <c r="E2658">
        <v>225</v>
      </c>
      <c r="F2658">
        <v>7974.4207079999996</v>
      </c>
      <c r="G2658" t="s">
        <v>48</v>
      </c>
      <c r="H2658">
        <v>39</v>
      </c>
      <c r="I2658">
        <v>29</v>
      </c>
      <c r="J2658">
        <v>70</v>
      </c>
      <c r="K2658">
        <v>3</v>
      </c>
      <c r="L2658" t="s">
        <v>36</v>
      </c>
      <c r="M2658">
        <v>3.3881613741832002</v>
      </c>
      <c r="N2658" t="s">
        <v>37</v>
      </c>
      <c r="O2658" t="s">
        <v>58</v>
      </c>
      <c r="P2658">
        <f>VLOOKUP(O2658, Coordinates!$A$2:$C$6, 2, FALSE)</f>
        <v>34.052199999999999</v>
      </c>
      <c r="Q2658">
        <f>VLOOKUP(O2658, Coordinates!$A$2:$C$6, 3, FALSE)</f>
        <v>-118.2437</v>
      </c>
      <c r="R2658">
        <v>11</v>
      </c>
      <c r="S2658">
        <v>859</v>
      </c>
      <c r="T2658">
        <v>30</v>
      </c>
      <c r="U2658">
        <v>84.112862363268704</v>
      </c>
      <c r="V2658" t="s">
        <v>30</v>
      </c>
      <c r="W2658">
        <v>0.22966903527892399</v>
      </c>
      <c r="X2658" t="s">
        <v>40</v>
      </c>
      <c r="Y2658" t="s">
        <v>60</v>
      </c>
      <c r="Z2658">
        <v>489.245834660372</v>
      </c>
    </row>
    <row r="2659" spans="1:26" x14ac:dyDescent="0.3">
      <c r="A2659" t="s">
        <v>72</v>
      </c>
      <c r="B2659" t="s">
        <v>2715</v>
      </c>
      <c r="C2659">
        <v>30.535804599534899</v>
      </c>
      <c r="D2659">
        <v>23</v>
      </c>
      <c r="E2659">
        <v>999</v>
      </c>
      <c r="F2659">
        <v>27454.741915441798</v>
      </c>
      <c r="G2659" t="s">
        <v>54</v>
      </c>
      <c r="H2659">
        <v>64</v>
      </c>
      <c r="I2659">
        <v>13</v>
      </c>
      <c r="J2659">
        <v>30</v>
      </c>
      <c r="K2659">
        <v>5</v>
      </c>
      <c r="L2659" t="s">
        <v>36</v>
      </c>
      <c r="M2659">
        <v>11.8184830389977</v>
      </c>
      <c r="N2659" t="s">
        <v>28</v>
      </c>
      <c r="O2659" t="s">
        <v>29</v>
      </c>
      <c r="P2659">
        <f>VLOOKUP(O2659, Coordinates!$A$2:$C$6, 2, FALSE)</f>
        <v>29.760400000000001</v>
      </c>
      <c r="Q2659">
        <f>VLOOKUP(O2659, Coordinates!$A$2:$C$6, 3, FALSE)</f>
        <v>-95.369799999999998</v>
      </c>
      <c r="R2659">
        <v>14</v>
      </c>
      <c r="S2659">
        <v>559</v>
      </c>
      <c r="T2659">
        <v>18</v>
      </c>
      <c r="U2659">
        <v>84.462037078509098</v>
      </c>
      <c r="V2659" t="s">
        <v>39</v>
      </c>
      <c r="W2659">
        <v>4.4232454869880602</v>
      </c>
      <c r="X2659" t="s">
        <v>31</v>
      </c>
      <c r="Y2659" t="s">
        <v>41</v>
      </c>
      <c r="Z2659">
        <v>795.77883513074903</v>
      </c>
    </row>
    <row r="2660" spans="1:26" x14ac:dyDescent="0.3">
      <c r="A2660" t="s">
        <v>72</v>
      </c>
      <c r="B2660" t="s">
        <v>2716</v>
      </c>
      <c r="C2660">
        <v>26.648363597130398</v>
      </c>
      <c r="D2660">
        <v>64</v>
      </c>
      <c r="E2660">
        <v>95</v>
      </c>
      <c r="F2660">
        <v>2278.4350875546502</v>
      </c>
      <c r="G2660" t="s">
        <v>26</v>
      </c>
      <c r="H2660">
        <v>34</v>
      </c>
      <c r="I2660">
        <v>22</v>
      </c>
      <c r="J2660">
        <v>19</v>
      </c>
      <c r="K2660">
        <v>10</v>
      </c>
      <c r="L2660" t="s">
        <v>36</v>
      </c>
      <c r="M2660">
        <v>6.6957007425188202</v>
      </c>
      <c r="N2660" t="s">
        <v>28</v>
      </c>
      <c r="O2660" t="s">
        <v>38</v>
      </c>
      <c r="P2660">
        <f>VLOOKUP(O2660, Coordinates!$A$2:$C$6, 2, FALSE)</f>
        <v>25.761700000000001</v>
      </c>
      <c r="Q2660">
        <f>VLOOKUP(O2660, Coordinates!$A$2:$C$6, 3, FALSE)</f>
        <v>-80.191800000000001</v>
      </c>
      <c r="R2660">
        <v>5</v>
      </c>
      <c r="S2660">
        <v>199</v>
      </c>
      <c r="T2660">
        <v>11</v>
      </c>
      <c r="U2660">
        <v>93.262515378249304</v>
      </c>
      <c r="V2660" t="s">
        <v>55</v>
      </c>
      <c r="W2660">
        <v>0.33891170356477102</v>
      </c>
      <c r="X2660" t="s">
        <v>31</v>
      </c>
      <c r="Y2660" t="s">
        <v>60</v>
      </c>
      <c r="Z2660">
        <v>205.20486833351799</v>
      </c>
    </row>
    <row r="2661" spans="1:26" x14ac:dyDescent="0.3">
      <c r="A2661" t="s">
        <v>61</v>
      </c>
      <c r="B2661" t="s">
        <v>2717</v>
      </c>
      <c r="C2661">
        <v>79.835507888725104</v>
      </c>
      <c r="D2661">
        <v>93</v>
      </c>
      <c r="E2661">
        <v>415</v>
      </c>
      <c r="F2661">
        <v>2815.29966367922</v>
      </c>
      <c r="G2661" t="s">
        <v>26</v>
      </c>
      <c r="H2661">
        <v>68</v>
      </c>
      <c r="I2661">
        <v>7</v>
      </c>
      <c r="J2661">
        <v>39</v>
      </c>
      <c r="K2661">
        <v>6</v>
      </c>
      <c r="L2661" t="s">
        <v>36</v>
      </c>
      <c r="M2661">
        <v>6.0460436279999996</v>
      </c>
      <c r="N2661" t="s">
        <v>57</v>
      </c>
      <c r="O2661" t="s">
        <v>29</v>
      </c>
      <c r="P2661">
        <f>VLOOKUP(O2661, Coordinates!$A$2:$C$6, 2, FALSE)</f>
        <v>29.760400000000001</v>
      </c>
      <c r="Q2661">
        <f>VLOOKUP(O2661, Coordinates!$A$2:$C$6, 3, FALSE)</f>
        <v>-95.369799999999998</v>
      </c>
      <c r="R2661">
        <v>13</v>
      </c>
      <c r="S2661">
        <v>838</v>
      </c>
      <c r="T2661">
        <v>19</v>
      </c>
      <c r="U2661">
        <v>65.017698885333004</v>
      </c>
      <c r="V2661" t="s">
        <v>30</v>
      </c>
      <c r="W2661">
        <v>0.152955639231867</v>
      </c>
      <c r="X2661" t="s">
        <v>52</v>
      </c>
      <c r="Y2661" t="s">
        <v>41</v>
      </c>
      <c r="Z2661">
        <v>573.10195695689504</v>
      </c>
    </row>
    <row r="2662" spans="1:26" x14ac:dyDescent="0.3">
      <c r="A2662" t="s">
        <v>33</v>
      </c>
      <c r="B2662" t="s">
        <v>2718</v>
      </c>
      <c r="C2662">
        <v>31.919586544656202</v>
      </c>
      <c r="D2662">
        <v>20</v>
      </c>
      <c r="E2662">
        <v>12</v>
      </c>
      <c r="F2662">
        <v>4867.7084296809999</v>
      </c>
      <c r="G2662" t="s">
        <v>26</v>
      </c>
      <c r="H2662">
        <v>49</v>
      </c>
      <c r="I2662">
        <v>22</v>
      </c>
      <c r="J2662">
        <v>33</v>
      </c>
      <c r="K2662">
        <v>9</v>
      </c>
      <c r="L2662" t="s">
        <v>44</v>
      </c>
      <c r="M2662">
        <v>8.2894152016274401</v>
      </c>
      <c r="N2662" t="s">
        <v>51</v>
      </c>
      <c r="O2662" t="s">
        <v>65</v>
      </c>
      <c r="P2662">
        <f>VLOOKUP(O2662, Coordinates!$A$2:$C$6, 2, FALSE)</f>
        <v>41.878100000000003</v>
      </c>
      <c r="Q2662">
        <f>VLOOKUP(O2662, Coordinates!$A$2:$C$6, 3, FALSE)</f>
        <v>-87.629800000000003</v>
      </c>
      <c r="R2662">
        <v>12</v>
      </c>
      <c r="S2662">
        <v>218</v>
      </c>
      <c r="T2662">
        <v>19</v>
      </c>
      <c r="U2662">
        <v>37.858426487950297</v>
      </c>
      <c r="V2662" t="s">
        <v>39</v>
      </c>
      <c r="W2662">
        <v>1.00778705011012E-2</v>
      </c>
      <c r="X2662" t="s">
        <v>52</v>
      </c>
      <c r="Y2662" t="s">
        <v>60</v>
      </c>
      <c r="Z2662">
        <v>119.69691469254199</v>
      </c>
    </row>
    <row r="2663" spans="1:26" x14ac:dyDescent="0.3">
      <c r="A2663" t="s">
        <v>49</v>
      </c>
      <c r="B2663" t="s">
        <v>2719</v>
      </c>
      <c r="C2663">
        <v>84.537535731072694</v>
      </c>
      <c r="D2663">
        <v>16</v>
      </c>
      <c r="E2663">
        <v>548</v>
      </c>
      <c r="F2663">
        <v>5446.3858019999998</v>
      </c>
      <c r="G2663" t="s">
        <v>54</v>
      </c>
      <c r="H2663">
        <v>11</v>
      </c>
      <c r="I2663">
        <v>21</v>
      </c>
      <c r="J2663">
        <v>57</v>
      </c>
      <c r="K2663">
        <v>8</v>
      </c>
      <c r="L2663" t="s">
        <v>36</v>
      </c>
      <c r="M2663">
        <v>1.47251482288441</v>
      </c>
      <c r="N2663" t="s">
        <v>28</v>
      </c>
      <c r="O2663" t="s">
        <v>29</v>
      </c>
      <c r="P2663">
        <f>VLOOKUP(O2663, Coordinates!$A$2:$C$6, 2, FALSE)</f>
        <v>29.760400000000001</v>
      </c>
      <c r="Q2663">
        <f>VLOOKUP(O2663, Coordinates!$A$2:$C$6, 3, FALSE)</f>
        <v>-95.369799999999998</v>
      </c>
      <c r="R2663">
        <v>26</v>
      </c>
      <c r="S2663">
        <v>453</v>
      </c>
      <c r="T2663">
        <v>18</v>
      </c>
      <c r="U2663">
        <v>24.3194535237384</v>
      </c>
      <c r="V2663" t="s">
        <v>30</v>
      </c>
      <c r="W2663">
        <v>3.4187224581642699</v>
      </c>
      <c r="X2663" t="s">
        <v>46</v>
      </c>
      <c r="Y2663" t="s">
        <v>32</v>
      </c>
      <c r="Z2663">
        <v>465.643968284072</v>
      </c>
    </row>
    <row r="2664" spans="1:26" x14ac:dyDescent="0.3">
      <c r="A2664" t="s">
        <v>49</v>
      </c>
      <c r="B2664" t="s">
        <v>2720</v>
      </c>
      <c r="C2664">
        <v>56.584822597500498</v>
      </c>
      <c r="D2664">
        <v>17</v>
      </c>
      <c r="E2664">
        <v>472</v>
      </c>
      <c r="F2664">
        <v>1496.9586407536499</v>
      </c>
      <c r="G2664" t="s">
        <v>48</v>
      </c>
      <c r="H2664">
        <v>75</v>
      </c>
      <c r="I2664">
        <v>6</v>
      </c>
      <c r="J2664">
        <v>64</v>
      </c>
      <c r="K2664">
        <v>2</v>
      </c>
      <c r="L2664" t="s">
        <v>27</v>
      </c>
      <c r="M2664">
        <v>5.3754146929970696</v>
      </c>
      <c r="N2664" t="s">
        <v>37</v>
      </c>
      <c r="O2664" t="s">
        <v>65</v>
      </c>
      <c r="P2664">
        <f>VLOOKUP(O2664, Coordinates!$A$2:$C$6, 2, FALSE)</f>
        <v>41.878100000000003</v>
      </c>
      <c r="Q2664">
        <f>VLOOKUP(O2664, Coordinates!$A$2:$C$6, 3, FALSE)</f>
        <v>-87.629800000000003</v>
      </c>
      <c r="R2664">
        <v>24</v>
      </c>
      <c r="S2664">
        <v>807</v>
      </c>
      <c r="T2664">
        <v>13</v>
      </c>
      <c r="U2664">
        <v>75.116126628035403</v>
      </c>
      <c r="V2664" t="s">
        <v>30</v>
      </c>
      <c r="W2664">
        <v>2.27960043611334</v>
      </c>
      <c r="X2664" t="s">
        <v>40</v>
      </c>
      <c r="Y2664" t="s">
        <v>32</v>
      </c>
      <c r="Z2664">
        <v>428.28969020876002</v>
      </c>
    </row>
    <row r="2665" spans="1:26" x14ac:dyDescent="0.3">
      <c r="A2665" t="s">
        <v>42</v>
      </c>
      <c r="B2665" t="s">
        <v>2721</v>
      </c>
      <c r="C2665">
        <v>40.511770342365203</v>
      </c>
      <c r="D2665">
        <v>80</v>
      </c>
      <c r="E2665">
        <v>827</v>
      </c>
      <c r="F2665">
        <v>9591.7376202404994</v>
      </c>
      <c r="G2665" t="s">
        <v>35</v>
      </c>
      <c r="H2665">
        <v>2</v>
      </c>
      <c r="I2665">
        <v>29</v>
      </c>
      <c r="J2665">
        <v>61</v>
      </c>
      <c r="K2665">
        <v>2</v>
      </c>
      <c r="L2665" t="s">
        <v>44</v>
      </c>
      <c r="M2665">
        <v>3.32701692332776</v>
      </c>
      <c r="N2665" t="s">
        <v>28</v>
      </c>
      <c r="O2665" t="s">
        <v>67</v>
      </c>
      <c r="P2665">
        <f>VLOOKUP(O2665, Coordinates!$A$2:$C$6, 2, FALSE)</f>
        <v>40.712800000000001</v>
      </c>
      <c r="Q2665">
        <f>VLOOKUP(O2665, Coordinates!$A$2:$C$6, 3, FALSE)</f>
        <v>-74.006</v>
      </c>
      <c r="R2665">
        <v>19</v>
      </c>
      <c r="S2665">
        <v>187</v>
      </c>
      <c r="T2665">
        <v>25</v>
      </c>
      <c r="U2665">
        <v>91.415834219999994</v>
      </c>
      <c r="V2665" t="s">
        <v>39</v>
      </c>
      <c r="W2665">
        <v>0.51408847099999999</v>
      </c>
      <c r="X2665" t="s">
        <v>52</v>
      </c>
      <c r="Y2665" t="s">
        <v>60</v>
      </c>
      <c r="Z2665">
        <v>980.31935500323596</v>
      </c>
    </row>
    <row r="2666" spans="1:26" x14ac:dyDescent="0.3">
      <c r="A2666" t="s">
        <v>42</v>
      </c>
      <c r="B2666" t="s">
        <v>2722</v>
      </c>
      <c r="C2666">
        <v>64.406346171902101</v>
      </c>
      <c r="D2666">
        <v>19</v>
      </c>
      <c r="E2666">
        <v>891</v>
      </c>
      <c r="F2666">
        <v>2157.1953471718998</v>
      </c>
      <c r="G2666" t="s">
        <v>35</v>
      </c>
      <c r="H2666">
        <v>1</v>
      </c>
      <c r="I2666">
        <v>22</v>
      </c>
      <c r="J2666">
        <v>47</v>
      </c>
      <c r="K2666">
        <v>5</v>
      </c>
      <c r="L2666" t="s">
        <v>27</v>
      </c>
      <c r="M2666">
        <v>2.9416725918422602</v>
      </c>
      <c r="N2666" t="s">
        <v>28</v>
      </c>
      <c r="O2666" t="s">
        <v>67</v>
      </c>
      <c r="P2666">
        <f>VLOOKUP(O2666, Coordinates!$A$2:$C$6, 2, FALSE)</f>
        <v>40.712800000000001</v>
      </c>
      <c r="Q2666">
        <f>VLOOKUP(O2666, Coordinates!$A$2:$C$6, 3, FALSE)</f>
        <v>-74.006</v>
      </c>
      <c r="R2666">
        <v>10</v>
      </c>
      <c r="S2666">
        <v>135</v>
      </c>
      <c r="T2666">
        <v>4</v>
      </c>
      <c r="U2666">
        <v>26.5224199330031</v>
      </c>
      <c r="V2666" t="s">
        <v>55</v>
      </c>
      <c r="W2666">
        <v>4.2810426132778003</v>
      </c>
      <c r="X2666" t="s">
        <v>46</v>
      </c>
      <c r="Y2666" t="s">
        <v>41</v>
      </c>
      <c r="Z2666">
        <v>458.06375121327301</v>
      </c>
    </row>
    <row r="2667" spans="1:26" x14ac:dyDescent="0.3">
      <c r="A2667" t="s">
        <v>24</v>
      </c>
      <c r="B2667" t="s">
        <v>2723</v>
      </c>
      <c r="C2667">
        <v>23.699014332931998</v>
      </c>
      <c r="D2667">
        <v>8</v>
      </c>
      <c r="E2667">
        <v>273</v>
      </c>
      <c r="F2667">
        <v>5822.8478216014</v>
      </c>
      <c r="G2667" t="s">
        <v>54</v>
      </c>
      <c r="H2667">
        <v>82</v>
      </c>
      <c r="I2667">
        <v>16</v>
      </c>
      <c r="J2667">
        <v>76</v>
      </c>
      <c r="K2667">
        <v>5</v>
      </c>
      <c r="L2667" t="s">
        <v>36</v>
      </c>
      <c r="M2667">
        <v>5.7227671402813698</v>
      </c>
      <c r="N2667" t="s">
        <v>28</v>
      </c>
      <c r="O2667" t="s">
        <v>58</v>
      </c>
      <c r="P2667">
        <f>VLOOKUP(O2667, Coordinates!$A$2:$C$6, 2, FALSE)</f>
        <v>34.052199999999999</v>
      </c>
      <c r="Q2667">
        <f>VLOOKUP(O2667, Coordinates!$A$2:$C$6, 3, FALSE)</f>
        <v>-118.2437</v>
      </c>
      <c r="R2667">
        <v>13</v>
      </c>
      <c r="S2667">
        <v>413</v>
      </c>
      <c r="T2667">
        <v>3</v>
      </c>
      <c r="U2667">
        <v>79.110299747866193</v>
      </c>
      <c r="V2667" t="s">
        <v>30</v>
      </c>
      <c r="W2667">
        <v>1.0136013704620299</v>
      </c>
      <c r="X2667" t="s">
        <v>52</v>
      </c>
      <c r="Y2667" t="s">
        <v>60</v>
      </c>
      <c r="Z2667">
        <v>916.38295639375599</v>
      </c>
    </row>
    <row r="2668" spans="1:26" x14ac:dyDescent="0.3">
      <c r="A2668" t="s">
        <v>49</v>
      </c>
      <c r="B2668" t="s">
        <v>2724</v>
      </c>
      <c r="C2668">
        <v>18.5812833720714</v>
      </c>
      <c r="D2668">
        <v>38</v>
      </c>
      <c r="E2668">
        <v>195</v>
      </c>
      <c r="F2668">
        <v>5556.0793248179198</v>
      </c>
      <c r="G2668" t="s">
        <v>54</v>
      </c>
      <c r="H2668">
        <v>62</v>
      </c>
      <c r="I2668">
        <v>3</v>
      </c>
      <c r="J2668">
        <v>17</v>
      </c>
      <c r="K2668">
        <v>5</v>
      </c>
      <c r="L2668" t="s">
        <v>27</v>
      </c>
      <c r="M2668">
        <v>12.2317010121499</v>
      </c>
      <c r="N2668" t="s">
        <v>28</v>
      </c>
      <c r="O2668" t="s">
        <v>38</v>
      </c>
      <c r="P2668">
        <f>VLOOKUP(O2668, Coordinates!$A$2:$C$6, 2, FALSE)</f>
        <v>25.761700000000001</v>
      </c>
      <c r="Q2668">
        <f>VLOOKUP(O2668, Coordinates!$A$2:$C$6, 3, FALSE)</f>
        <v>-80.191800000000001</v>
      </c>
      <c r="R2668">
        <v>15</v>
      </c>
      <c r="S2668">
        <v>639</v>
      </c>
      <c r="T2668">
        <v>16</v>
      </c>
      <c r="U2668">
        <v>22.616389828408899</v>
      </c>
      <c r="V2668" t="s">
        <v>30</v>
      </c>
      <c r="W2668">
        <v>1.6316207948553401</v>
      </c>
      <c r="X2668" t="s">
        <v>40</v>
      </c>
      <c r="Y2668" t="s">
        <v>32</v>
      </c>
      <c r="Z2668">
        <v>491.76981265307302</v>
      </c>
    </row>
    <row r="2669" spans="1:26" x14ac:dyDescent="0.3">
      <c r="A2669" t="s">
        <v>24</v>
      </c>
      <c r="B2669" t="s">
        <v>2725</v>
      </c>
      <c r="C2669">
        <v>23.243493907411299</v>
      </c>
      <c r="D2669">
        <v>38</v>
      </c>
      <c r="E2669">
        <v>865</v>
      </c>
      <c r="F2669">
        <v>18095.060006919699</v>
      </c>
      <c r="G2669" t="s">
        <v>54</v>
      </c>
      <c r="H2669">
        <v>72</v>
      </c>
      <c r="I2669">
        <v>9</v>
      </c>
      <c r="J2669">
        <v>38</v>
      </c>
      <c r="K2669">
        <v>4</v>
      </c>
      <c r="L2669" t="s">
        <v>36</v>
      </c>
      <c r="M2669">
        <v>3.8155549499709598</v>
      </c>
      <c r="N2669" t="s">
        <v>37</v>
      </c>
      <c r="O2669" t="s">
        <v>67</v>
      </c>
      <c r="P2669">
        <f>VLOOKUP(O2669, Coordinates!$A$2:$C$6, 2, FALSE)</f>
        <v>40.712800000000001</v>
      </c>
      <c r="Q2669">
        <f>VLOOKUP(O2669, Coordinates!$A$2:$C$6, 3, FALSE)</f>
        <v>-74.006</v>
      </c>
      <c r="R2669">
        <v>20</v>
      </c>
      <c r="S2669">
        <v>650</v>
      </c>
      <c r="T2669">
        <v>14</v>
      </c>
      <c r="U2669">
        <v>92.897948012976798</v>
      </c>
      <c r="V2669" t="s">
        <v>30</v>
      </c>
      <c r="W2669">
        <v>0.88860736924138495</v>
      </c>
      <c r="X2669" t="s">
        <v>40</v>
      </c>
      <c r="Y2669" t="s">
        <v>60</v>
      </c>
      <c r="Z2669">
        <v>580.04902447066297</v>
      </c>
    </row>
    <row r="2670" spans="1:26" x14ac:dyDescent="0.3">
      <c r="A2670" t="s">
        <v>24</v>
      </c>
      <c r="B2670" t="s">
        <v>2726</v>
      </c>
      <c r="C2670">
        <v>24.7586787893989</v>
      </c>
      <c r="D2670">
        <v>53</v>
      </c>
      <c r="E2670">
        <v>679</v>
      </c>
      <c r="F2670">
        <v>15130.028608201699</v>
      </c>
      <c r="G2670" t="s">
        <v>54</v>
      </c>
      <c r="H2670">
        <v>48</v>
      </c>
      <c r="I2670">
        <v>15</v>
      </c>
      <c r="J2670">
        <v>19</v>
      </c>
      <c r="K2670">
        <v>8</v>
      </c>
      <c r="L2670" t="s">
        <v>27</v>
      </c>
      <c r="M2670">
        <v>8.43982098205373</v>
      </c>
      <c r="N2670" t="s">
        <v>57</v>
      </c>
      <c r="O2670" t="s">
        <v>38</v>
      </c>
      <c r="P2670">
        <f>VLOOKUP(O2670, Coordinates!$A$2:$C$6, 2, FALSE)</f>
        <v>25.761700000000001</v>
      </c>
      <c r="Q2670">
        <f>VLOOKUP(O2670, Coordinates!$A$2:$C$6, 3, FALSE)</f>
        <v>-80.191800000000001</v>
      </c>
      <c r="R2670">
        <v>13</v>
      </c>
      <c r="S2670">
        <v>421</v>
      </c>
      <c r="T2670">
        <v>10</v>
      </c>
      <c r="U2670">
        <v>86.422535952807095</v>
      </c>
      <c r="V2670" t="s">
        <v>55</v>
      </c>
      <c r="W2670">
        <v>4.63378148861303</v>
      </c>
      <c r="X2670" t="s">
        <v>40</v>
      </c>
      <c r="Y2670" t="s">
        <v>41</v>
      </c>
      <c r="Z2670">
        <v>415.644513077498</v>
      </c>
    </row>
    <row r="2671" spans="1:26" x14ac:dyDescent="0.3">
      <c r="A2671" t="s">
        <v>42</v>
      </c>
      <c r="B2671" t="s">
        <v>2727</v>
      </c>
      <c r="C2671">
        <v>61.810866146231199</v>
      </c>
      <c r="D2671">
        <v>93</v>
      </c>
      <c r="E2671">
        <v>65</v>
      </c>
      <c r="F2671">
        <v>8666.5312790000007</v>
      </c>
      <c r="G2671" t="s">
        <v>35</v>
      </c>
      <c r="H2671">
        <v>35</v>
      </c>
      <c r="I2671">
        <v>21</v>
      </c>
      <c r="J2671">
        <v>78</v>
      </c>
      <c r="K2671">
        <v>5</v>
      </c>
      <c r="L2671" t="s">
        <v>44</v>
      </c>
      <c r="M2671">
        <v>11.4811867164921</v>
      </c>
      <c r="N2671" t="s">
        <v>51</v>
      </c>
      <c r="O2671" t="s">
        <v>58</v>
      </c>
      <c r="P2671">
        <f>VLOOKUP(O2671, Coordinates!$A$2:$C$6, 2, FALSE)</f>
        <v>34.052199999999999</v>
      </c>
      <c r="Q2671">
        <f>VLOOKUP(O2671, Coordinates!$A$2:$C$6, 3, FALSE)</f>
        <v>-118.2437</v>
      </c>
      <c r="R2671">
        <v>4</v>
      </c>
      <c r="S2671">
        <v>526</v>
      </c>
      <c r="T2671">
        <v>6</v>
      </c>
      <c r="U2671">
        <v>23.2633793580613</v>
      </c>
      <c r="V2671" t="s">
        <v>30</v>
      </c>
      <c r="W2671">
        <v>3.7903339158601699</v>
      </c>
      <c r="X2671" t="s">
        <v>40</v>
      </c>
      <c r="Y2671" t="s">
        <v>41</v>
      </c>
      <c r="Z2671">
        <v>676.01398941417199</v>
      </c>
    </row>
    <row r="2672" spans="1:26" x14ac:dyDescent="0.3">
      <c r="A2672" t="s">
        <v>33</v>
      </c>
      <c r="B2672" t="s">
        <v>2728</v>
      </c>
      <c r="C2672">
        <v>41.584747268187797</v>
      </c>
      <c r="D2672">
        <v>100</v>
      </c>
      <c r="E2672">
        <v>442</v>
      </c>
      <c r="F2672">
        <v>5718.3213511345102</v>
      </c>
      <c r="G2672" t="s">
        <v>48</v>
      </c>
      <c r="H2672">
        <v>53</v>
      </c>
      <c r="I2672">
        <v>18</v>
      </c>
      <c r="J2672">
        <v>84</v>
      </c>
      <c r="K2672">
        <v>1</v>
      </c>
      <c r="L2672" t="s">
        <v>27</v>
      </c>
      <c r="M2672">
        <v>4.3736014890000003</v>
      </c>
      <c r="N2672" t="s">
        <v>37</v>
      </c>
      <c r="O2672" t="s">
        <v>38</v>
      </c>
      <c r="P2672">
        <f>VLOOKUP(O2672, Coordinates!$A$2:$C$6, 2, FALSE)</f>
        <v>25.761700000000001</v>
      </c>
      <c r="Q2672">
        <f>VLOOKUP(O2672, Coordinates!$A$2:$C$6, 3, FALSE)</f>
        <v>-80.191800000000001</v>
      </c>
      <c r="R2672">
        <v>22</v>
      </c>
      <c r="S2672">
        <v>616</v>
      </c>
      <c r="T2672">
        <v>8</v>
      </c>
      <c r="U2672">
        <v>49.158104209999998</v>
      </c>
      <c r="V2672" t="s">
        <v>30</v>
      </c>
      <c r="W2672">
        <v>3.6197669832213601</v>
      </c>
      <c r="X2672" t="s">
        <v>31</v>
      </c>
      <c r="Y2672" t="s">
        <v>41</v>
      </c>
      <c r="Z2672">
        <v>765.20827870000005</v>
      </c>
    </row>
    <row r="2673" spans="1:26" x14ac:dyDescent="0.3">
      <c r="A2673" t="s">
        <v>24</v>
      </c>
      <c r="B2673" t="s">
        <v>2729</v>
      </c>
      <c r="C2673">
        <v>29.524130334578899</v>
      </c>
      <c r="D2673">
        <v>90</v>
      </c>
      <c r="E2673">
        <v>268</v>
      </c>
      <c r="F2673">
        <v>7121.2202367004502</v>
      </c>
      <c r="G2673" t="s">
        <v>35</v>
      </c>
      <c r="H2673">
        <v>46</v>
      </c>
      <c r="I2673">
        <v>30</v>
      </c>
      <c r="J2673">
        <v>77</v>
      </c>
      <c r="K2673">
        <v>10</v>
      </c>
      <c r="L2673" t="s">
        <v>44</v>
      </c>
      <c r="M2673">
        <v>13.9388461405808</v>
      </c>
      <c r="N2673" t="s">
        <v>37</v>
      </c>
      <c r="O2673" t="s">
        <v>67</v>
      </c>
      <c r="P2673">
        <f>VLOOKUP(O2673, Coordinates!$A$2:$C$6, 2, FALSE)</f>
        <v>40.712800000000001</v>
      </c>
      <c r="Q2673">
        <f>VLOOKUP(O2673, Coordinates!$A$2:$C$6, 3, FALSE)</f>
        <v>-74.006</v>
      </c>
      <c r="R2673">
        <v>9</v>
      </c>
      <c r="S2673">
        <v>752</v>
      </c>
      <c r="T2673">
        <v>27</v>
      </c>
      <c r="U2673">
        <v>85.736850982474905</v>
      </c>
      <c r="V2673" t="s">
        <v>30</v>
      </c>
      <c r="W2673">
        <v>0.21998015036396501</v>
      </c>
      <c r="X2673" t="s">
        <v>40</v>
      </c>
      <c r="Y2673" t="s">
        <v>41</v>
      </c>
      <c r="Z2673">
        <v>811.95403167129803</v>
      </c>
    </row>
    <row r="2674" spans="1:26" x14ac:dyDescent="0.3">
      <c r="A2674" t="s">
        <v>82</v>
      </c>
      <c r="B2674" t="s">
        <v>2730</v>
      </c>
      <c r="C2674">
        <v>95.479454069681097</v>
      </c>
      <c r="D2674">
        <v>31</v>
      </c>
      <c r="E2674">
        <v>801</v>
      </c>
      <c r="F2674">
        <v>2094.6060161208402</v>
      </c>
      <c r="G2674" t="s">
        <v>54</v>
      </c>
      <c r="H2674">
        <v>31</v>
      </c>
      <c r="I2674">
        <v>30</v>
      </c>
      <c r="J2674">
        <v>58</v>
      </c>
      <c r="K2674">
        <v>5</v>
      </c>
      <c r="L2674" t="s">
        <v>27</v>
      </c>
      <c r="M2674">
        <v>13.1309706466424</v>
      </c>
      <c r="N2674" t="s">
        <v>45</v>
      </c>
      <c r="O2674" t="s">
        <v>38</v>
      </c>
      <c r="P2674">
        <f>VLOOKUP(O2674, Coordinates!$A$2:$C$6, 2, FALSE)</f>
        <v>25.761700000000001</v>
      </c>
      <c r="Q2674">
        <f>VLOOKUP(O2674, Coordinates!$A$2:$C$6, 3, FALSE)</f>
        <v>-80.191800000000001</v>
      </c>
      <c r="R2674">
        <v>28</v>
      </c>
      <c r="S2674">
        <v>839</v>
      </c>
      <c r="T2674">
        <v>24</v>
      </c>
      <c r="U2674">
        <v>44.962997516568798</v>
      </c>
      <c r="V2674" t="s">
        <v>39</v>
      </c>
      <c r="W2674">
        <v>3.55086074099244</v>
      </c>
      <c r="X2674" t="s">
        <v>40</v>
      </c>
      <c r="Y2674" t="s">
        <v>32</v>
      </c>
      <c r="Z2674">
        <v>724.54559119194596</v>
      </c>
    </row>
    <row r="2675" spans="1:26" x14ac:dyDescent="0.3">
      <c r="A2675" t="s">
        <v>33</v>
      </c>
      <c r="B2675" t="s">
        <v>2731</v>
      </c>
      <c r="C2675">
        <v>88.938649195167997</v>
      </c>
      <c r="D2675">
        <v>44</v>
      </c>
      <c r="E2675">
        <v>99</v>
      </c>
      <c r="F2675">
        <v>4270.5323148891302</v>
      </c>
      <c r="G2675" t="s">
        <v>26</v>
      </c>
      <c r="H2675">
        <v>98</v>
      </c>
      <c r="I2675">
        <v>28</v>
      </c>
      <c r="J2675">
        <v>67</v>
      </c>
      <c r="K2675">
        <v>1</v>
      </c>
      <c r="L2675" t="s">
        <v>27</v>
      </c>
      <c r="M2675">
        <v>4.5164949642737904</v>
      </c>
      <c r="N2675" t="s">
        <v>51</v>
      </c>
      <c r="O2675" t="s">
        <v>29</v>
      </c>
      <c r="P2675">
        <f>VLOOKUP(O2675, Coordinates!$A$2:$C$6, 2, FALSE)</f>
        <v>29.760400000000001</v>
      </c>
      <c r="Q2675">
        <f>VLOOKUP(O2675, Coordinates!$A$2:$C$6, 3, FALSE)</f>
        <v>-95.369799999999998</v>
      </c>
      <c r="R2675">
        <v>19</v>
      </c>
      <c r="S2675">
        <v>108</v>
      </c>
      <c r="T2675">
        <v>16</v>
      </c>
      <c r="U2675">
        <v>77.782576520000006</v>
      </c>
      <c r="V2675" t="s">
        <v>55</v>
      </c>
      <c r="W2675">
        <v>2.8772621837236998</v>
      </c>
      <c r="X2675" t="s">
        <v>46</v>
      </c>
      <c r="Y2675" t="s">
        <v>41</v>
      </c>
      <c r="Z2675">
        <v>396.9528019</v>
      </c>
    </row>
    <row r="2676" spans="1:26" x14ac:dyDescent="0.3">
      <c r="A2676" t="s">
        <v>49</v>
      </c>
      <c r="B2676" t="s">
        <v>2732</v>
      </c>
      <c r="C2676">
        <v>30.7088994958916</v>
      </c>
      <c r="D2676">
        <v>60</v>
      </c>
      <c r="E2676">
        <v>557</v>
      </c>
      <c r="F2676">
        <v>3298.8545294148098</v>
      </c>
      <c r="G2676" t="s">
        <v>35</v>
      </c>
      <c r="H2676">
        <v>94</v>
      </c>
      <c r="I2676">
        <v>10</v>
      </c>
      <c r="J2676">
        <v>44</v>
      </c>
      <c r="K2676">
        <v>4</v>
      </c>
      <c r="L2676" t="s">
        <v>44</v>
      </c>
      <c r="M2676">
        <v>14.854932943121099</v>
      </c>
      <c r="N2676" t="s">
        <v>57</v>
      </c>
      <c r="O2676" t="s">
        <v>29</v>
      </c>
      <c r="P2676">
        <f>VLOOKUP(O2676, Coordinates!$A$2:$C$6, 2, FALSE)</f>
        <v>29.760400000000001</v>
      </c>
      <c r="Q2676">
        <f>VLOOKUP(O2676, Coordinates!$A$2:$C$6, 3, FALSE)</f>
        <v>-95.369799999999998</v>
      </c>
      <c r="R2676">
        <v>20</v>
      </c>
      <c r="S2676">
        <v>458</v>
      </c>
      <c r="T2676">
        <v>10</v>
      </c>
      <c r="U2676">
        <v>69.507003930000295</v>
      </c>
      <c r="V2676" t="s">
        <v>30</v>
      </c>
      <c r="W2676">
        <v>1.9126042004134101</v>
      </c>
      <c r="X2676" t="s">
        <v>40</v>
      </c>
      <c r="Y2676" t="s">
        <v>41</v>
      </c>
      <c r="Z2676">
        <v>397.53629140963102</v>
      </c>
    </row>
    <row r="2677" spans="1:26" x14ac:dyDescent="0.3">
      <c r="A2677" t="s">
        <v>49</v>
      </c>
      <c r="B2677" t="s">
        <v>2733</v>
      </c>
      <c r="C2677">
        <v>23.445472559377802</v>
      </c>
      <c r="D2677">
        <v>76</v>
      </c>
      <c r="E2677">
        <v>930</v>
      </c>
      <c r="F2677">
        <v>5560.2208090566801</v>
      </c>
      <c r="G2677" t="s">
        <v>26</v>
      </c>
      <c r="H2677">
        <v>52</v>
      </c>
      <c r="I2677">
        <v>10</v>
      </c>
      <c r="J2677">
        <v>59</v>
      </c>
      <c r="K2677">
        <v>1</v>
      </c>
      <c r="L2677" t="s">
        <v>44</v>
      </c>
      <c r="M2677">
        <v>10.368395317610201</v>
      </c>
      <c r="N2677" t="s">
        <v>57</v>
      </c>
      <c r="O2677" t="s">
        <v>29</v>
      </c>
      <c r="P2677">
        <f>VLOOKUP(O2677, Coordinates!$A$2:$C$6, 2, FALSE)</f>
        <v>29.760400000000001</v>
      </c>
      <c r="Q2677">
        <f>VLOOKUP(O2677, Coordinates!$A$2:$C$6, 3, FALSE)</f>
        <v>-95.369799999999998</v>
      </c>
      <c r="R2677">
        <v>22</v>
      </c>
      <c r="S2677">
        <v>577</v>
      </c>
      <c r="T2677">
        <v>22</v>
      </c>
      <c r="U2677">
        <v>97.181826801653699</v>
      </c>
      <c r="V2677" t="s">
        <v>55</v>
      </c>
      <c r="W2677">
        <v>1.60878125148823</v>
      </c>
      <c r="X2677" t="s">
        <v>52</v>
      </c>
      <c r="Y2677" t="s">
        <v>32</v>
      </c>
      <c r="Z2677">
        <v>413.11703948187801</v>
      </c>
    </row>
    <row r="2678" spans="1:26" x14ac:dyDescent="0.3">
      <c r="A2678" t="s">
        <v>24</v>
      </c>
      <c r="B2678" t="s">
        <v>2734</v>
      </c>
      <c r="C2678">
        <v>34.857962770422603</v>
      </c>
      <c r="D2678">
        <v>17</v>
      </c>
      <c r="E2678">
        <v>474</v>
      </c>
      <c r="F2678">
        <v>14870.406917862299</v>
      </c>
      <c r="G2678" t="s">
        <v>26</v>
      </c>
      <c r="H2678">
        <v>31</v>
      </c>
      <c r="I2678">
        <v>23</v>
      </c>
      <c r="J2678">
        <v>49</v>
      </c>
      <c r="K2678">
        <v>6</v>
      </c>
      <c r="L2678" t="s">
        <v>36</v>
      </c>
      <c r="M2678">
        <v>5.0054005238855996</v>
      </c>
      <c r="N2678" t="s">
        <v>45</v>
      </c>
      <c r="O2678" t="s">
        <v>38</v>
      </c>
      <c r="P2678">
        <f>VLOOKUP(O2678, Coordinates!$A$2:$C$6, 2, FALSE)</f>
        <v>25.761700000000001</v>
      </c>
      <c r="Q2678">
        <f>VLOOKUP(O2678, Coordinates!$A$2:$C$6, 3, FALSE)</f>
        <v>-80.191800000000001</v>
      </c>
      <c r="R2678">
        <v>25</v>
      </c>
      <c r="S2678">
        <v>156</v>
      </c>
      <c r="T2678">
        <v>21</v>
      </c>
      <c r="U2678">
        <v>83.329996530220896</v>
      </c>
      <c r="V2678" t="s">
        <v>55</v>
      </c>
      <c r="W2678">
        <v>4.8254166068465398</v>
      </c>
      <c r="X2678" t="s">
        <v>52</v>
      </c>
      <c r="Y2678" t="s">
        <v>41</v>
      </c>
      <c r="Z2678">
        <v>134.04826463973399</v>
      </c>
    </row>
    <row r="2679" spans="1:26" x14ac:dyDescent="0.3">
      <c r="A2679" t="s">
        <v>33</v>
      </c>
      <c r="B2679" t="s">
        <v>2735</v>
      </c>
      <c r="C2679">
        <v>5.6967443294371201</v>
      </c>
      <c r="D2679">
        <v>79</v>
      </c>
      <c r="E2679">
        <v>665</v>
      </c>
      <c r="F2679">
        <v>6174.5814390667701</v>
      </c>
      <c r="G2679" t="s">
        <v>54</v>
      </c>
      <c r="H2679">
        <v>61</v>
      </c>
      <c r="I2679">
        <v>3</v>
      </c>
      <c r="J2679">
        <v>21</v>
      </c>
      <c r="K2679">
        <v>6</v>
      </c>
      <c r="L2679" t="s">
        <v>44</v>
      </c>
      <c r="M2679">
        <v>10.5345243742779</v>
      </c>
      <c r="N2679" t="s">
        <v>45</v>
      </c>
      <c r="O2679" t="s">
        <v>38</v>
      </c>
      <c r="P2679">
        <f>VLOOKUP(O2679, Coordinates!$A$2:$C$6, 2, FALSE)</f>
        <v>25.761700000000001</v>
      </c>
      <c r="Q2679">
        <f>VLOOKUP(O2679, Coordinates!$A$2:$C$6, 3, FALSE)</f>
        <v>-80.191800000000001</v>
      </c>
      <c r="R2679">
        <v>29</v>
      </c>
      <c r="S2679">
        <v>382</v>
      </c>
      <c r="T2679">
        <v>27</v>
      </c>
      <c r="U2679">
        <v>58.893478239329198</v>
      </c>
      <c r="V2679" t="s">
        <v>39</v>
      </c>
      <c r="W2679">
        <v>4.2609101959155602</v>
      </c>
      <c r="X2679" t="s">
        <v>52</v>
      </c>
      <c r="Y2679" t="s">
        <v>32</v>
      </c>
      <c r="Z2679">
        <v>948.74677234216404</v>
      </c>
    </row>
    <row r="2680" spans="1:26" x14ac:dyDescent="0.3">
      <c r="A2680" t="s">
        <v>42</v>
      </c>
      <c r="B2680" t="s">
        <v>2736</v>
      </c>
      <c r="C2680">
        <v>7.4518923220022604</v>
      </c>
      <c r="D2680">
        <v>73</v>
      </c>
      <c r="E2680">
        <v>720</v>
      </c>
      <c r="F2680">
        <v>9009.3795030108795</v>
      </c>
      <c r="G2680" t="s">
        <v>35</v>
      </c>
      <c r="H2680">
        <v>36</v>
      </c>
      <c r="I2680">
        <v>1</v>
      </c>
      <c r="J2680">
        <v>94</v>
      </c>
      <c r="K2680">
        <v>1</v>
      </c>
      <c r="L2680" t="s">
        <v>44</v>
      </c>
      <c r="M2680">
        <v>10.327475785646</v>
      </c>
      <c r="N2680" t="s">
        <v>37</v>
      </c>
      <c r="O2680" t="s">
        <v>58</v>
      </c>
      <c r="P2680">
        <f>VLOOKUP(O2680, Coordinates!$A$2:$C$6, 2, FALSE)</f>
        <v>34.052199999999999</v>
      </c>
      <c r="Q2680">
        <f>VLOOKUP(O2680, Coordinates!$A$2:$C$6, 3, FALSE)</f>
        <v>-118.2437</v>
      </c>
      <c r="R2680">
        <v>15</v>
      </c>
      <c r="S2680">
        <v>544</v>
      </c>
      <c r="T2680">
        <v>7</v>
      </c>
      <c r="U2680">
        <v>50.421353087712397</v>
      </c>
      <c r="V2680" t="s">
        <v>30</v>
      </c>
      <c r="W2680">
        <v>3.1267742413853301</v>
      </c>
      <c r="X2680" t="s">
        <v>31</v>
      </c>
      <c r="Y2680" t="s">
        <v>41</v>
      </c>
      <c r="Z2680">
        <v>276.15270960125201</v>
      </c>
    </row>
    <row r="2681" spans="1:26" x14ac:dyDescent="0.3">
      <c r="A2681" t="s">
        <v>42</v>
      </c>
      <c r="B2681" t="s">
        <v>2737</v>
      </c>
      <c r="C2681">
        <v>57.562610764185003</v>
      </c>
      <c r="D2681">
        <v>39</v>
      </c>
      <c r="E2681">
        <v>783</v>
      </c>
      <c r="F2681">
        <v>6857.9095374619901</v>
      </c>
      <c r="G2681" t="s">
        <v>48</v>
      </c>
      <c r="H2681">
        <v>95</v>
      </c>
      <c r="I2681">
        <v>3</v>
      </c>
      <c r="J2681">
        <v>25</v>
      </c>
      <c r="K2681">
        <v>8</v>
      </c>
      <c r="L2681" t="s">
        <v>36</v>
      </c>
      <c r="M2681">
        <v>9.4867107462806004</v>
      </c>
      <c r="N2681" t="s">
        <v>57</v>
      </c>
      <c r="O2681" t="s">
        <v>65</v>
      </c>
      <c r="P2681">
        <f>VLOOKUP(O2681, Coordinates!$A$2:$C$6, 2, FALSE)</f>
        <v>41.878100000000003</v>
      </c>
      <c r="Q2681">
        <f>VLOOKUP(O2681, Coordinates!$A$2:$C$6, 3, FALSE)</f>
        <v>-87.629800000000003</v>
      </c>
      <c r="R2681">
        <v>17</v>
      </c>
      <c r="S2681">
        <v>560</v>
      </c>
      <c r="T2681">
        <v>19</v>
      </c>
      <c r="U2681">
        <v>92.697049803317398</v>
      </c>
      <c r="V2681" t="s">
        <v>55</v>
      </c>
      <c r="W2681">
        <v>1.97123456978883</v>
      </c>
      <c r="X2681" t="s">
        <v>52</v>
      </c>
      <c r="Y2681" t="s">
        <v>41</v>
      </c>
      <c r="Z2681">
        <v>243.28785575484</v>
      </c>
    </row>
    <row r="2682" spans="1:26" x14ac:dyDescent="0.3">
      <c r="A2682" t="s">
        <v>72</v>
      </c>
      <c r="B2682" t="s">
        <v>2738</v>
      </c>
      <c r="C2682">
        <v>27.974591760722902</v>
      </c>
      <c r="D2682">
        <v>42</v>
      </c>
      <c r="E2682">
        <v>518</v>
      </c>
      <c r="F2682">
        <v>13041.754678849</v>
      </c>
      <c r="G2682" t="s">
        <v>35</v>
      </c>
      <c r="H2682">
        <v>100</v>
      </c>
      <c r="I2682">
        <v>25</v>
      </c>
      <c r="J2682">
        <v>87</v>
      </c>
      <c r="K2682">
        <v>4</v>
      </c>
      <c r="L2682" t="s">
        <v>44</v>
      </c>
      <c r="M2682">
        <v>10.963745555098599</v>
      </c>
      <c r="N2682" t="s">
        <v>57</v>
      </c>
      <c r="O2682" t="s">
        <v>67</v>
      </c>
      <c r="P2682">
        <f>VLOOKUP(O2682, Coordinates!$A$2:$C$6, 2, FALSE)</f>
        <v>40.712800000000001</v>
      </c>
      <c r="Q2682">
        <f>VLOOKUP(O2682, Coordinates!$A$2:$C$6, 3, FALSE)</f>
        <v>-74.006</v>
      </c>
      <c r="R2682">
        <v>14</v>
      </c>
      <c r="S2682">
        <v>589</v>
      </c>
      <c r="T2682">
        <v>28</v>
      </c>
      <c r="U2682">
        <v>85.792881294266806</v>
      </c>
      <c r="V2682" t="s">
        <v>30</v>
      </c>
      <c r="W2682">
        <v>3.32975340571645</v>
      </c>
      <c r="X2682" t="s">
        <v>40</v>
      </c>
      <c r="Y2682" t="s">
        <v>41</v>
      </c>
      <c r="Z2682">
        <v>597.11902252668904</v>
      </c>
    </row>
    <row r="2683" spans="1:26" x14ac:dyDescent="0.3">
      <c r="A2683" t="s">
        <v>49</v>
      </c>
      <c r="B2683" t="s">
        <v>2739</v>
      </c>
      <c r="C2683">
        <v>99.485288960000005</v>
      </c>
      <c r="D2683">
        <v>48</v>
      </c>
      <c r="E2683">
        <v>694</v>
      </c>
      <c r="F2683">
        <v>8691.4680649999991</v>
      </c>
      <c r="G2683" t="s">
        <v>48</v>
      </c>
      <c r="H2683">
        <v>37</v>
      </c>
      <c r="I2683">
        <v>5</v>
      </c>
      <c r="J2683">
        <v>94</v>
      </c>
      <c r="K2683">
        <v>2</v>
      </c>
      <c r="L2683" t="s">
        <v>44</v>
      </c>
      <c r="M2683">
        <v>4.7564196652533601</v>
      </c>
      <c r="N2683" t="s">
        <v>57</v>
      </c>
      <c r="O2683" t="s">
        <v>29</v>
      </c>
      <c r="P2683">
        <f>VLOOKUP(O2683, Coordinates!$A$2:$C$6, 2, FALSE)</f>
        <v>29.760400000000001</v>
      </c>
      <c r="Q2683">
        <f>VLOOKUP(O2683, Coordinates!$A$2:$C$6, 3, FALSE)</f>
        <v>-95.369799999999998</v>
      </c>
      <c r="R2683">
        <v>14</v>
      </c>
      <c r="S2683">
        <v>458</v>
      </c>
      <c r="T2683">
        <v>26</v>
      </c>
      <c r="U2683">
        <v>99.025336069038403</v>
      </c>
      <c r="V2683" t="s">
        <v>39</v>
      </c>
      <c r="W2683">
        <v>0.98958772897518299</v>
      </c>
      <c r="X2683" t="s">
        <v>31</v>
      </c>
      <c r="Y2683" t="s">
        <v>41</v>
      </c>
      <c r="Z2683">
        <v>142.67397201290899</v>
      </c>
    </row>
    <row r="2684" spans="1:26" x14ac:dyDescent="0.3">
      <c r="A2684" t="s">
        <v>61</v>
      </c>
      <c r="B2684" t="s">
        <v>2740</v>
      </c>
      <c r="C2684">
        <v>24.174974359557002</v>
      </c>
      <c r="D2684">
        <v>12</v>
      </c>
      <c r="E2684">
        <v>941</v>
      </c>
      <c r="F2684">
        <v>5242.3129915569698</v>
      </c>
      <c r="G2684" t="s">
        <v>48</v>
      </c>
      <c r="H2684">
        <v>29</v>
      </c>
      <c r="I2684">
        <v>7</v>
      </c>
      <c r="J2684">
        <v>57</v>
      </c>
      <c r="K2684">
        <v>1</v>
      </c>
      <c r="L2684" t="s">
        <v>27</v>
      </c>
      <c r="M2684">
        <v>14.705796798253401</v>
      </c>
      <c r="N2684" t="s">
        <v>37</v>
      </c>
      <c r="O2684" t="s">
        <v>29</v>
      </c>
      <c r="P2684">
        <f>VLOOKUP(O2684, Coordinates!$A$2:$C$6, 2, FALSE)</f>
        <v>29.760400000000001</v>
      </c>
      <c r="Q2684">
        <f>VLOOKUP(O2684, Coordinates!$A$2:$C$6, 3, FALSE)</f>
        <v>-95.369799999999998</v>
      </c>
      <c r="R2684">
        <v>9</v>
      </c>
      <c r="S2684">
        <v>789</v>
      </c>
      <c r="T2684">
        <v>18</v>
      </c>
      <c r="U2684">
        <v>53.176088293527499</v>
      </c>
      <c r="V2684" t="s">
        <v>55</v>
      </c>
      <c r="W2684">
        <v>1.1932967731434301</v>
      </c>
      <c r="X2684" t="s">
        <v>40</v>
      </c>
      <c r="Y2684" t="s">
        <v>60</v>
      </c>
      <c r="Z2684">
        <v>854.05898533228606</v>
      </c>
    </row>
    <row r="2685" spans="1:26" x14ac:dyDescent="0.3">
      <c r="A2685" t="s">
        <v>72</v>
      </c>
      <c r="B2685" t="s">
        <v>2741</v>
      </c>
      <c r="C2685">
        <v>35.6202416385349</v>
      </c>
      <c r="D2685">
        <v>96</v>
      </c>
      <c r="E2685">
        <v>198</v>
      </c>
      <c r="F2685">
        <v>6347.52705998693</v>
      </c>
      <c r="G2685" t="s">
        <v>54</v>
      </c>
      <c r="H2685">
        <v>57</v>
      </c>
      <c r="I2685">
        <v>3</v>
      </c>
      <c r="J2685">
        <v>100</v>
      </c>
      <c r="K2685">
        <v>3</v>
      </c>
      <c r="L2685" t="s">
        <v>36</v>
      </c>
      <c r="M2685">
        <v>13.010540601852201</v>
      </c>
      <c r="N2685" t="s">
        <v>57</v>
      </c>
      <c r="O2685" t="s">
        <v>38</v>
      </c>
      <c r="P2685">
        <f>VLOOKUP(O2685, Coordinates!$A$2:$C$6, 2, FALSE)</f>
        <v>25.761700000000001</v>
      </c>
      <c r="Q2685">
        <f>VLOOKUP(O2685, Coordinates!$A$2:$C$6, 3, FALSE)</f>
        <v>-80.191800000000001</v>
      </c>
      <c r="R2685">
        <v>16</v>
      </c>
      <c r="S2685">
        <v>693</v>
      </c>
      <c r="T2685">
        <v>13</v>
      </c>
      <c r="U2685">
        <v>91.065804773425</v>
      </c>
      <c r="V2685" t="s">
        <v>39</v>
      </c>
      <c r="W2685">
        <v>2.934269033384</v>
      </c>
      <c r="X2685" t="s">
        <v>46</v>
      </c>
      <c r="Y2685" t="s">
        <v>60</v>
      </c>
      <c r="Z2685">
        <v>888.580498552937</v>
      </c>
    </row>
    <row r="2686" spans="1:26" x14ac:dyDescent="0.3">
      <c r="A2686" t="s">
        <v>42</v>
      </c>
      <c r="B2686" t="s">
        <v>2742</v>
      </c>
      <c r="C2686">
        <v>15.7863610209972</v>
      </c>
      <c r="D2686">
        <v>89</v>
      </c>
      <c r="E2686">
        <v>486</v>
      </c>
      <c r="F2686">
        <v>3624.1909261818801</v>
      </c>
      <c r="G2686" t="s">
        <v>48</v>
      </c>
      <c r="H2686">
        <v>31</v>
      </c>
      <c r="I2686">
        <v>4</v>
      </c>
      <c r="J2686">
        <v>10</v>
      </c>
      <c r="K2686">
        <v>7</v>
      </c>
      <c r="L2686" t="s">
        <v>36</v>
      </c>
      <c r="M2686">
        <v>11.440378936810401</v>
      </c>
      <c r="N2686" t="s">
        <v>28</v>
      </c>
      <c r="O2686" t="s">
        <v>29</v>
      </c>
      <c r="P2686">
        <f>VLOOKUP(O2686, Coordinates!$A$2:$C$6, 2, FALSE)</f>
        <v>29.760400000000001</v>
      </c>
      <c r="Q2686">
        <f>VLOOKUP(O2686, Coordinates!$A$2:$C$6, 3, FALSE)</f>
        <v>-95.369799999999998</v>
      </c>
      <c r="R2686">
        <v>2</v>
      </c>
      <c r="S2686">
        <v>696</v>
      </c>
      <c r="T2686">
        <v>8</v>
      </c>
      <c r="U2686">
        <v>42.4047300225143</v>
      </c>
      <c r="V2686" t="s">
        <v>30</v>
      </c>
      <c r="W2686">
        <v>4.899692731429</v>
      </c>
      <c r="X2686" t="s">
        <v>40</v>
      </c>
      <c r="Y2686" t="s">
        <v>41</v>
      </c>
      <c r="Z2686">
        <v>458.028862413973</v>
      </c>
    </row>
    <row r="2687" spans="1:26" x14ac:dyDescent="0.3">
      <c r="A2687" t="s">
        <v>33</v>
      </c>
      <c r="B2687" t="s">
        <v>2743</v>
      </c>
      <c r="C2687">
        <v>92.166585917105706</v>
      </c>
      <c r="D2687">
        <v>18</v>
      </c>
      <c r="E2687">
        <v>903</v>
      </c>
      <c r="F2687">
        <v>2159.3176638668901</v>
      </c>
      <c r="G2687" t="s">
        <v>35</v>
      </c>
      <c r="H2687">
        <v>65</v>
      </c>
      <c r="I2687">
        <v>17</v>
      </c>
      <c r="J2687">
        <v>74</v>
      </c>
      <c r="K2687">
        <v>10</v>
      </c>
      <c r="L2687" t="s">
        <v>27</v>
      </c>
      <c r="M2687">
        <v>1.3682699104454801</v>
      </c>
      <c r="N2687" t="s">
        <v>45</v>
      </c>
      <c r="O2687" t="s">
        <v>38</v>
      </c>
      <c r="P2687">
        <f>VLOOKUP(O2687, Coordinates!$A$2:$C$6, 2, FALSE)</f>
        <v>25.761700000000001</v>
      </c>
      <c r="Q2687">
        <f>VLOOKUP(O2687, Coordinates!$A$2:$C$6, 3, FALSE)</f>
        <v>-80.191800000000001</v>
      </c>
      <c r="R2687">
        <v>25</v>
      </c>
      <c r="S2687">
        <v>164</v>
      </c>
      <c r="T2687">
        <v>27</v>
      </c>
      <c r="U2687">
        <v>86.727400272594807</v>
      </c>
      <c r="V2687" t="s">
        <v>39</v>
      </c>
      <c r="W2687">
        <v>4.678225039</v>
      </c>
      <c r="X2687" t="s">
        <v>52</v>
      </c>
      <c r="Y2687" t="s">
        <v>41</v>
      </c>
      <c r="Z2687">
        <v>974.27680567712696</v>
      </c>
    </row>
    <row r="2688" spans="1:26" x14ac:dyDescent="0.3">
      <c r="A2688" t="s">
        <v>42</v>
      </c>
      <c r="B2688" t="s">
        <v>2744</v>
      </c>
      <c r="C2688">
        <v>78.892068223552798</v>
      </c>
      <c r="D2688">
        <v>79</v>
      </c>
      <c r="E2688">
        <v>340</v>
      </c>
      <c r="F2688">
        <v>8697.8301792664406</v>
      </c>
      <c r="G2688" t="s">
        <v>35</v>
      </c>
      <c r="H2688">
        <v>50</v>
      </c>
      <c r="I2688">
        <v>3</v>
      </c>
      <c r="J2688">
        <v>31</v>
      </c>
      <c r="K2688">
        <v>10</v>
      </c>
      <c r="L2688" t="s">
        <v>36</v>
      </c>
      <c r="M2688">
        <v>9.2653952255087297</v>
      </c>
      <c r="N2688" t="s">
        <v>45</v>
      </c>
      <c r="O2688" t="s">
        <v>38</v>
      </c>
      <c r="P2688">
        <f>VLOOKUP(O2688, Coordinates!$A$2:$C$6, 2, FALSE)</f>
        <v>25.761700000000001</v>
      </c>
      <c r="Q2688">
        <f>VLOOKUP(O2688, Coordinates!$A$2:$C$6, 3, FALSE)</f>
        <v>-80.191800000000001</v>
      </c>
      <c r="R2688">
        <v>30</v>
      </c>
      <c r="S2688">
        <v>528</v>
      </c>
      <c r="T2688">
        <v>28</v>
      </c>
      <c r="U2688">
        <v>60.578915060654403</v>
      </c>
      <c r="V2688" t="s">
        <v>39</v>
      </c>
      <c r="W2688">
        <v>4.9229776498902096</v>
      </c>
      <c r="X2688" t="s">
        <v>46</v>
      </c>
      <c r="Y2688" t="s">
        <v>41</v>
      </c>
      <c r="Z2688">
        <v>391.83154273727803</v>
      </c>
    </row>
    <row r="2689" spans="1:26" x14ac:dyDescent="0.3">
      <c r="A2689" t="s">
        <v>33</v>
      </c>
      <c r="B2689" t="s">
        <v>2745</v>
      </c>
      <c r="C2689">
        <v>83.122215588400493</v>
      </c>
      <c r="D2689">
        <v>96</v>
      </c>
      <c r="E2689">
        <v>439</v>
      </c>
      <c r="F2689">
        <v>6286.7364741339998</v>
      </c>
      <c r="G2689" t="s">
        <v>26</v>
      </c>
      <c r="H2689">
        <v>10</v>
      </c>
      <c r="I2689">
        <v>23</v>
      </c>
      <c r="J2689">
        <v>24</v>
      </c>
      <c r="K2689">
        <v>8</v>
      </c>
      <c r="L2689" t="s">
        <v>27</v>
      </c>
      <c r="M2689">
        <v>10.890775833993301</v>
      </c>
      <c r="N2689" t="s">
        <v>45</v>
      </c>
      <c r="O2689" t="s">
        <v>38</v>
      </c>
      <c r="P2689">
        <f>VLOOKUP(O2689, Coordinates!$A$2:$C$6, 2, FALSE)</f>
        <v>25.761700000000001</v>
      </c>
      <c r="Q2689">
        <f>VLOOKUP(O2689, Coordinates!$A$2:$C$6, 3, FALSE)</f>
        <v>-80.191800000000001</v>
      </c>
      <c r="R2689">
        <v>29</v>
      </c>
      <c r="S2689">
        <v>954</v>
      </c>
      <c r="T2689">
        <v>14</v>
      </c>
      <c r="U2689">
        <v>69.652984262478796</v>
      </c>
      <c r="V2689" t="s">
        <v>39</v>
      </c>
      <c r="W2689">
        <v>3.8231066127014399</v>
      </c>
      <c r="X2689" t="s">
        <v>46</v>
      </c>
      <c r="Y2689" t="s">
        <v>60</v>
      </c>
      <c r="Z2689">
        <v>334.21251212142101</v>
      </c>
    </row>
    <row r="2690" spans="1:26" x14ac:dyDescent="0.3">
      <c r="A2690" t="s">
        <v>72</v>
      </c>
      <c r="B2690" t="s">
        <v>2746</v>
      </c>
      <c r="C2690">
        <v>31.291722940396198</v>
      </c>
      <c r="D2690">
        <v>6</v>
      </c>
      <c r="E2690">
        <v>200</v>
      </c>
      <c r="F2690">
        <v>5632.5101292713198</v>
      </c>
      <c r="G2690" t="s">
        <v>48</v>
      </c>
      <c r="H2690">
        <v>58</v>
      </c>
      <c r="I2690">
        <v>4</v>
      </c>
      <c r="J2690">
        <v>93</v>
      </c>
      <c r="K2690">
        <v>8</v>
      </c>
      <c r="L2690" t="s">
        <v>44</v>
      </c>
      <c r="M2690">
        <v>12.9573975795103</v>
      </c>
      <c r="N2690" t="s">
        <v>45</v>
      </c>
      <c r="O2690" t="s">
        <v>38</v>
      </c>
      <c r="P2690">
        <f>VLOOKUP(O2690, Coordinates!$A$2:$C$6, 2, FALSE)</f>
        <v>25.761700000000001</v>
      </c>
      <c r="Q2690">
        <f>VLOOKUP(O2690, Coordinates!$A$2:$C$6, 3, FALSE)</f>
        <v>-80.191800000000001</v>
      </c>
      <c r="R2690">
        <v>26</v>
      </c>
      <c r="S2690">
        <v>901</v>
      </c>
      <c r="T2690">
        <v>9</v>
      </c>
      <c r="U2690">
        <v>84.844681969009798</v>
      </c>
      <c r="V2690" t="s">
        <v>39</v>
      </c>
      <c r="W2690">
        <v>4.3818648551433803</v>
      </c>
      <c r="X2690" t="s">
        <v>46</v>
      </c>
      <c r="Y2690" t="s">
        <v>41</v>
      </c>
      <c r="Z2690">
        <v>983.256541458735</v>
      </c>
    </row>
    <row r="2691" spans="1:26" x14ac:dyDescent="0.3">
      <c r="A2691" t="s">
        <v>49</v>
      </c>
      <c r="B2691" t="s">
        <v>2747</v>
      </c>
      <c r="C2691">
        <v>54.865498738954599</v>
      </c>
      <c r="D2691">
        <v>43</v>
      </c>
      <c r="E2691">
        <v>859</v>
      </c>
      <c r="F2691">
        <v>9440.4448629314393</v>
      </c>
      <c r="G2691" t="s">
        <v>54</v>
      </c>
      <c r="H2691">
        <v>19</v>
      </c>
      <c r="I2691">
        <v>2</v>
      </c>
      <c r="J2691">
        <v>76</v>
      </c>
      <c r="K2691">
        <v>7</v>
      </c>
      <c r="L2691" t="s">
        <v>36</v>
      </c>
      <c r="M2691">
        <v>14.2461997050451</v>
      </c>
      <c r="N2691" t="s">
        <v>28</v>
      </c>
      <c r="O2691" t="s">
        <v>29</v>
      </c>
      <c r="P2691">
        <f>VLOOKUP(O2691, Coordinates!$A$2:$C$6, 2, FALSE)</f>
        <v>29.760400000000001</v>
      </c>
      <c r="Q2691">
        <f>VLOOKUP(O2691, Coordinates!$A$2:$C$6, 3, FALSE)</f>
        <v>-95.369799999999998</v>
      </c>
      <c r="R2691">
        <v>11</v>
      </c>
      <c r="S2691">
        <v>967</v>
      </c>
      <c r="T2691">
        <v>12</v>
      </c>
      <c r="U2691">
        <v>42.7583925907959</v>
      </c>
      <c r="V2691" t="s">
        <v>30</v>
      </c>
      <c r="W2691">
        <v>2.0999130403681399</v>
      </c>
      <c r="X2691" t="s">
        <v>46</v>
      </c>
      <c r="Y2691" t="s">
        <v>32</v>
      </c>
      <c r="Z2691">
        <v>325.2746616</v>
      </c>
    </row>
    <row r="2692" spans="1:26" x14ac:dyDescent="0.3">
      <c r="A2692" t="s">
        <v>42</v>
      </c>
      <c r="B2692" t="s">
        <v>2748</v>
      </c>
      <c r="C2692">
        <v>47.863353187818703</v>
      </c>
      <c r="D2692">
        <v>35</v>
      </c>
      <c r="E2692">
        <v>253</v>
      </c>
      <c r="F2692">
        <v>1482.65551334304</v>
      </c>
      <c r="G2692" t="s">
        <v>54</v>
      </c>
      <c r="H2692">
        <v>36</v>
      </c>
      <c r="I2692">
        <v>14</v>
      </c>
      <c r="J2692">
        <v>23</v>
      </c>
      <c r="K2692">
        <v>2</v>
      </c>
      <c r="L2692" t="s">
        <v>44</v>
      </c>
      <c r="M2692">
        <v>13.8219433991845</v>
      </c>
      <c r="N2692" t="s">
        <v>51</v>
      </c>
      <c r="O2692" t="s">
        <v>38</v>
      </c>
      <c r="P2692">
        <f>VLOOKUP(O2692, Coordinates!$A$2:$C$6, 2, FALSE)</f>
        <v>25.761700000000001</v>
      </c>
      <c r="Q2692">
        <f>VLOOKUP(O2692, Coordinates!$A$2:$C$6, 3, FALSE)</f>
        <v>-80.191800000000001</v>
      </c>
      <c r="R2692">
        <v>5</v>
      </c>
      <c r="S2692">
        <v>556</v>
      </c>
      <c r="T2692">
        <v>6</v>
      </c>
      <c r="U2692">
        <v>16.839189622595399</v>
      </c>
      <c r="V2692" t="s">
        <v>30</v>
      </c>
      <c r="W2692">
        <v>3.80843356485373</v>
      </c>
      <c r="X2692" t="s">
        <v>31</v>
      </c>
      <c r="Y2692" t="s">
        <v>60</v>
      </c>
      <c r="Z2692">
        <v>499.82719851432</v>
      </c>
    </row>
    <row r="2693" spans="1:26" x14ac:dyDescent="0.3">
      <c r="A2693" t="s">
        <v>24</v>
      </c>
      <c r="B2693" t="s">
        <v>2749</v>
      </c>
      <c r="C2693">
        <v>20.385539513727299</v>
      </c>
      <c r="D2693">
        <v>98</v>
      </c>
      <c r="E2693">
        <v>502</v>
      </c>
      <c r="F2693">
        <v>9210.1867523020301</v>
      </c>
      <c r="G2693" t="s">
        <v>35</v>
      </c>
      <c r="H2693">
        <v>72</v>
      </c>
      <c r="I2693">
        <v>5</v>
      </c>
      <c r="J2693">
        <v>82</v>
      </c>
      <c r="K2693">
        <v>4</v>
      </c>
      <c r="L2693" t="s">
        <v>36</v>
      </c>
      <c r="M2693">
        <v>6.6846290547576297</v>
      </c>
      <c r="N2693" t="s">
        <v>57</v>
      </c>
      <c r="O2693" t="s">
        <v>67</v>
      </c>
      <c r="P2693">
        <f>VLOOKUP(O2693, Coordinates!$A$2:$C$6, 2, FALSE)</f>
        <v>40.712800000000001</v>
      </c>
      <c r="Q2693">
        <f>VLOOKUP(O2693, Coordinates!$A$2:$C$6, 3, FALSE)</f>
        <v>-74.006</v>
      </c>
      <c r="R2693">
        <v>16</v>
      </c>
      <c r="S2693">
        <v>235</v>
      </c>
      <c r="T2693">
        <v>20</v>
      </c>
      <c r="U2693">
        <v>90.520453897988105</v>
      </c>
      <c r="V2693" t="s">
        <v>30</v>
      </c>
      <c r="W2693">
        <v>2.6399186263924901</v>
      </c>
      <c r="X2693" t="s">
        <v>40</v>
      </c>
      <c r="Y2693" t="s">
        <v>60</v>
      </c>
      <c r="Z2693">
        <v>650.68119929974205</v>
      </c>
    </row>
    <row r="2694" spans="1:26" x14ac:dyDescent="0.3">
      <c r="A2694" t="s">
        <v>33</v>
      </c>
      <c r="B2694" t="s">
        <v>2750</v>
      </c>
      <c r="C2694">
        <v>60.9753883630462</v>
      </c>
      <c r="D2694">
        <v>54</v>
      </c>
      <c r="E2694">
        <v>216</v>
      </c>
      <c r="F2694">
        <v>4374.6809416707601</v>
      </c>
      <c r="G2694" t="s">
        <v>48</v>
      </c>
      <c r="H2694">
        <v>48</v>
      </c>
      <c r="I2694">
        <v>21</v>
      </c>
      <c r="J2694">
        <v>28</v>
      </c>
      <c r="K2694">
        <v>6</v>
      </c>
      <c r="L2694" t="s">
        <v>44</v>
      </c>
      <c r="M2694">
        <v>13.551016631635299</v>
      </c>
      <c r="N2694" t="s">
        <v>45</v>
      </c>
      <c r="O2694" t="s">
        <v>38</v>
      </c>
      <c r="P2694">
        <f>VLOOKUP(O2694, Coordinates!$A$2:$C$6, 2, FALSE)</f>
        <v>25.761700000000001</v>
      </c>
      <c r="Q2694">
        <f>VLOOKUP(O2694, Coordinates!$A$2:$C$6, 3, FALSE)</f>
        <v>-80.191800000000001</v>
      </c>
      <c r="R2694">
        <v>26</v>
      </c>
      <c r="S2694">
        <v>861</v>
      </c>
      <c r="T2694">
        <v>22</v>
      </c>
      <c r="U2694">
        <v>36.074432726588498</v>
      </c>
      <c r="V2694" t="s">
        <v>39</v>
      </c>
      <c r="W2694">
        <v>4.8255034134679802</v>
      </c>
      <c r="X2694" t="s">
        <v>46</v>
      </c>
      <c r="Y2694" t="s">
        <v>60</v>
      </c>
      <c r="Z2694">
        <v>390.27711240251</v>
      </c>
    </row>
    <row r="2695" spans="1:26" x14ac:dyDescent="0.3">
      <c r="A2695" t="s">
        <v>49</v>
      </c>
      <c r="B2695" t="s">
        <v>2751</v>
      </c>
      <c r="C2695">
        <v>48.156447695033101</v>
      </c>
      <c r="D2695">
        <v>62</v>
      </c>
      <c r="E2695">
        <v>669</v>
      </c>
      <c r="F2695">
        <v>6632.7255736310499</v>
      </c>
      <c r="G2695" t="s">
        <v>54</v>
      </c>
      <c r="H2695">
        <v>18</v>
      </c>
      <c r="I2695">
        <v>2</v>
      </c>
      <c r="J2695">
        <v>49</v>
      </c>
      <c r="K2695">
        <v>5</v>
      </c>
      <c r="L2695" t="s">
        <v>36</v>
      </c>
      <c r="M2695">
        <v>1.01048332900819</v>
      </c>
      <c r="N2695" t="s">
        <v>57</v>
      </c>
      <c r="O2695" t="s">
        <v>65</v>
      </c>
      <c r="P2695">
        <f>VLOOKUP(O2695, Coordinates!$A$2:$C$6, 2, FALSE)</f>
        <v>41.878100000000003</v>
      </c>
      <c r="Q2695">
        <f>VLOOKUP(O2695, Coordinates!$A$2:$C$6, 3, FALSE)</f>
        <v>-87.629800000000003</v>
      </c>
      <c r="R2695">
        <v>29</v>
      </c>
      <c r="S2695">
        <v>705</v>
      </c>
      <c r="T2695">
        <v>28</v>
      </c>
      <c r="U2695">
        <v>86.403720559999996</v>
      </c>
      <c r="V2695" t="s">
        <v>30</v>
      </c>
      <c r="W2695">
        <v>3.2322993411040901</v>
      </c>
      <c r="X2695" t="s">
        <v>31</v>
      </c>
      <c r="Y2695" t="s">
        <v>41</v>
      </c>
      <c r="Z2695">
        <v>445.79521454147198</v>
      </c>
    </row>
    <row r="2696" spans="1:26" x14ac:dyDescent="0.3">
      <c r="A2696" t="s">
        <v>61</v>
      </c>
      <c r="B2696" t="s">
        <v>2752</v>
      </c>
      <c r="C2696">
        <v>47.898730727529603</v>
      </c>
      <c r="D2696">
        <v>69</v>
      </c>
      <c r="E2696">
        <v>674</v>
      </c>
      <c r="F2696">
        <v>8142.3207748209097</v>
      </c>
      <c r="G2696" t="s">
        <v>48</v>
      </c>
      <c r="H2696">
        <v>54</v>
      </c>
      <c r="I2696">
        <v>15</v>
      </c>
      <c r="J2696">
        <v>13</v>
      </c>
      <c r="K2696">
        <v>6</v>
      </c>
      <c r="L2696" t="s">
        <v>36</v>
      </c>
      <c r="M2696">
        <v>5.9206529611090097</v>
      </c>
      <c r="N2696" t="s">
        <v>57</v>
      </c>
      <c r="O2696" t="s">
        <v>58</v>
      </c>
      <c r="P2696">
        <f>VLOOKUP(O2696, Coordinates!$A$2:$C$6, 2, FALSE)</f>
        <v>34.052199999999999</v>
      </c>
      <c r="Q2696">
        <f>VLOOKUP(O2696, Coordinates!$A$2:$C$6, 3, FALSE)</f>
        <v>-118.2437</v>
      </c>
      <c r="R2696">
        <v>28</v>
      </c>
      <c r="S2696">
        <v>147</v>
      </c>
      <c r="T2696">
        <v>23</v>
      </c>
      <c r="U2696">
        <v>64.777870791174294</v>
      </c>
      <c r="V2696" t="s">
        <v>55</v>
      </c>
      <c r="W2696">
        <v>0.63209222424491995</v>
      </c>
      <c r="X2696" t="s">
        <v>31</v>
      </c>
      <c r="Y2696" t="s">
        <v>32</v>
      </c>
      <c r="Z2696">
        <v>748.683094268844</v>
      </c>
    </row>
    <row r="2697" spans="1:26" x14ac:dyDescent="0.3">
      <c r="A2697" t="s">
        <v>33</v>
      </c>
      <c r="B2697" t="s">
        <v>2753</v>
      </c>
      <c r="C2697">
        <v>94.008147054458107</v>
      </c>
      <c r="D2697">
        <v>82</v>
      </c>
      <c r="E2697">
        <v>884</v>
      </c>
      <c r="F2697">
        <v>3525.3119437693199</v>
      </c>
      <c r="G2697" t="s">
        <v>48</v>
      </c>
      <c r="H2697">
        <v>7</v>
      </c>
      <c r="I2697">
        <v>30</v>
      </c>
      <c r="J2697">
        <v>42</v>
      </c>
      <c r="K2697">
        <v>2</v>
      </c>
      <c r="L2697" t="s">
        <v>44</v>
      </c>
      <c r="M2697">
        <v>2.59433496922551</v>
      </c>
      <c r="N2697" t="s">
        <v>28</v>
      </c>
      <c r="O2697" t="s">
        <v>67</v>
      </c>
      <c r="P2697">
        <f>VLOOKUP(O2697, Coordinates!$A$2:$C$6, 2, FALSE)</f>
        <v>40.712800000000001</v>
      </c>
      <c r="Q2697">
        <f>VLOOKUP(O2697, Coordinates!$A$2:$C$6, 3, FALSE)</f>
        <v>-74.006</v>
      </c>
      <c r="R2697">
        <v>23</v>
      </c>
      <c r="S2697">
        <v>711</v>
      </c>
      <c r="T2697">
        <v>12</v>
      </c>
      <c r="U2697">
        <v>41.833356228772999</v>
      </c>
      <c r="V2697" t="s">
        <v>55</v>
      </c>
      <c r="W2697">
        <v>3.38580864833283</v>
      </c>
      <c r="X2697" t="s">
        <v>31</v>
      </c>
      <c r="Y2697" t="s">
        <v>60</v>
      </c>
      <c r="Z2697">
        <v>750.72259294363005</v>
      </c>
    </row>
    <row r="2698" spans="1:26" x14ac:dyDescent="0.3">
      <c r="A2698" t="s">
        <v>72</v>
      </c>
      <c r="B2698" t="s">
        <v>2754</v>
      </c>
      <c r="C2698">
        <v>22.635829689209899</v>
      </c>
      <c r="D2698">
        <v>16</v>
      </c>
      <c r="E2698">
        <v>878</v>
      </c>
      <c r="F2698">
        <v>17886.832620413599</v>
      </c>
      <c r="G2698" t="s">
        <v>26</v>
      </c>
      <c r="H2698">
        <v>6</v>
      </c>
      <c r="I2698">
        <v>22</v>
      </c>
      <c r="J2698">
        <v>52</v>
      </c>
      <c r="K2698">
        <v>7</v>
      </c>
      <c r="L2698" t="s">
        <v>27</v>
      </c>
      <c r="M2698">
        <v>13.3629478007028</v>
      </c>
      <c r="N2698" t="s">
        <v>57</v>
      </c>
      <c r="O2698" t="s">
        <v>58</v>
      </c>
      <c r="P2698">
        <f>VLOOKUP(O2698, Coordinates!$A$2:$C$6, 2, FALSE)</f>
        <v>34.052199999999999</v>
      </c>
      <c r="Q2698">
        <f>VLOOKUP(O2698, Coordinates!$A$2:$C$6, 3, FALSE)</f>
        <v>-118.2437</v>
      </c>
      <c r="R2698">
        <v>30</v>
      </c>
      <c r="S2698">
        <v>949</v>
      </c>
      <c r="T2698">
        <v>24</v>
      </c>
      <c r="U2698">
        <v>83.332736918149394</v>
      </c>
      <c r="V2698" t="s">
        <v>30</v>
      </c>
      <c r="W2698">
        <v>2.4425985032772601</v>
      </c>
      <c r="X2698" t="s">
        <v>40</v>
      </c>
      <c r="Y2698" t="s">
        <v>32</v>
      </c>
      <c r="Z2698">
        <v>823.25663922307001</v>
      </c>
    </row>
    <row r="2699" spans="1:26" x14ac:dyDescent="0.3">
      <c r="A2699" t="s">
        <v>61</v>
      </c>
      <c r="B2699" t="s">
        <v>2755</v>
      </c>
      <c r="C2699">
        <v>80.666016986310098</v>
      </c>
      <c r="D2699">
        <v>8</v>
      </c>
      <c r="E2699">
        <v>655</v>
      </c>
      <c r="F2699">
        <v>7378.5572191440897</v>
      </c>
      <c r="G2699" t="s">
        <v>54</v>
      </c>
      <c r="H2699">
        <v>4</v>
      </c>
      <c r="I2699">
        <v>10</v>
      </c>
      <c r="J2699">
        <v>46</v>
      </c>
      <c r="K2699">
        <v>8</v>
      </c>
      <c r="L2699" t="s">
        <v>36</v>
      </c>
      <c r="M2699">
        <v>13.9917466760701</v>
      </c>
      <c r="N2699" t="s">
        <v>45</v>
      </c>
      <c r="O2699" t="s">
        <v>38</v>
      </c>
      <c r="P2699">
        <f>VLOOKUP(O2699, Coordinates!$A$2:$C$6, 2, FALSE)</f>
        <v>25.761700000000001</v>
      </c>
      <c r="Q2699">
        <f>VLOOKUP(O2699, Coordinates!$A$2:$C$6, 3, FALSE)</f>
        <v>-80.191800000000001</v>
      </c>
      <c r="R2699">
        <v>28</v>
      </c>
      <c r="S2699">
        <v>293</v>
      </c>
      <c r="T2699">
        <v>19</v>
      </c>
      <c r="U2699">
        <v>68.094342312529307</v>
      </c>
      <c r="V2699" t="s">
        <v>39</v>
      </c>
      <c r="W2699">
        <v>4.7666160108810702</v>
      </c>
      <c r="X2699" t="s">
        <v>46</v>
      </c>
      <c r="Y2699" t="s">
        <v>32</v>
      </c>
      <c r="Z2699">
        <v>634.33156650893102</v>
      </c>
    </row>
    <row r="2700" spans="1:26" x14ac:dyDescent="0.3">
      <c r="A2700" t="s">
        <v>61</v>
      </c>
      <c r="B2700" t="s">
        <v>2756</v>
      </c>
      <c r="C2700">
        <v>76.892018573458103</v>
      </c>
      <c r="D2700">
        <v>89</v>
      </c>
      <c r="E2700">
        <v>225</v>
      </c>
      <c r="F2700">
        <v>2209.8797455215999</v>
      </c>
      <c r="G2700" t="s">
        <v>26</v>
      </c>
      <c r="H2700">
        <v>41</v>
      </c>
      <c r="I2700">
        <v>20</v>
      </c>
      <c r="J2700">
        <v>75</v>
      </c>
      <c r="K2700">
        <v>9</v>
      </c>
      <c r="L2700" t="s">
        <v>27</v>
      </c>
      <c r="M2700">
        <v>4.5841178541031304</v>
      </c>
      <c r="N2700" t="s">
        <v>57</v>
      </c>
      <c r="O2700" t="s">
        <v>29</v>
      </c>
      <c r="P2700">
        <f>VLOOKUP(O2700, Coordinates!$A$2:$C$6, 2, FALSE)</f>
        <v>29.760400000000001</v>
      </c>
      <c r="Q2700">
        <f>VLOOKUP(O2700, Coordinates!$A$2:$C$6, 3, FALSE)</f>
        <v>-95.369799999999998</v>
      </c>
      <c r="R2700">
        <v>23</v>
      </c>
      <c r="S2700">
        <v>216</v>
      </c>
      <c r="T2700">
        <v>12</v>
      </c>
      <c r="U2700">
        <v>73.601506700000002</v>
      </c>
      <c r="V2700" t="s">
        <v>39</v>
      </c>
      <c r="W2700">
        <v>0.69353416899999998</v>
      </c>
      <c r="X2700" t="s">
        <v>40</v>
      </c>
      <c r="Y2700" t="s">
        <v>32</v>
      </c>
      <c r="Z2700">
        <v>310.17147129720598</v>
      </c>
    </row>
    <row r="2701" spans="1:26" x14ac:dyDescent="0.3">
      <c r="A2701" t="s">
        <v>82</v>
      </c>
      <c r="B2701" t="s">
        <v>2757</v>
      </c>
      <c r="C2701">
        <v>69.6530253690146</v>
      </c>
      <c r="D2701">
        <v>96</v>
      </c>
      <c r="E2701">
        <v>277</v>
      </c>
      <c r="F2701">
        <v>8326.6021535614</v>
      </c>
      <c r="G2701" t="s">
        <v>54</v>
      </c>
      <c r="H2701">
        <v>87</v>
      </c>
      <c r="I2701">
        <v>30</v>
      </c>
      <c r="J2701">
        <v>36</v>
      </c>
      <c r="K2701">
        <v>6</v>
      </c>
      <c r="L2701" t="s">
        <v>27</v>
      </c>
      <c r="M2701">
        <v>6.1423462737564796</v>
      </c>
      <c r="N2701" t="s">
        <v>28</v>
      </c>
      <c r="O2701" t="s">
        <v>38</v>
      </c>
      <c r="P2701">
        <f>VLOOKUP(O2701, Coordinates!$A$2:$C$6, 2, FALSE)</f>
        <v>25.761700000000001</v>
      </c>
      <c r="Q2701">
        <f>VLOOKUP(O2701, Coordinates!$A$2:$C$6, 3, FALSE)</f>
        <v>-80.191800000000001</v>
      </c>
      <c r="R2701">
        <v>19</v>
      </c>
      <c r="S2701">
        <v>878</v>
      </c>
      <c r="T2701">
        <v>22</v>
      </c>
      <c r="U2701">
        <v>84.010432105636397</v>
      </c>
      <c r="V2701" t="s">
        <v>30</v>
      </c>
      <c r="W2701">
        <v>1.5037352455820101</v>
      </c>
      <c r="X2701" t="s">
        <v>31</v>
      </c>
      <c r="Y2701" t="s">
        <v>41</v>
      </c>
      <c r="Z2701">
        <v>399.79843355754599</v>
      </c>
    </row>
    <row r="2702" spans="1:26" x14ac:dyDescent="0.3">
      <c r="A2702" t="s">
        <v>42</v>
      </c>
      <c r="B2702" t="s">
        <v>2758</v>
      </c>
      <c r="C2702">
        <v>20.7771109716838</v>
      </c>
      <c r="D2702">
        <v>90</v>
      </c>
      <c r="E2702">
        <v>158</v>
      </c>
      <c r="F2702">
        <v>6454.9863986767496</v>
      </c>
      <c r="G2702" t="s">
        <v>48</v>
      </c>
      <c r="H2702">
        <v>47</v>
      </c>
      <c r="I2702">
        <v>1</v>
      </c>
      <c r="J2702">
        <v>54</v>
      </c>
      <c r="K2702">
        <v>7</v>
      </c>
      <c r="L2702" t="s">
        <v>27</v>
      </c>
      <c r="M2702">
        <v>14.774286671839199</v>
      </c>
      <c r="N2702" t="s">
        <v>45</v>
      </c>
      <c r="O2702" t="s">
        <v>38</v>
      </c>
      <c r="P2702">
        <f>VLOOKUP(O2702, Coordinates!$A$2:$C$6, 2, FALSE)</f>
        <v>25.761700000000001</v>
      </c>
      <c r="Q2702">
        <f>VLOOKUP(O2702, Coordinates!$A$2:$C$6, 3, FALSE)</f>
        <v>-80.191800000000001</v>
      </c>
      <c r="R2702">
        <v>27</v>
      </c>
      <c r="S2702">
        <v>919</v>
      </c>
      <c r="T2702">
        <v>30</v>
      </c>
      <c r="U2702">
        <v>24.3779447996186</v>
      </c>
      <c r="V2702" t="s">
        <v>55</v>
      </c>
      <c r="W2702">
        <v>4.2814465827680799</v>
      </c>
      <c r="X2702" t="s">
        <v>31</v>
      </c>
      <c r="Y2702" t="s">
        <v>41</v>
      </c>
      <c r="Z2702">
        <v>910.63606081779699</v>
      </c>
    </row>
    <row r="2703" spans="1:26" x14ac:dyDescent="0.3">
      <c r="A2703" t="s">
        <v>33</v>
      </c>
      <c r="B2703" t="s">
        <v>2759</v>
      </c>
      <c r="C2703">
        <v>10.6150529831871</v>
      </c>
      <c r="D2703">
        <v>86</v>
      </c>
      <c r="E2703">
        <v>253</v>
      </c>
      <c r="F2703">
        <v>9545.8369340228601</v>
      </c>
      <c r="G2703" t="s">
        <v>54</v>
      </c>
      <c r="H2703">
        <v>6</v>
      </c>
      <c r="I2703">
        <v>19</v>
      </c>
      <c r="J2703">
        <v>90</v>
      </c>
      <c r="K2703">
        <v>1</v>
      </c>
      <c r="L2703" t="s">
        <v>27</v>
      </c>
      <c r="M2703">
        <v>8.9248884919999991</v>
      </c>
      <c r="N2703" t="s">
        <v>28</v>
      </c>
      <c r="O2703" t="s">
        <v>58</v>
      </c>
      <c r="P2703">
        <f>VLOOKUP(O2703, Coordinates!$A$2:$C$6, 2, FALSE)</f>
        <v>34.052199999999999</v>
      </c>
      <c r="Q2703">
        <f>VLOOKUP(O2703, Coordinates!$A$2:$C$6, 3, FALSE)</f>
        <v>-118.2437</v>
      </c>
      <c r="R2703">
        <v>22</v>
      </c>
      <c r="S2703">
        <v>263</v>
      </c>
      <c r="T2703">
        <v>26</v>
      </c>
      <c r="U2703">
        <v>94.972994630000002</v>
      </c>
      <c r="V2703" t="s">
        <v>39</v>
      </c>
      <c r="W2703">
        <v>2.7653643964500998</v>
      </c>
      <c r="X2703" t="s">
        <v>40</v>
      </c>
      <c r="Y2703" t="s">
        <v>41</v>
      </c>
      <c r="Z2703">
        <v>760.35555129027205</v>
      </c>
    </row>
    <row r="2704" spans="1:26" x14ac:dyDescent="0.3">
      <c r="A2704" t="s">
        <v>61</v>
      </c>
      <c r="B2704" t="s">
        <v>2760</v>
      </c>
      <c r="C2704">
        <v>70.618999939999995</v>
      </c>
      <c r="D2704">
        <v>31</v>
      </c>
      <c r="E2704">
        <v>283</v>
      </c>
      <c r="F2704">
        <v>4055.76027217623</v>
      </c>
      <c r="H2704">
        <v>10</v>
      </c>
      <c r="I2704">
        <v>14</v>
      </c>
      <c r="J2704">
        <v>59</v>
      </c>
      <c r="K2704">
        <v>9</v>
      </c>
      <c r="L2704" t="s">
        <v>27</v>
      </c>
      <c r="M2704">
        <v>7.95878180790295</v>
      </c>
      <c r="N2704" t="s">
        <v>37</v>
      </c>
      <c r="O2704" t="s">
        <v>58</v>
      </c>
      <c r="P2704">
        <f>VLOOKUP(O2704, Coordinates!$A$2:$C$6, 2, FALSE)</f>
        <v>34.052199999999999</v>
      </c>
      <c r="Q2704">
        <f>VLOOKUP(O2704, Coordinates!$A$2:$C$6, 3, FALSE)</f>
        <v>-118.2437</v>
      </c>
      <c r="R2704">
        <v>11</v>
      </c>
      <c r="S2704">
        <v>578</v>
      </c>
      <c r="T2704">
        <v>22</v>
      </c>
      <c r="U2704">
        <v>46.9756552984759</v>
      </c>
      <c r="V2704" t="s">
        <v>39</v>
      </c>
      <c r="W2704">
        <v>4.6465049990000002</v>
      </c>
      <c r="X2704" t="s">
        <v>31</v>
      </c>
      <c r="Y2704" t="s">
        <v>60</v>
      </c>
      <c r="Z2704">
        <v>179.225539433026</v>
      </c>
    </row>
    <row r="2705" spans="1:26" x14ac:dyDescent="0.3">
      <c r="A2705" t="s">
        <v>82</v>
      </c>
      <c r="B2705" t="s">
        <v>2761</v>
      </c>
      <c r="C2705">
        <v>74.234691114374698</v>
      </c>
      <c r="D2705">
        <v>10</v>
      </c>
      <c r="E2705">
        <v>444</v>
      </c>
      <c r="F2705">
        <v>1973.3134810347799</v>
      </c>
      <c r="G2705" t="s">
        <v>48</v>
      </c>
      <c r="H2705">
        <v>72</v>
      </c>
      <c r="I2705">
        <v>25</v>
      </c>
      <c r="J2705">
        <v>72</v>
      </c>
      <c r="K2705">
        <v>6</v>
      </c>
      <c r="L2705" t="s">
        <v>27</v>
      </c>
      <c r="M2705">
        <v>8.0060959502320799</v>
      </c>
      <c r="N2705" t="s">
        <v>51</v>
      </c>
      <c r="O2705" t="s">
        <v>67</v>
      </c>
      <c r="P2705">
        <f>VLOOKUP(O2705, Coordinates!$A$2:$C$6, 2, FALSE)</f>
        <v>40.712800000000001</v>
      </c>
      <c r="Q2705">
        <f>VLOOKUP(O2705, Coordinates!$A$2:$C$6, 3, FALSE)</f>
        <v>-74.006</v>
      </c>
      <c r="R2705">
        <v>12</v>
      </c>
      <c r="S2705">
        <v>386</v>
      </c>
      <c r="T2705">
        <v>26</v>
      </c>
      <c r="U2705">
        <v>87.440526853873905</v>
      </c>
      <c r="V2705" t="s">
        <v>39</v>
      </c>
      <c r="W2705">
        <v>3.4451755155593902</v>
      </c>
      <c r="X2705" t="s">
        <v>31</v>
      </c>
      <c r="Y2705" t="s">
        <v>60</v>
      </c>
      <c r="Z2705">
        <v>778.25481928818999</v>
      </c>
    </row>
    <row r="2706" spans="1:26" x14ac:dyDescent="0.3">
      <c r="A2706" t="s">
        <v>72</v>
      </c>
      <c r="B2706" t="s">
        <v>2762</v>
      </c>
      <c r="C2706">
        <v>31.444993393366001</v>
      </c>
      <c r="D2706">
        <v>56</v>
      </c>
      <c r="E2706">
        <v>952</v>
      </c>
      <c r="F2706">
        <v>26942.070339435999</v>
      </c>
      <c r="G2706" t="s">
        <v>54</v>
      </c>
      <c r="H2706">
        <v>48</v>
      </c>
      <c r="I2706">
        <v>26</v>
      </c>
      <c r="J2706">
        <v>15</v>
      </c>
      <c r="K2706">
        <v>4</v>
      </c>
      <c r="L2706" t="s">
        <v>36</v>
      </c>
      <c r="M2706">
        <v>10.7466345098189</v>
      </c>
      <c r="N2706" t="s">
        <v>57</v>
      </c>
      <c r="O2706" t="s">
        <v>58</v>
      </c>
      <c r="P2706">
        <f>VLOOKUP(O2706, Coordinates!$A$2:$C$6, 2, FALSE)</f>
        <v>34.052199999999999</v>
      </c>
      <c r="Q2706">
        <f>VLOOKUP(O2706, Coordinates!$A$2:$C$6, 3, FALSE)</f>
        <v>-118.2437</v>
      </c>
      <c r="R2706">
        <v>27</v>
      </c>
      <c r="S2706">
        <v>635</v>
      </c>
      <c r="T2706">
        <v>7</v>
      </c>
      <c r="U2706">
        <v>78.657917513749595</v>
      </c>
      <c r="V2706" t="s">
        <v>39</v>
      </c>
      <c r="W2706">
        <v>4.6321568246756204</v>
      </c>
      <c r="X2706" t="s">
        <v>52</v>
      </c>
      <c r="Y2706" t="s">
        <v>32</v>
      </c>
      <c r="Z2706">
        <v>397.59186568502503</v>
      </c>
    </row>
    <row r="2707" spans="1:26" x14ac:dyDescent="0.3">
      <c r="A2707" t="s">
        <v>49</v>
      </c>
      <c r="B2707" t="s">
        <v>2763</v>
      </c>
      <c r="C2707">
        <v>93.164916271740495</v>
      </c>
      <c r="D2707">
        <v>76</v>
      </c>
      <c r="E2707">
        <v>820</v>
      </c>
      <c r="F2707">
        <v>1772.29694538494</v>
      </c>
      <c r="G2707" t="s">
        <v>26</v>
      </c>
      <c r="H2707">
        <v>29</v>
      </c>
      <c r="I2707">
        <v>23</v>
      </c>
      <c r="J2707">
        <v>76</v>
      </c>
      <c r="K2707">
        <v>10</v>
      </c>
      <c r="L2707" t="s">
        <v>27</v>
      </c>
      <c r="M2707">
        <v>14.3636024868081</v>
      </c>
      <c r="N2707" t="s">
        <v>57</v>
      </c>
      <c r="O2707" t="s">
        <v>38</v>
      </c>
      <c r="P2707">
        <f>VLOOKUP(O2707, Coordinates!$A$2:$C$6, 2, FALSE)</f>
        <v>25.761700000000001</v>
      </c>
      <c r="Q2707">
        <f>VLOOKUP(O2707, Coordinates!$A$2:$C$6, 3, FALSE)</f>
        <v>-80.191800000000001</v>
      </c>
      <c r="R2707">
        <v>26</v>
      </c>
      <c r="S2707">
        <v>593</v>
      </c>
      <c r="T2707">
        <v>15</v>
      </c>
      <c r="U2707">
        <v>12.6126074984243</v>
      </c>
      <c r="V2707" t="s">
        <v>30</v>
      </c>
      <c r="W2707">
        <v>1.5891314219999999</v>
      </c>
      <c r="X2707" t="s">
        <v>31</v>
      </c>
      <c r="Y2707" t="s">
        <v>60</v>
      </c>
      <c r="Z2707">
        <v>120.904286308108</v>
      </c>
    </row>
    <row r="2708" spans="1:26" x14ac:dyDescent="0.3">
      <c r="A2708" t="s">
        <v>24</v>
      </c>
      <c r="B2708" t="s">
        <v>2764</v>
      </c>
      <c r="C2708">
        <v>23.2233114887607</v>
      </c>
      <c r="D2708">
        <v>92</v>
      </c>
      <c r="E2708">
        <v>280</v>
      </c>
      <c r="F2708">
        <v>5852.2744951677096</v>
      </c>
      <c r="G2708" t="s">
        <v>26</v>
      </c>
      <c r="H2708">
        <v>40</v>
      </c>
      <c r="I2708">
        <v>29</v>
      </c>
      <c r="J2708">
        <v>76</v>
      </c>
      <c r="K2708">
        <v>9</v>
      </c>
      <c r="L2708" t="s">
        <v>36</v>
      </c>
      <c r="M2708">
        <v>6.1327140165332104</v>
      </c>
      <c r="N2708" t="s">
        <v>57</v>
      </c>
      <c r="O2708" t="s">
        <v>58</v>
      </c>
      <c r="P2708">
        <f>VLOOKUP(O2708, Coordinates!$A$2:$C$6, 2, FALSE)</f>
        <v>34.052199999999999</v>
      </c>
      <c r="Q2708">
        <f>VLOOKUP(O2708, Coordinates!$A$2:$C$6, 3, FALSE)</f>
        <v>-118.2437</v>
      </c>
      <c r="R2708">
        <v>27</v>
      </c>
      <c r="S2708">
        <v>504</v>
      </c>
      <c r="T2708">
        <v>16</v>
      </c>
      <c r="U2708">
        <v>83.293253341863107</v>
      </c>
      <c r="V2708" t="s">
        <v>30</v>
      </c>
      <c r="W2708">
        <v>0.45266879184578601</v>
      </c>
      <c r="X2708" t="s">
        <v>40</v>
      </c>
      <c r="Y2708" t="s">
        <v>41</v>
      </c>
      <c r="Z2708">
        <v>535.35864128736296</v>
      </c>
    </row>
    <row r="2709" spans="1:26" x14ac:dyDescent="0.3">
      <c r="A2709" t="s">
        <v>24</v>
      </c>
      <c r="B2709" t="s">
        <v>2765</v>
      </c>
      <c r="C2709">
        <v>32.166234074473898</v>
      </c>
      <c r="D2709">
        <v>70</v>
      </c>
      <c r="E2709">
        <v>518</v>
      </c>
      <c r="F2709">
        <v>14995.8983255197</v>
      </c>
      <c r="G2709" t="s">
        <v>48</v>
      </c>
      <c r="H2709">
        <v>2</v>
      </c>
      <c r="I2709">
        <v>22</v>
      </c>
      <c r="J2709">
        <v>68</v>
      </c>
      <c r="K2709">
        <v>1</v>
      </c>
      <c r="L2709" t="s">
        <v>36</v>
      </c>
      <c r="M2709">
        <v>3.4172112460866</v>
      </c>
      <c r="N2709" t="s">
        <v>37</v>
      </c>
      <c r="O2709" t="s">
        <v>29</v>
      </c>
      <c r="P2709">
        <f>VLOOKUP(O2709, Coordinates!$A$2:$C$6, 2, FALSE)</f>
        <v>29.760400000000001</v>
      </c>
      <c r="Q2709">
        <f>VLOOKUP(O2709, Coordinates!$A$2:$C$6, 3, FALSE)</f>
        <v>-95.369799999999998</v>
      </c>
      <c r="R2709">
        <v>8</v>
      </c>
      <c r="S2709">
        <v>195</v>
      </c>
      <c r="T2709">
        <v>30</v>
      </c>
      <c r="U2709">
        <v>89.466881629274496</v>
      </c>
      <c r="V2709" t="s">
        <v>30</v>
      </c>
      <c r="W2709">
        <v>4.01120882449049</v>
      </c>
      <c r="X2709" t="s">
        <v>46</v>
      </c>
      <c r="Y2709" t="s">
        <v>41</v>
      </c>
      <c r="Z2709">
        <v>895.05658088728705</v>
      </c>
    </row>
    <row r="2710" spans="1:26" x14ac:dyDescent="0.3">
      <c r="A2710" t="s">
        <v>33</v>
      </c>
      <c r="B2710" t="s">
        <v>2766</v>
      </c>
      <c r="C2710">
        <v>68.877032215876895</v>
      </c>
      <c r="D2710">
        <v>20</v>
      </c>
      <c r="E2710">
        <v>92</v>
      </c>
      <c r="F2710">
        <v>7781.5351099657701</v>
      </c>
      <c r="G2710" t="s">
        <v>26</v>
      </c>
      <c r="H2710">
        <v>85</v>
      </c>
      <c r="I2710">
        <v>14</v>
      </c>
      <c r="J2710">
        <v>22</v>
      </c>
      <c r="K2710">
        <v>2</v>
      </c>
      <c r="L2710" t="s">
        <v>36</v>
      </c>
      <c r="M2710">
        <v>3.5901804901418601</v>
      </c>
      <c r="N2710" t="s">
        <v>51</v>
      </c>
      <c r="O2710" t="s">
        <v>38</v>
      </c>
      <c r="P2710">
        <f>VLOOKUP(O2710, Coordinates!$A$2:$C$6, 2, FALSE)</f>
        <v>25.761700000000001</v>
      </c>
      <c r="Q2710">
        <f>VLOOKUP(O2710, Coordinates!$A$2:$C$6, 3, FALSE)</f>
        <v>-80.191800000000001</v>
      </c>
      <c r="R2710">
        <v>14</v>
      </c>
      <c r="S2710">
        <v>596</v>
      </c>
      <c r="T2710">
        <v>4</v>
      </c>
      <c r="U2710">
        <v>98.601580445315406</v>
      </c>
      <c r="V2710" t="s">
        <v>39</v>
      </c>
      <c r="W2710">
        <v>4.0223437623116798</v>
      </c>
      <c r="X2710" t="s">
        <v>46</v>
      </c>
      <c r="Y2710" t="s">
        <v>41</v>
      </c>
      <c r="Z2710">
        <v>499.91445590484699</v>
      </c>
    </row>
    <row r="2711" spans="1:26" x14ac:dyDescent="0.3">
      <c r="A2711" t="s">
        <v>61</v>
      </c>
      <c r="B2711" t="s">
        <v>2767</v>
      </c>
      <c r="C2711">
        <v>21.1378964684252</v>
      </c>
      <c r="D2711">
        <v>5</v>
      </c>
      <c r="E2711">
        <v>803</v>
      </c>
      <c r="F2711">
        <v>5725.9215832801901</v>
      </c>
      <c r="G2711" t="s">
        <v>48</v>
      </c>
      <c r="H2711">
        <v>39</v>
      </c>
      <c r="I2711">
        <v>1</v>
      </c>
      <c r="J2711">
        <v>30</v>
      </c>
      <c r="K2711">
        <v>3</v>
      </c>
      <c r="L2711" t="s">
        <v>44</v>
      </c>
      <c r="M2711">
        <v>1.2850265331886901</v>
      </c>
      <c r="N2711" t="s">
        <v>28</v>
      </c>
      <c r="O2711" t="s">
        <v>58</v>
      </c>
      <c r="P2711">
        <f>VLOOKUP(O2711, Coordinates!$A$2:$C$6, 2, FALSE)</f>
        <v>34.052199999999999</v>
      </c>
      <c r="Q2711">
        <f>VLOOKUP(O2711, Coordinates!$A$2:$C$6, 3, FALSE)</f>
        <v>-118.2437</v>
      </c>
      <c r="R2711">
        <v>30</v>
      </c>
      <c r="S2711">
        <v>353</v>
      </c>
      <c r="T2711">
        <v>6</v>
      </c>
      <c r="U2711">
        <v>19.400810924384398</v>
      </c>
      <c r="V2711" t="s">
        <v>30</v>
      </c>
      <c r="W2711">
        <v>3.0941339732115698</v>
      </c>
      <c r="X2711" t="s">
        <v>40</v>
      </c>
      <c r="Y2711" t="s">
        <v>41</v>
      </c>
      <c r="Z2711">
        <v>989.92017517402599</v>
      </c>
    </row>
    <row r="2712" spans="1:26" x14ac:dyDescent="0.3">
      <c r="A2712" t="s">
        <v>24</v>
      </c>
      <c r="B2712" t="s">
        <v>2768</v>
      </c>
      <c r="C2712">
        <v>28.9056132746048</v>
      </c>
      <c r="D2712">
        <v>23</v>
      </c>
      <c r="E2712">
        <v>927</v>
      </c>
      <c r="F2712">
        <v>24115.953155002699</v>
      </c>
      <c r="G2712" t="s">
        <v>48</v>
      </c>
      <c r="H2712">
        <v>50</v>
      </c>
      <c r="I2712">
        <v>25</v>
      </c>
      <c r="J2712">
        <v>73</v>
      </c>
      <c r="K2712">
        <v>1</v>
      </c>
      <c r="L2712" t="s">
        <v>27</v>
      </c>
      <c r="M2712">
        <v>8.7757469456701092</v>
      </c>
      <c r="N2712" t="s">
        <v>37</v>
      </c>
      <c r="O2712" t="s">
        <v>65</v>
      </c>
      <c r="P2712">
        <f>VLOOKUP(O2712, Coordinates!$A$2:$C$6, 2, FALSE)</f>
        <v>41.878100000000003</v>
      </c>
      <c r="Q2712">
        <f>VLOOKUP(O2712, Coordinates!$A$2:$C$6, 3, FALSE)</f>
        <v>-87.629800000000003</v>
      </c>
      <c r="R2712">
        <v>17</v>
      </c>
      <c r="S2712">
        <v>513</v>
      </c>
      <c r="T2712">
        <v>16</v>
      </c>
      <c r="U2712">
        <v>92.035037155355198</v>
      </c>
      <c r="V2712" t="s">
        <v>55</v>
      </c>
      <c r="W2712">
        <v>2.8978510158091599</v>
      </c>
      <c r="X2712" t="s">
        <v>40</v>
      </c>
      <c r="Y2712" t="s">
        <v>32</v>
      </c>
      <c r="Z2712">
        <v>260.268847083357</v>
      </c>
    </row>
    <row r="2713" spans="1:26" x14ac:dyDescent="0.3">
      <c r="A2713" t="s">
        <v>42</v>
      </c>
      <c r="B2713" t="s">
        <v>2769</v>
      </c>
      <c r="C2713">
        <v>36.458916470594197</v>
      </c>
      <c r="D2713">
        <v>9</v>
      </c>
      <c r="E2713">
        <v>646</v>
      </c>
      <c r="F2713">
        <v>1592.5794805778901</v>
      </c>
      <c r="G2713" t="s">
        <v>48</v>
      </c>
      <c r="H2713">
        <v>83</v>
      </c>
      <c r="I2713">
        <v>29</v>
      </c>
      <c r="J2713">
        <v>46</v>
      </c>
      <c r="K2713">
        <v>2</v>
      </c>
      <c r="L2713" t="s">
        <v>44</v>
      </c>
      <c r="M2713">
        <v>14.0076410641863</v>
      </c>
      <c r="N2713" t="s">
        <v>37</v>
      </c>
      <c r="O2713" t="s">
        <v>65</v>
      </c>
      <c r="P2713">
        <f>VLOOKUP(O2713, Coordinates!$A$2:$C$6, 2, FALSE)</f>
        <v>41.878100000000003</v>
      </c>
      <c r="Q2713">
        <f>VLOOKUP(O2713, Coordinates!$A$2:$C$6, 3, FALSE)</f>
        <v>-87.629800000000003</v>
      </c>
      <c r="R2713">
        <v>20</v>
      </c>
      <c r="S2713">
        <v>732</v>
      </c>
      <c r="T2713">
        <v>15</v>
      </c>
      <c r="U2713">
        <v>14.051603669781899</v>
      </c>
      <c r="V2713" t="s">
        <v>30</v>
      </c>
      <c r="W2713">
        <v>4.5745408533814196</v>
      </c>
      <c r="X2713" t="s">
        <v>31</v>
      </c>
      <c r="Y2713" t="s">
        <v>60</v>
      </c>
      <c r="Z2713">
        <v>415.80765863571099</v>
      </c>
    </row>
    <row r="2714" spans="1:26" x14ac:dyDescent="0.3">
      <c r="A2714" t="s">
        <v>24</v>
      </c>
      <c r="B2714" t="s">
        <v>2770</v>
      </c>
      <c r="C2714">
        <v>33.8016448114494</v>
      </c>
      <c r="D2714">
        <v>58</v>
      </c>
      <c r="E2714">
        <v>509</v>
      </c>
      <c r="F2714">
        <v>15484.5334881249</v>
      </c>
      <c r="G2714" t="s">
        <v>54</v>
      </c>
      <c r="H2714">
        <v>31</v>
      </c>
      <c r="I2714">
        <v>9</v>
      </c>
      <c r="J2714">
        <v>89</v>
      </c>
      <c r="K2714">
        <v>2</v>
      </c>
      <c r="L2714" t="s">
        <v>27</v>
      </c>
      <c r="M2714">
        <v>10.9830765353052</v>
      </c>
      <c r="N2714" t="s">
        <v>45</v>
      </c>
      <c r="O2714" t="s">
        <v>38</v>
      </c>
      <c r="P2714">
        <f>VLOOKUP(O2714, Coordinates!$A$2:$C$6, 2, FALSE)</f>
        <v>25.761700000000001</v>
      </c>
      <c r="Q2714">
        <f>VLOOKUP(O2714, Coordinates!$A$2:$C$6, 3, FALSE)</f>
        <v>-80.191800000000001</v>
      </c>
      <c r="R2714">
        <v>27</v>
      </c>
      <c r="S2714">
        <v>683</v>
      </c>
      <c r="T2714">
        <v>2</v>
      </c>
      <c r="U2714">
        <v>90.432503919596101</v>
      </c>
      <c r="V2714" t="s">
        <v>39</v>
      </c>
      <c r="W2714">
        <v>4.9242383992713696</v>
      </c>
      <c r="X2714" t="s">
        <v>40</v>
      </c>
      <c r="Y2714" t="s">
        <v>41</v>
      </c>
      <c r="Z2714">
        <v>114.956929802188</v>
      </c>
    </row>
    <row r="2715" spans="1:26" x14ac:dyDescent="0.3">
      <c r="A2715" t="s">
        <v>24</v>
      </c>
      <c r="B2715" t="s">
        <v>2771</v>
      </c>
      <c r="C2715">
        <v>25.8287411720381</v>
      </c>
      <c r="D2715">
        <v>59</v>
      </c>
      <c r="E2715">
        <v>594</v>
      </c>
      <c r="F2715">
        <v>13808.0450305716</v>
      </c>
      <c r="H2715">
        <v>47</v>
      </c>
      <c r="I2715">
        <v>17</v>
      </c>
      <c r="J2715">
        <v>94</v>
      </c>
      <c r="K2715">
        <v>7</v>
      </c>
      <c r="L2715" t="s">
        <v>44</v>
      </c>
      <c r="M2715">
        <v>14.901503372014499</v>
      </c>
      <c r="N2715" t="s">
        <v>37</v>
      </c>
      <c r="O2715" t="s">
        <v>67</v>
      </c>
      <c r="P2715">
        <f>VLOOKUP(O2715, Coordinates!$A$2:$C$6, 2, FALSE)</f>
        <v>40.712800000000001</v>
      </c>
      <c r="Q2715">
        <f>VLOOKUP(O2715, Coordinates!$A$2:$C$6, 3, FALSE)</f>
        <v>-74.006</v>
      </c>
      <c r="R2715">
        <v>15</v>
      </c>
      <c r="S2715">
        <v>964</v>
      </c>
      <c r="T2715">
        <v>24</v>
      </c>
      <c r="U2715">
        <v>82.489085650000007</v>
      </c>
      <c r="V2715" t="s">
        <v>30</v>
      </c>
      <c r="W2715">
        <v>3.0826898568538299</v>
      </c>
      <c r="X2715" t="s">
        <v>40</v>
      </c>
      <c r="Y2715" t="s">
        <v>32</v>
      </c>
      <c r="Z2715">
        <v>145.31851137575299</v>
      </c>
    </row>
    <row r="2716" spans="1:26" x14ac:dyDescent="0.3">
      <c r="A2716" t="s">
        <v>24</v>
      </c>
      <c r="B2716" t="s">
        <v>2772</v>
      </c>
      <c r="C2716">
        <v>36.432504001034097</v>
      </c>
      <c r="D2716">
        <v>93</v>
      </c>
      <c r="E2716">
        <v>776</v>
      </c>
      <c r="F2716">
        <v>25444.4607943222</v>
      </c>
      <c r="G2716" t="s">
        <v>26</v>
      </c>
      <c r="H2716">
        <v>70</v>
      </c>
      <c r="I2716">
        <v>14</v>
      </c>
      <c r="J2716">
        <v>57</v>
      </c>
      <c r="K2716">
        <v>10</v>
      </c>
      <c r="L2716" t="s">
        <v>36</v>
      </c>
      <c r="M2716">
        <v>13.733383703956299</v>
      </c>
      <c r="N2716" t="s">
        <v>37</v>
      </c>
      <c r="O2716" t="s">
        <v>67</v>
      </c>
      <c r="P2716">
        <f>VLOOKUP(O2716, Coordinates!$A$2:$C$6, 2, FALSE)</f>
        <v>40.712800000000001</v>
      </c>
      <c r="Q2716">
        <f>VLOOKUP(O2716, Coordinates!$A$2:$C$6, 3, FALSE)</f>
        <v>-74.006</v>
      </c>
      <c r="R2716">
        <v>23</v>
      </c>
      <c r="S2716">
        <v>470</v>
      </c>
      <c r="T2716">
        <v>3</v>
      </c>
      <c r="U2716">
        <v>86.582976848844595</v>
      </c>
      <c r="V2716" t="s">
        <v>39</v>
      </c>
      <c r="W2716">
        <v>0.24885305411105299</v>
      </c>
      <c r="X2716" t="s">
        <v>31</v>
      </c>
      <c r="Y2716" t="s">
        <v>60</v>
      </c>
      <c r="Z2716">
        <v>418.885225208517</v>
      </c>
    </row>
    <row r="2717" spans="1:26" x14ac:dyDescent="0.3">
      <c r="A2717" t="s">
        <v>82</v>
      </c>
      <c r="B2717" t="s">
        <v>2773</v>
      </c>
      <c r="C2717">
        <v>60.063814236672897</v>
      </c>
      <c r="D2717">
        <v>80</v>
      </c>
      <c r="E2717">
        <v>245</v>
      </c>
      <c r="F2717">
        <v>9191.9953126927994</v>
      </c>
      <c r="G2717" t="s">
        <v>35</v>
      </c>
      <c r="H2717">
        <v>70</v>
      </c>
      <c r="I2717">
        <v>13</v>
      </c>
      <c r="J2717">
        <v>65</v>
      </c>
      <c r="K2717">
        <v>6</v>
      </c>
      <c r="L2717" t="s">
        <v>44</v>
      </c>
      <c r="M2717">
        <v>7.8860074274659304</v>
      </c>
      <c r="N2717" t="s">
        <v>57</v>
      </c>
      <c r="O2717" t="s">
        <v>58</v>
      </c>
      <c r="P2717">
        <f>VLOOKUP(O2717, Coordinates!$A$2:$C$6, 2, FALSE)</f>
        <v>34.052199999999999</v>
      </c>
      <c r="Q2717">
        <f>VLOOKUP(O2717, Coordinates!$A$2:$C$6, 3, FALSE)</f>
        <v>-118.2437</v>
      </c>
      <c r="R2717">
        <v>12</v>
      </c>
      <c r="S2717">
        <v>675</v>
      </c>
      <c r="T2717">
        <v>15</v>
      </c>
      <c r="U2717">
        <v>41.506822435020503</v>
      </c>
      <c r="V2717" t="s">
        <v>55</v>
      </c>
      <c r="W2717">
        <v>0.70432468378814495</v>
      </c>
      <c r="X2717" t="s">
        <v>52</v>
      </c>
      <c r="Y2717" t="s">
        <v>32</v>
      </c>
      <c r="Z2717">
        <v>575.54932637619095</v>
      </c>
    </row>
    <row r="2718" spans="1:26" x14ac:dyDescent="0.3">
      <c r="A2718" t="s">
        <v>61</v>
      </c>
      <c r="B2718" t="s">
        <v>2774</v>
      </c>
      <c r="C2718">
        <v>7.1107557924301297</v>
      </c>
      <c r="D2718">
        <v>54</v>
      </c>
      <c r="E2718">
        <v>657</v>
      </c>
      <c r="F2718">
        <v>3736.9900660855301</v>
      </c>
      <c r="G2718" t="s">
        <v>54</v>
      </c>
      <c r="H2718">
        <v>19</v>
      </c>
      <c r="I2718">
        <v>13</v>
      </c>
      <c r="J2718">
        <v>53</v>
      </c>
      <c r="K2718">
        <v>9</v>
      </c>
      <c r="L2718" t="s">
        <v>36</v>
      </c>
      <c r="M2718">
        <v>7.8116913282767699</v>
      </c>
      <c r="N2718" t="s">
        <v>45</v>
      </c>
      <c r="O2718" t="s">
        <v>38</v>
      </c>
      <c r="P2718">
        <f>VLOOKUP(O2718, Coordinates!$A$2:$C$6, 2, FALSE)</f>
        <v>25.761700000000001</v>
      </c>
      <c r="Q2718">
        <f>VLOOKUP(O2718, Coordinates!$A$2:$C$6, 3, FALSE)</f>
        <v>-80.191800000000001</v>
      </c>
      <c r="R2718">
        <v>30</v>
      </c>
      <c r="S2718">
        <v>342</v>
      </c>
      <c r="T2718">
        <v>25</v>
      </c>
      <c r="U2718">
        <v>17.991379667521802</v>
      </c>
      <c r="V2718" t="s">
        <v>39</v>
      </c>
      <c r="W2718">
        <v>4.5626668019219299</v>
      </c>
      <c r="X2718" t="s">
        <v>52</v>
      </c>
      <c r="Y2718" t="s">
        <v>41</v>
      </c>
      <c r="Z2718">
        <v>313.38469296551</v>
      </c>
    </row>
    <row r="2719" spans="1:26" x14ac:dyDescent="0.3">
      <c r="A2719" t="s">
        <v>42</v>
      </c>
      <c r="B2719" t="s">
        <v>2775</v>
      </c>
      <c r="D2719">
        <v>46</v>
      </c>
      <c r="E2719">
        <v>911</v>
      </c>
      <c r="F2719">
        <v>5047.5286953289497</v>
      </c>
      <c r="G2719" t="s">
        <v>26</v>
      </c>
      <c r="H2719">
        <v>6</v>
      </c>
      <c r="I2719">
        <v>23</v>
      </c>
      <c r="J2719">
        <v>22</v>
      </c>
      <c r="K2719">
        <v>5</v>
      </c>
      <c r="L2719" t="s">
        <v>44</v>
      </c>
      <c r="M2719">
        <v>9.7970012175999504</v>
      </c>
      <c r="N2719" t="s">
        <v>28</v>
      </c>
      <c r="O2719" t="s">
        <v>67</v>
      </c>
      <c r="P2719">
        <f>VLOOKUP(O2719, Coordinates!$A$2:$C$6, 2, FALSE)</f>
        <v>40.712800000000001</v>
      </c>
      <c r="Q2719">
        <f>VLOOKUP(O2719, Coordinates!$A$2:$C$6, 3, FALSE)</f>
        <v>-74.006</v>
      </c>
      <c r="R2719">
        <v>12</v>
      </c>
      <c r="S2719">
        <v>738</v>
      </c>
      <c r="T2719">
        <v>8</v>
      </c>
      <c r="U2719">
        <v>31.0363385314886</v>
      </c>
      <c r="V2719" t="s">
        <v>55</v>
      </c>
      <c r="W2719">
        <v>4.1060368470000004</v>
      </c>
      <c r="X2719" t="s">
        <v>31</v>
      </c>
      <c r="Y2719" t="s">
        <v>41</v>
      </c>
      <c r="Z2719">
        <v>249.814341745381</v>
      </c>
    </row>
    <row r="2720" spans="1:26" x14ac:dyDescent="0.3">
      <c r="A2720" t="s">
        <v>61</v>
      </c>
      <c r="B2720" t="s">
        <v>2776</v>
      </c>
      <c r="C2720">
        <v>8.9356684378418301</v>
      </c>
      <c r="D2720">
        <v>22</v>
      </c>
      <c r="E2720">
        <v>679</v>
      </c>
      <c r="F2720">
        <v>5893.8621032679002</v>
      </c>
      <c r="G2720" t="s">
        <v>48</v>
      </c>
      <c r="H2720">
        <v>34</v>
      </c>
      <c r="I2720">
        <v>7</v>
      </c>
      <c r="J2720">
        <v>13</v>
      </c>
      <c r="K2720">
        <v>9</v>
      </c>
      <c r="L2720" t="s">
        <v>27</v>
      </c>
      <c r="M2720">
        <v>2.5530983636323499</v>
      </c>
      <c r="N2720" t="s">
        <v>51</v>
      </c>
      <c r="O2720" t="s">
        <v>65</v>
      </c>
      <c r="P2720">
        <f>VLOOKUP(O2720, Coordinates!$A$2:$C$6, 2, FALSE)</f>
        <v>41.878100000000003</v>
      </c>
      <c r="Q2720">
        <f>VLOOKUP(O2720, Coordinates!$A$2:$C$6, 3, FALSE)</f>
        <v>-87.629800000000003</v>
      </c>
      <c r="R2720">
        <v>19</v>
      </c>
      <c r="S2720">
        <v>472</v>
      </c>
      <c r="T2720">
        <v>12</v>
      </c>
      <c r="U2720">
        <v>26.573235830624501</v>
      </c>
      <c r="V2720" t="s">
        <v>55</v>
      </c>
      <c r="W2720">
        <v>3.6656634537502901</v>
      </c>
      <c r="X2720" t="s">
        <v>52</v>
      </c>
      <c r="Y2720" t="s">
        <v>41</v>
      </c>
      <c r="Z2720">
        <v>478.60615329897303</v>
      </c>
    </row>
    <row r="2721" spans="1:26" x14ac:dyDescent="0.3">
      <c r="A2721" t="s">
        <v>33</v>
      </c>
      <c r="B2721" t="s">
        <v>2777</v>
      </c>
      <c r="C2721">
        <v>96.941260076606</v>
      </c>
      <c r="D2721">
        <v>64</v>
      </c>
      <c r="E2721">
        <v>986</v>
      </c>
      <c r="F2721">
        <v>1902.0869035865701</v>
      </c>
      <c r="G2721" t="s">
        <v>48</v>
      </c>
      <c r="H2721">
        <v>3</v>
      </c>
      <c r="I2721">
        <v>27</v>
      </c>
      <c r="J2721">
        <v>82</v>
      </c>
      <c r="K2721">
        <v>10</v>
      </c>
      <c r="L2721" t="s">
        <v>27</v>
      </c>
      <c r="M2721">
        <v>9.5075793663177706</v>
      </c>
      <c r="N2721" t="s">
        <v>28</v>
      </c>
      <c r="O2721" t="s">
        <v>67</v>
      </c>
      <c r="P2721">
        <f>VLOOKUP(O2721, Coordinates!$A$2:$C$6, 2, FALSE)</f>
        <v>40.712800000000001</v>
      </c>
      <c r="Q2721">
        <f>VLOOKUP(O2721, Coordinates!$A$2:$C$6, 3, FALSE)</f>
        <v>-74.006</v>
      </c>
      <c r="R2721">
        <v>12</v>
      </c>
      <c r="S2721">
        <v>138</v>
      </c>
      <c r="T2721">
        <v>22</v>
      </c>
      <c r="U2721">
        <v>77.110015344044299</v>
      </c>
      <c r="V2721" t="s">
        <v>55</v>
      </c>
      <c r="W2721">
        <v>4.8703219552299704</v>
      </c>
      <c r="X2721" t="s">
        <v>52</v>
      </c>
      <c r="Y2721" t="s">
        <v>60</v>
      </c>
      <c r="Z2721">
        <v>253.60804141011201</v>
      </c>
    </row>
    <row r="2722" spans="1:26" x14ac:dyDescent="0.3">
      <c r="A2722" t="s">
        <v>33</v>
      </c>
      <c r="B2722" t="s">
        <v>2778</v>
      </c>
      <c r="C2722">
        <v>57.237096944617797</v>
      </c>
      <c r="D2722">
        <v>8</v>
      </c>
      <c r="E2722">
        <v>132</v>
      </c>
      <c r="F2722">
        <v>9389.4554729226893</v>
      </c>
      <c r="G2722" t="s">
        <v>35</v>
      </c>
      <c r="H2722">
        <v>39</v>
      </c>
      <c r="I2722">
        <v>26</v>
      </c>
      <c r="J2722">
        <v>42</v>
      </c>
      <c r="K2722">
        <v>9</v>
      </c>
      <c r="L2722" t="s">
        <v>44</v>
      </c>
      <c r="M2722">
        <v>7.4970362773654502</v>
      </c>
      <c r="N2722" t="s">
        <v>45</v>
      </c>
      <c r="O2722" t="s">
        <v>38</v>
      </c>
      <c r="P2722">
        <f>VLOOKUP(O2722, Coordinates!$A$2:$C$6, 2, FALSE)</f>
        <v>25.761700000000001</v>
      </c>
      <c r="Q2722">
        <f>VLOOKUP(O2722, Coordinates!$A$2:$C$6, 3, FALSE)</f>
        <v>-80.191800000000001</v>
      </c>
      <c r="R2722">
        <v>28</v>
      </c>
      <c r="S2722">
        <v>996</v>
      </c>
      <c r="T2722">
        <v>26</v>
      </c>
      <c r="U2722">
        <v>80.195174470118204</v>
      </c>
      <c r="V2722" t="s">
        <v>39</v>
      </c>
      <c r="W2722">
        <v>4.2861714338325498</v>
      </c>
      <c r="X2722" t="s">
        <v>31</v>
      </c>
      <c r="Y2722" t="s">
        <v>41</v>
      </c>
      <c r="Z2722">
        <v>667.80698353228297</v>
      </c>
    </row>
    <row r="2723" spans="1:26" x14ac:dyDescent="0.3">
      <c r="A2723" t="s">
        <v>33</v>
      </c>
      <c r="B2723" t="s">
        <v>2779</v>
      </c>
      <c r="C2723">
        <v>96.500107571181303</v>
      </c>
      <c r="D2723">
        <v>20</v>
      </c>
      <c r="E2723">
        <v>917</v>
      </c>
      <c r="F2723">
        <v>4370.8253720593602</v>
      </c>
      <c r="G2723" t="s">
        <v>26</v>
      </c>
      <c r="H2723">
        <v>5</v>
      </c>
      <c r="I2723">
        <v>30</v>
      </c>
      <c r="J2723">
        <v>46</v>
      </c>
      <c r="K2723">
        <v>2</v>
      </c>
      <c r="L2723" t="s">
        <v>44</v>
      </c>
      <c r="M2723">
        <v>9.9983659734165506</v>
      </c>
      <c r="N2723" t="s">
        <v>57</v>
      </c>
      <c r="O2723" t="s">
        <v>67</v>
      </c>
      <c r="P2723">
        <f>VLOOKUP(O2723, Coordinates!$A$2:$C$6, 2, FALSE)</f>
        <v>40.712800000000001</v>
      </c>
      <c r="Q2723">
        <f>VLOOKUP(O2723, Coordinates!$A$2:$C$6, 3, FALSE)</f>
        <v>-74.006</v>
      </c>
      <c r="R2723">
        <v>28</v>
      </c>
      <c r="S2723">
        <v>452</v>
      </c>
      <c r="T2723">
        <v>2</v>
      </c>
      <c r="U2723">
        <v>79.931261175563705</v>
      </c>
      <c r="V2723" t="s">
        <v>30</v>
      </c>
      <c r="W2723">
        <v>1.9067610941311699</v>
      </c>
      <c r="X2723" t="s">
        <v>52</v>
      </c>
      <c r="Y2723" t="s">
        <v>60</v>
      </c>
      <c r="Z2723">
        <v>959.76014075037097</v>
      </c>
    </row>
    <row r="2724" spans="1:26" x14ac:dyDescent="0.3">
      <c r="A2724" t="s">
        <v>72</v>
      </c>
      <c r="B2724" t="s">
        <v>2780</v>
      </c>
      <c r="C2724">
        <v>27.777685766685401</v>
      </c>
      <c r="D2724">
        <v>51</v>
      </c>
      <c r="E2724">
        <v>204</v>
      </c>
      <c r="F2724">
        <v>5099.9831067634404</v>
      </c>
      <c r="H2724">
        <v>51</v>
      </c>
      <c r="I2724">
        <v>24</v>
      </c>
      <c r="J2724">
        <v>62</v>
      </c>
      <c r="K2724">
        <v>9</v>
      </c>
      <c r="L2724" t="s">
        <v>27</v>
      </c>
      <c r="M2724">
        <v>8.9129395559926898</v>
      </c>
      <c r="N2724" t="s">
        <v>51</v>
      </c>
      <c r="O2724" t="s">
        <v>29</v>
      </c>
      <c r="P2724">
        <f>VLOOKUP(O2724, Coordinates!$A$2:$C$6, 2, FALSE)</f>
        <v>29.760400000000001</v>
      </c>
      <c r="Q2724">
        <f>VLOOKUP(O2724, Coordinates!$A$2:$C$6, 3, FALSE)</f>
        <v>-95.369799999999998</v>
      </c>
      <c r="R2724">
        <v>6</v>
      </c>
      <c r="S2724">
        <v>525</v>
      </c>
      <c r="T2724">
        <v>15</v>
      </c>
      <c r="U2724">
        <v>82.209053269999998</v>
      </c>
      <c r="V2724" t="s">
        <v>30</v>
      </c>
      <c r="W2724">
        <v>0.79395400787580395</v>
      </c>
      <c r="X2724" t="s">
        <v>40</v>
      </c>
      <c r="Y2724" t="s">
        <v>32</v>
      </c>
      <c r="Z2724">
        <v>825.88906929999996</v>
      </c>
    </row>
    <row r="2725" spans="1:26" x14ac:dyDescent="0.3">
      <c r="A2725" t="s">
        <v>24</v>
      </c>
      <c r="B2725" t="s">
        <v>2781</v>
      </c>
      <c r="C2725">
        <v>35.932959477708799</v>
      </c>
      <c r="D2725">
        <v>78</v>
      </c>
      <c r="E2725">
        <v>966</v>
      </c>
      <c r="F2725">
        <v>31240.11496992</v>
      </c>
      <c r="G2725" t="s">
        <v>26</v>
      </c>
      <c r="H2725">
        <v>38</v>
      </c>
      <c r="I2725">
        <v>6</v>
      </c>
      <c r="J2725">
        <v>33</v>
      </c>
      <c r="K2725">
        <v>3</v>
      </c>
      <c r="L2725" t="s">
        <v>44</v>
      </c>
      <c r="M2725">
        <v>5.3455420439832597</v>
      </c>
      <c r="N2725" t="s">
        <v>28</v>
      </c>
      <c r="O2725" t="s">
        <v>38</v>
      </c>
      <c r="P2725">
        <f>VLOOKUP(O2725, Coordinates!$A$2:$C$6, 2, FALSE)</f>
        <v>25.761700000000001</v>
      </c>
      <c r="Q2725">
        <f>VLOOKUP(O2725, Coordinates!$A$2:$C$6, 3, FALSE)</f>
        <v>-80.191800000000001</v>
      </c>
      <c r="R2725">
        <v>8</v>
      </c>
      <c r="S2725">
        <v>176</v>
      </c>
      <c r="T2725">
        <v>8</v>
      </c>
      <c r="U2725">
        <v>89.089943701969503</v>
      </c>
      <c r="V2725" t="s">
        <v>55</v>
      </c>
      <c r="W2725">
        <v>0.18480642024750801</v>
      </c>
      <c r="X2725" t="s">
        <v>52</v>
      </c>
      <c r="Y2725" t="s">
        <v>60</v>
      </c>
      <c r="Z2725">
        <v>293.69240514607799</v>
      </c>
    </row>
    <row r="2726" spans="1:26" x14ac:dyDescent="0.3">
      <c r="A2726" t="s">
        <v>72</v>
      </c>
      <c r="B2726" t="s">
        <v>2782</v>
      </c>
      <c r="C2726">
        <v>20.387415928647599</v>
      </c>
      <c r="D2726">
        <v>39</v>
      </c>
      <c r="E2726">
        <v>906</v>
      </c>
      <c r="F2726">
        <v>16623.898948219201</v>
      </c>
      <c r="G2726" t="s">
        <v>48</v>
      </c>
      <c r="H2726">
        <v>67</v>
      </c>
      <c r="I2726">
        <v>25</v>
      </c>
      <c r="J2726">
        <v>98</v>
      </c>
      <c r="K2726">
        <v>3</v>
      </c>
      <c r="L2726" t="s">
        <v>44</v>
      </c>
      <c r="M2726">
        <v>9.5086677622576907</v>
      </c>
      <c r="N2726" t="s">
        <v>51</v>
      </c>
      <c r="O2726" t="s">
        <v>58</v>
      </c>
      <c r="P2726">
        <f>VLOOKUP(O2726, Coordinates!$A$2:$C$6, 2, FALSE)</f>
        <v>34.052199999999999</v>
      </c>
      <c r="Q2726">
        <f>VLOOKUP(O2726, Coordinates!$A$2:$C$6, 3, FALSE)</f>
        <v>-118.2437</v>
      </c>
      <c r="R2726">
        <v>11</v>
      </c>
      <c r="S2726">
        <v>609</v>
      </c>
      <c r="T2726">
        <v>27</v>
      </c>
      <c r="U2726">
        <v>83.729043981036</v>
      </c>
      <c r="V2726" t="s">
        <v>30</v>
      </c>
      <c r="W2726">
        <v>1.3219877814723699</v>
      </c>
      <c r="X2726" t="s">
        <v>52</v>
      </c>
      <c r="Y2726" t="s">
        <v>32</v>
      </c>
      <c r="Z2726">
        <v>956.02177841346702</v>
      </c>
    </row>
    <row r="2727" spans="1:26" x14ac:dyDescent="0.3">
      <c r="A2727" t="s">
        <v>82</v>
      </c>
      <c r="B2727" t="s">
        <v>2783</v>
      </c>
      <c r="C2727">
        <v>9.8426133169999996</v>
      </c>
      <c r="D2727">
        <v>37</v>
      </c>
      <c r="E2727">
        <v>547</v>
      </c>
      <c r="F2727">
        <v>5622.8740463919603</v>
      </c>
      <c r="G2727" t="s">
        <v>54</v>
      </c>
      <c r="H2727">
        <v>60</v>
      </c>
      <c r="I2727">
        <v>3</v>
      </c>
      <c r="J2727">
        <v>60</v>
      </c>
      <c r="K2727">
        <v>9</v>
      </c>
      <c r="L2727" t="s">
        <v>27</v>
      </c>
      <c r="M2727">
        <v>6.12420094017551</v>
      </c>
      <c r="N2727" t="s">
        <v>51</v>
      </c>
      <c r="O2727" t="s">
        <v>65</v>
      </c>
      <c r="P2727">
        <f>VLOOKUP(O2727, Coordinates!$A$2:$C$6, 2, FALSE)</f>
        <v>41.878100000000003</v>
      </c>
      <c r="Q2727">
        <f>VLOOKUP(O2727, Coordinates!$A$2:$C$6, 3, FALSE)</f>
        <v>-87.629800000000003</v>
      </c>
      <c r="R2727">
        <v>3</v>
      </c>
      <c r="S2727">
        <v>616</v>
      </c>
      <c r="T2727">
        <v>22</v>
      </c>
      <c r="U2727">
        <v>47.3442418818248</v>
      </c>
      <c r="V2727" t="s">
        <v>30</v>
      </c>
      <c r="W2727">
        <v>1.2223592209360801</v>
      </c>
      <c r="X2727" t="s">
        <v>40</v>
      </c>
      <c r="Y2727" t="s">
        <v>60</v>
      </c>
      <c r="Z2727">
        <v>776.01496159999999</v>
      </c>
    </row>
    <row r="2728" spans="1:26" x14ac:dyDescent="0.3">
      <c r="A2728" t="s">
        <v>33</v>
      </c>
      <c r="B2728" t="s">
        <v>2784</v>
      </c>
      <c r="C2728">
        <v>63.665265930919503</v>
      </c>
      <c r="D2728">
        <v>50</v>
      </c>
      <c r="E2728">
        <v>956</v>
      </c>
      <c r="F2728">
        <v>7250.8777663354604</v>
      </c>
      <c r="G2728" t="s">
        <v>48</v>
      </c>
      <c r="H2728">
        <v>3</v>
      </c>
      <c r="I2728">
        <v>27</v>
      </c>
      <c r="J2728">
        <v>50</v>
      </c>
      <c r="K2728">
        <v>7</v>
      </c>
      <c r="L2728" t="s">
        <v>36</v>
      </c>
      <c r="M2728">
        <v>3.7246959689999999</v>
      </c>
      <c r="N2728" t="s">
        <v>51</v>
      </c>
      <c r="O2728" t="s">
        <v>67</v>
      </c>
      <c r="P2728">
        <f>VLOOKUP(O2728, Coordinates!$A$2:$C$6, 2, FALSE)</f>
        <v>40.712800000000001</v>
      </c>
      <c r="Q2728">
        <f>VLOOKUP(O2728, Coordinates!$A$2:$C$6, 3, FALSE)</f>
        <v>-74.006</v>
      </c>
      <c r="R2728">
        <v>16</v>
      </c>
      <c r="S2728">
        <v>239</v>
      </c>
      <c r="T2728">
        <v>11</v>
      </c>
      <c r="U2728">
        <v>92.4191665938515</v>
      </c>
      <c r="V2728" t="s">
        <v>55</v>
      </c>
      <c r="W2728">
        <v>2.1001385923109499</v>
      </c>
      <c r="X2728" t="s">
        <v>40</v>
      </c>
      <c r="Y2728" t="s">
        <v>41</v>
      </c>
      <c r="Z2728">
        <v>239.47483424279901</v>
      </c>
    </row>
    <row r="2729" spans="1:26" x14ac:dyDescent="0.3">
      <c r="A2729" t="s">
        <v>42</v>
      </c>
      <c r="B2729" t="s">
        <v>2785</v>
      </c>
      <c r="C2729">
        <v>24.7394249913606</v>
      </c>
      <c r="D2729">
        <v>34</v>
      </c>
      <c r="E2729">
        <v>654</v>
      </c>
      <c r="F2729">
        <v>1499.3554786111899</v>
      </c>
      <c r="G2729" t="s">
        <v>48</v>
      </c>
      <c r="H2729">
        <v>80</v>
      </c>
      <c r="I2729">
        <v>18</v>
      </c>
      <c r="J2729">
        <v>38</v>
      </c>
      <c r="K2729">
        <v>8</v>
      </c>
      <c r="L2729" t="s">
        <v>27</v>
      </c>
      <c r="M2729">
        <v>10.4509918686124</v>
      </c>
      <c r="N2729" t="s">
        <v>37</v>
      </c>
      <c r="O2729" t="s">
        <v>58</v>
      </c>
      <c r="P2729">
        <f>VLOOKUP(O2729, Coordinates!$A$2:$C$6, 2, FALSE)</f>
        <v>34.052199999999999</v>
      </c>
      <c r="Q2729">
        <f>VLOOKUP(O2729, Coordinates!$A$2:$C$6, 3, FALSE)</f>
        <v>-118.2437</v>
      </c>
      <c r="R2729">
        <v>6</v>
      </c>
      <c r="S2729">
        <v>351</v>
      </c>
      <c r="T2729">
        <v>17</v>
      </c>
      <c r="U2729">
        <v>65.01027268</v>
      </c>
      <c r="V2729" t="s">
        <v>30</v>
      </c>
      <c r="W2729">
        <v>0.70040603999999995</v>
      </c>
      <c r="X2729" t="s">
        <v>46</v>
      </c>
      <c r="Y2729" t="s">
        <v>41</v>
      </c>
      <c r="Z2729">
        <v>621.487612582211</v>
      </c>
    </row>
    <row r="2730" spans="1:26" x14ac:dyDescent="0.3">
      <c r="A2730" t="s">
        <v>61</v>
      </c>
      <c r="B2730" t="s">
        <v>2786</v>
      </c>
      <c r="C2730">
        <v>60.831216737316801</v>
      </c>
      <c r="D2730">
        <v>75</v>
      </c>
      <c r="E2730">
        <v>496</v>
      </c>
      <c r="F2730">
        <v>3560.8654924484999</v>
      </c>
      <c r="G2730" t="s">
        <v>26</v>
      </c>
      <c r="H2730">
        <v>64</v>
      </c>
      <c r="I2730">
        <v>22</v>
      </c>
      <c r="J2730">
        <v>68</v>
      </c>
      <c r="K2730">
        <v>7</v>
      </c>
      <c r="L2730" t="s">
        <v>27</v>
      </c>
      <c r="M2730">
        <v>5.2888593022601196</v>
      </c>
      <c r="N2730" t="s">
        <v>45</v>
      </c>
      <c r="O2730" t="s">
        <v>38</v>
      </c>
      <c r="P2730">
        <f>VLOOKUP(O2730, Coordinates!$A$2:$C$6, 2, FALSE)</f>
        <v>25.761700000000001</v>
      </c>
      <c r="Q2730">
        <f>VLOOKUP(O2730, Coordinates!$A$2:$C$6, 3, FALSE)</f>
        <v>-80.191800000000001</v>
      </c>
      <c r="R2730">
        <v>26</v>
      </c>
      <c r="S2730">
        <v>768</v>
      </c>
      <c r="T2730">
        <v>22</v>
      </c>
      <c r="U2730">
        <v>36.495880032303504</v>
      </c>
      <c r="V2730" t="s">
        <v>39</v>
      </c>
      <c r="W2730">
        <v>3.5868533737548498</v>
      </c>
      <c r="X2730" t="s">
        <v>31</v>
      </c>
      <c r="Y2730" t="s">
        <v>32</v>
      </c>
      <c r="Z2730">
        <v>969.83077995337499</v>
      </c>
    </row>
    <row r="2731" spans="1:26" x14ac:dyDescent="0.3">
      <c r="A2731" t="s">
        <v>24</v>
      </c>
      <c r="B2731" t="s">
        <v>2787</v>
      </c>
      <c r="C2731">
        <v>27.861681978979998</v>
      </c>
      <c r="D2731">
        <v>33</v>
      </c>
      <c r="E2731">
        <v>25</v>
      </c>
      <c r="F2731">
        <v>626.88784452704999</v>
      </c>
      <c r="G2731" t="s">
        <v>35</v>
      </c>
      <c r="H2731">
        <v>61</v>
      </c>
      <c r="I2731">
        <v>23</v>
      </c>
      <c r="J2731">
        <v>49</v>
      </c>
      <c r="K2731">
        <v>9</v>
      </c>
      <c r="L2731" t="s">
        <v>44</v>
      </c>
      <c r="M2731">
        <v>13.446346918124499</v>
      </c>
      <c r="N2731" t="s">
        <v>45</v>
      </c>
      <c r="O2731" t="s">
        <v>38</v>
      </c>
      <c r="P2731">
        <f>VLOOKUP(O2731, Coordinates!$A$2:$C$6, 2, FALSE)</f>
        <v>25.761700000000001</v>
      </c>
      <c r="Q2731">
        <f>VLOOKUP(O2731, Coordinates!$A$2:$C$6, 3, FALSE)</f>
        <v>-80.191800000000001</v>
      </c>
      <c r="R2731">
        <v>28</v>
      </c>
      <c r="S2731">
        <v>870</v>
      </c>
      <c r="T2731">
        <v>29</v>
      </c>
      <c r="U2731">
        <v>90.296745529077299</v>
      </c>
      <c r="V2731" t="s">
        <v>55</v>
      </c>
      <c r="W2731">
        <v>4.2309587807393099</v>
      </c>
      <c r="X2731" t="s">
        <v>46</v>
      </c>
      <c r="Y2731" t="s">
        <v>60</v>
      </c>
      <c r="Z2731">
        <v>187.082307382735</v>
      </c>
    </row>
    <row r="2732" spans="1:26" x14ac:dyDescent="0.3">
      <c r="A2732" t="s">
        <v>49</v>
      </c>
      <c r="B2732" t="s">
        <v>2788</v>
      </c>
      <c r="C2732">
        <v>36.538714786106702</v>
      </c>
      <c r="D2732">
        <v>31</v>
      </c>
      <c r="E2732">
        <v>238</v>
      </c>
      <c r="F2732">
        <v>1719.04319012224</v>
      </c>
      <c r="G2732" t="s">
        <v>48</v>
      </c>
      <c r="H2732">
        <v>80</v>
      </c>
      <c r="I2732">
        <v>6</v>
      </c>
      <c r="J2732">
        <v>60</v>
      </c>
      <c r="K2732">
        <v>8</v>
      </c>
      <c r="L2732" t="s">
        <v>27</v>
      </c>
      <c r="M2732">
        <v>3.7906544359989902</v>
      </c>
      <c r="N2732" t="s">
        <v>57</v>
      </c>
      <c r="O2732" t="s">
        <v>29</v>
      </c>
      <c r="P2732">
        <f>VLOOKUP(O2732, Coordinates!$A$2:$C$6, 2, FALSE)</f>
        <v>29.760400000000001</v>
      </c>
      <c r="Q2732">
        <f>VLOOKUP(O2732, Coordinates!$A$2:$C$6, 3, FALSE)</f>
        <v>-95.369799999999998</v>
      </c>
      <c r="R2732">
        <v>6</v>
      </c>
      <c r="S2732">
        <v>416</v>
      </c>
      <c r="T2732">
        <v>21</v>
      </c>
      <c r="U2732">
        <v>99.293448042651306</v>
      </c>
      <c r="V2732" t="s">
        <v>55</v>
      </c>
      <c r="W2732">
        <v>3.7409446579915699</v>
      </c>
      <c r="X2732" t="s">
        <v>46</v>
      </c>
      <c r="Y2732" t="s">
        <v>60</v>
      </c>
      <c r="Z2732">
        <v>343.904477317013</v>
      </c>
    </row>
    <row r="2733" spans="1:26" x14ac:dyDescent="0.3">
      <c r="A2733" t="s">
        <v>42</v>
      </c>
      <c r="B2733" t="s">
        <v>2789</v>
      </c>
      <c r="C2733">
        <v>79.255093015058407</v>
      </c>
      <c r="D2733">
        <v>54</v>
      </c>
      <c r="E2733">
        <v>837</v>
      </c>
      <c r="F2733">
        <v>8699.3735922636097</v>
      </c>
      <c r="G2733" t="s">
        <v>26</v>
      </c>
      <c r="H2733">
        <v>4</v>
      </c>
      <c r="I2733">
        <v>28</v>
      </c>
      <c r="J2733">
        <v>59</v>
      </c>
      <c r="K2733">
        <v>4</v>
      </c>
      <c r="L2733" t="s">
        <v>27</v>
      </c>
      <c r="M2733">
        <v>9.4020165380551894</v>
      </c>
      <c r="N2733" t="s">
        <v>28</v>
      </c>
      <c r="O2733" t="s">
        <v>67</v>
      </c>
      <c r="P2733">
        <f>VLOOKUP(O2733, Coordinates!$A$2:$C$6, 2, FALSE)</f>
        <v>40.712800000000001</v>
      </c>
      <c r="Q2733">
        <f>VLOOKUP(O2733, Coordinates!$A$2:$C$6, 3, FALSE)</f>
        <v>-74.006</v>
      </c>
      <c r="R2733">
        <v>5</v>
      </c>
      <c r="S2733">
        <v>519</v>
      </c>
      <c r="T2733">
        <v>22</v>
      </c>
      <c r="U2733">
        <v>86.452305413712594</v>
      </c>
      <c r="V2733" t="s">
        <v>55</v>
      </c>
      <c r="W2733">
        <v>4.2108866474663298</v>
      </c>
      <c r="X2733" t="s">
        <v>52</v>
      </c>
      <c r="Y2733" t="s">
        <v>32</v>
      </c>
      <c r="Z2733">
        <v>436.68256955927302</v>
      </c>
    </row>
    <row r="2734" spans="1:26" x14ac:dyDescent="0.3">
      <c r="A2734" t="s">
        <v>24</v>
      </c>
      <c r="B2734" t="s">
        <v>2790</v>
      </c>
      <c r="C2734">
        <v>24.403768636229199</v>
      </c>
      <c r="D2734">
        <v>44</v>
      </c>
      <c r="E2734">
        <v>795</v>
      </c>
      <c r="F2734">
        <v>17460.896459222</v>
      </c>
      <c r="G2734" t="s">
        <v>54</v>
      </c>
      <c r="H2734">
        <v>5</v>
      </c>
      <c r="I2734">
        <v>3</v>
      </c>
      <c r="J2734">
        <v>45</v>
      </c>
      <c r="K2734">
        <v>2</v>
      </c>
      <c r="L2734" t="s">
        <v>44</v>
      </c>
      <c r="M2734">
        <v>9.0016828478895405</v>
      </c>
      <c r="N2734" t="s">
        <v>57</v>
      </c>
      <c r="O2734" t="s">
        <v>58</v>
      </c>
      <c r="P2734">
        <f>VLOOKUP(O2734, Coordinates!$A$2:$C$6, 2, FALSE)</f>
        <v>34.052199999999999</v>
      </c>
      <c r="Q2734">
        <f>VLOOKUP(O2734, Coordinates!$A$2:$C$6, 3, FALSE)</f>
        <v>-118.2437</v>
      </c>
      <c r="R2734">
        <v>1</v>
      </c>
      <c r="S2734">
        <v>978</v>
      </c>
      <c r="T2734">
        <v>29</v>
      </c>
      <c r="U2734">
        <v>75.255923151654898</v>
      </c>
      <c r="V2734" t="s">
        <v>55</v>
      </c>
      <c r="W2734">
        <v>4.0236429666076603</v>
      </c>
      <c r="X2734" t="s">
        <v>40</v>
      </c>
      <c r="Y2734" t="s">
        <v>60</v>
      </c>
      <c r="Z2734">
        <v>204.03484586552599</v>
      </c>
    </row>
    <row r="2735" spans="1:26" x14ac:dyDescent="0.3">
      <c r="A2735" t="s">
        <v>72</v>
      </c>
      <c r="B2735" t="s">
        <v>2791</v>
      </c>
      <c r="C2735">
        <v>28.873606373509102</v>
      </c>
      <c r="D2735">
        <v>34</v>
      </c>
      <c r="E2735">
        <v>647</v>
      </c>
      <c r="F2735">
        <v>16813.100991294301</v>
      </c>
      <c r="G2735" t="s">
        <v>35</v>
      </c>
      <c r="H2735">
        <v>74</v>
      </c>
      <c r="I2735">
        <v>16</v>
      </c>
      <c r="J2735">
        <v>88</v>
      </c>
      <c r="K2735">
        <v>5</v>
      </c>
      <c r="L2735" t="s">
        <v>44</v>
      </c>
      <c r="M2735">
        <v>3.76838521121612</v>
      </c>
      <c r="N2735" t="s">
        <v>28</v>
      </c>
      <c r="O2735" t="s">
        <v>67</v>
      </c>
      <c r="P2735">
        <f>VLOOKUP(O2735, Coordinates!$A$2:$C$6, 2, FALSE)</f>
        <v>40.712800000000001</v>
      </c>
      <c r="Q2735">
        <f>VLOOKUP(O2735, Coordinates!$A$2:$C$6, 3, FALSE)</f>
        <v>-74.006</v>
      </c>
      <c r="R2735">
        <v>3</v>
      </c>
      <c r="S2735">
        <v>848</v>
      </c>
      <c r="T2735">
        <v>1</v>
      </c>
      <c r="U2735">
        <v>81.803070945021403</v>
      </c>
      <c r="V2735" t="s">
        <v>39</v>
      </c>
      <c r="W2735">
        <v>1.94813168220317</v>
      </c>
      <c r="X2735" t="s">
        <v>46</v>
      </c>
      <c r="Y2735" t="s">
        <v>60</v>
      </c>
      <c r="Z2735">
        <v>369.32138798968202</v>
      </c>
    </row>
    <row r="2736" spans="1:26" x14ac:dyDescent="0.3">
      <c r="A2736" t="s">
        <v>72</v>
      </c>
      <c r="B2736" t="s">
        <v>2792</v>
      </c>
      <c r="D2736">
        <v>71</v>
      </c>
      <c r="E2736">
        <v>420</v>
      </c>
      <c r="F2736">
        <v>14717.883222966</v>
      </c>
      <c r="G2736" t="s">
        <v>48</v>
      </c>
      <c r="H2736">
        <v>42</v>
      </c>
      <c r="I2736">
        <v>5</v>
      </c>
      <c r="J2736">
        <v>69</v>
      </c>
      <c r="K2736">
        <v>2</v>
      </c>
      <c r="L2736" t="s">
        <v>36</v>
      </c>
      <c r="M2736">
        <v>-10</v>
      </c>
      <c r="N2736" t="s">
        <v>51</v>
      </c>
      <c r="O2736" t="s">
        <v>67</v>
      </c>
      <c r="P2736">
        <f>VLOOKUP(O2736, Coordinates!$A$2:$C$6, 2, FALSE)</f>
        <v>40.712800000000001</v>
      </c>
      <c r="Q2736">
        <f>VLOOKUP(O2736, Coordinates!$A$2:$C$6, 3, FALSE)</f>
        <v>-74.006</v>
      </c>
      <c r="R2736">
        <v>3</v>
      </c>
      <c r="S2736">
        <v>174</v>
      </c>
      <c r="T2736">
        <v>20</v>
      </c>
      <c r="U2736">
        <v>92.564448935928496</v>
      </c>
      <c r="V2736" t="s">
        <v>30</v>
      </c>
      <c r="W2736">
        <v>3.5448051814891701</v>
      </c>
      <c r="X2736" t="s">
        <v>31</v>
      </c>
      <c r="Y2736" t="s">
        <v>32</v>
      </c>
      <c r="Z2736">
        <v>723.09269486506503</v>
      </c>
    </row>
    <row r="2737" spans="1:26" x14ac:dyDescent="0.3">
      <c r="A2737" t="s">
        <v>42</v>
      </c>
      <c r="B2737" t="s">
        <v>2793</v>
      </c>
      <c r="C2737">
        <v>85.156729178792801</v>
      </c>
      <c r="D2737">
        <v>62</v>
      </c>
      <c r="E2737">
        <v>152</v>
      </c>
      <c r="F2737">
        <v>6509.88156931494</v>
      </c>
      <c r="G2737" t="s">
        <v>48</v>
      </c>
      <c r="H2737">
        <v>81</v>
      </c>
      <c r="I2737">
        <v>24</v>
      </c>
      <c r="J2737">
        <v>27</v>
      </c>
      <c r="K2737">
        <v>4</v>
      </c>
      <c r="L2737" t="s">
        <v>27</v>
      </c>
      <c r="M2737">
        <v>10.4575428015991</v>
      </c>
      <c r="N2737" t="s">
        <v>28</v>
      </c>
      <c r="O2737" t="s">
        <v>38</v>
      </c>
      <c r="P2737">
        <f>VLOOKUP(O2737, Coordinates!$A$2:$C$6, 2, FALSE)</f>
        <v>25.761700000000001</v>
      </c>
      <c r="Q2737">
        <f>VLOOKUP(O2737, Coordinates!$A$2:$C$6, 3, FALSE)</f>
        <v>-80.191800000000001</v>
      </c>
      <c r="R2737">
        <v>12</v>
      </c>
      <c r="S2737">
        <v>997</v>
      </c>
      <c r="T2737">
        <v>23</v>
      </c>
      <c r="U2737">
        <v>30.805026347387301</v>
      </c>
      <c r="V2737" t="s">
        <v>39</v>
      </c>
      <c r="W2737">
        <v>3.77128119711498</v>
      </c>
      <c r="X2737" t="s">
        <v>46</v>
      </c>
      <c r="Y2737" t="s">
        <v>32</v>
      </c>
      <c r="Z2737">
        <v>529.51490905021603</v>
      </c>
    </row>
    <row r="2738" spans="1:26" x14ac:dyDescent="0.3">
      <c r="A2738" t="s">
        <v>72</v>
      </c>
      <c r="B2738" t="s">
        <v>2794</v>
      </c>
      <c r="C2738">
        <v>23.179145231652001</v>
      </c>
      <c r="D2738">
        <v>23</v>
      </c>
      <c r="E2738">
        <v>974</v>
      </c>
      <c r="F2738">
        <v>20318.838710066098</v>
      </c>
      <c r="G2738" t="s">
        <v>54</v>
      </c>
      <c r="H2738">
        <v>39</v>
      </c>
      <c r="I2738">
        <v>22</v>
      </c>
      <c r="J2738">
        <v>29</v>
      </c>
      <c r="K2738">
        <v>2</v>
      </c>
      <c r="L2738" t="s">
        <v>36</v>
      </c>
      <c r="M2738">
        <v>5.4593808628596303</v>
      </c>
      <c r="N2738" t="s">
        <v>28</v>
      </c>
      <c r="O2738" t="s">
        <v>65</v>
      </c>
      <c r="P2738">
        <f>VLOOKUP(O2738, Coordinates!$A$2:$C$6, 2, FALSE)</f>
        <v>41.878100000000003</v>
      </c>
      <c r="Q2738">
        <f>VLOOKUP(O2738, Coordinates!$A$2:$C$6, 3, FALSE)</f>
        <v>-87.629800000000003</v>
      </c>
      <c r="R2738">
        <v>4</v>
      </c>
      <c r="S2738">
        <v>128</v>
      </c>
      <c r="T2738">
        <v>29</v>
      </c>
      <c r="U2738">
        <v>81.470897745764901</v>
      </c>
      <c r="V2738" t="s">
        <v>55</v>
      </c>
      <c r="W2738">
        <v>1.02824052849617</v>
      </c>
      <c r="X2738" t="s">
        <v>52</v>
      </c>
      <c r="Y2738" t="s">
        <v>32</v>
      </c>
      <c r="Z2738">
        <v>478.96670257895403</v>
      </c>
    </row>
    <row r="2739" spans="1:26" x14ac:dyDescent="0.3">
      <c r="A2739" t="s">
        <v>33</v>
      </c>
      <c r="B2739" t="s">
        <v>2795</v>
      </c>
      <c r="C2739">
        <v>70.293078445339106</v>
      </c>
      <c r="D2739">
        <v>46</v>
      </c>
      <c r="E2739">
        <v>33</v>
      </c>
      <c r="F2739">
        <v>1595.51849552662</v>
      </c>
      <c r="G2739" t="s">
        <v>26</v>
      </c>
      <c r="H2739">
        <v>88</v>
      </c>
      <c r="I2739">
        <v>2</v>
      </c>
      <c r="J2739">
        <v>14</v>
      </c>
      <c r="K2739">
        <v>5</v>
      </c>
      <c r="L2739" t="s">
        <v>36</v>
      </c>
      <c r="M2739">
        <v>2.593629204</v>
      </c>
      <c r="N2739" t="s">
        <v>51</v>
      </c>
      <c r="O2739" t="s">
        <v>65</v>
      </c>
      <c r="P2739">
        <f>VLOOKUP(O2739, Coordinates!$A$2:$C$6, 2, FALSE)</f>
        <v>41.878100000000003</v>
      </c>
      <c r="Q2739">
        <f>VLOOKUP(O2739, Coordinates!$A$2:$C$6, 3, FALSE)</f>
        <v>-87.629800000000003</v>
      </c>
      <c r="R2739">
        <v>21</v>
      </c>
      <c r="S2739">
        <v>140</v>
      </c>
      <c r="T2739">
        <v>15</v>
      </c>
      <c r="U2739">
        <v>89.488244592894802</v>
      </c>
      <c r="V2739" t="s">
        <v>30</v>
      </c>
      <c r="W2739">
        <v>4.3013118330988602</v>
      </c>
      <c r="X2739" t="s">
        <v>46</v>
      </c>
      <c r="Y2739" t="s">
        <v>60</v>
      </c>
      <c r="Z2739">
        <v>488.74533296243499</v>
      </c>
    </row>
    <row r="2740" spans="1:26" x14ac:dyDescent="0.3">
      <c r="A2740" t="s">
        <v>82</v>
      </c>
      <c r="B2740" t="s">
        <v>2796</v>
      </c>
      <c r="C2740">
        <v>96.353501669385693</v>
      </c>
      <c r="D2740">
        <v>56</v>
      </c>
      <c r="E2740">
        <v>365</v>
      </c>
      <c r="F2740">
        <v>2943.4438361812099</v>
      </c>
      <c r="G2740" t="s">
        <v>48</v>
      </c>
      <c r="H2740">
        <v>38</v>
      </c>
      <c r="I2740">
        <v>15</v>
      </c>
      <c r="J2740">
        <v>27</v>
      </c>
      <c r="K2740">
        <v>6</v>
      </c>
      <c r="L2740" t="s">
        <v>36</v>
      </c>
      <c r="M2740">
        <v>9.6133700090000005</v>
      </c>
      <c r="N2740" t="s">
        <v>57</v>
      </c>
      <c r="O2740" t="s">
        <v>38</v>
      </c>
      <c r="P2740">
        <f>VLOOKUP(O2740, Coordinates!$A$2:$C$6, 2, FALSE)</f>
        <v>25.761700000000001</v>
      </c>
      <c r="Q2740">
        <f>VLOOKUP(O2740, Coordinates!$A$2:$C$6, 3, FALSE)</f>
        <v>-80.191800000000001</v>
      </c>
      <c r="R2740">
        <v>16</v>
      </c>
      <c r="S2740">
        <v>640</v>
      </c>
      <c r="T2740">
        <v>21</v>
      </c>
      <c r="U2740">
        <v>13.5778215910636</v>
      </c>
      <c r="V2740" t="s">
        <v>30</v>
      </c>
      <c r="W2740">
        <v>2.2887369926113101</v>
      </c>
      <c r="X2740" t="s">
        <v>40</v>
      </c>
      <c r="Y2740" t="s">
        <v>32</v>
      </c>
      <c r="Z2740">
        <v>783.68702946264295</v>
      </c>
    </row>
    <row r="2741" spans="1:26" x14ac:dyDescent="0.3">
      <c r="A2741" t="s">
        <v>61</v>
      </c>
      <c r="B2741" t="s">
        <v>2797</v>
      </c>
      <c r="C2741">
        <v>74.373116763997402</v>
      </c>
      <c r="D2741">
        <v>7</v>
      </c>
      <c r="E2741">
        <v>312</v>
      </c>
      <c r="F2741">
        <v>2150.6843611782501</v>
      </c>
      <c r="G2741" t="s">
        <v>54</v>
      </c>
      <c r="H2741">
        <v>27</v>
      </c>
      <c r="I2741">
        <v>16</v>
      </c>
      <c r="J2741">
        <v>49</v>
      </c>
      <c r="K2741">
        <v>1</v>
      </c>
      <c r="L2741" t="s">
        <v>36</v>
      </c>
      <c r="M2741">
        <v>4.1377066316472204</v>
      </c>
      <c r="N2741" t="s">
        <v>28</v>
      </c>
      <c r="O2741" t="s">
        <v>38</v>
      </c>
      <c r="P2741">
        <f>VLOOKUP(O2741, Coordinates!$A$2:$C$6, 2, FALSE)</f>
        <v>25.761700000000001</v>
      </c>
      <c r="Q2741">
        <f>VLOOKUP(O2741, Coordinates!$A$2:$C$6, 3, FALSE)</f>
        <v>-80.191800000000001</v>
      </c>
      <c r="R2741">
        <v>11</v>
      </c>
      <c r="S2741">
        <v>591</v>
      </c>
      <c r="T2741">
        <v>22</v>
      </c>
      <c r="U2741">
        <v>70.272027375551801</v>
      </c>
      <c r="V2741" t="s">
        <v>30</v>
      </c>
      <c r="W2741">
        <v>8.1798698000000003E-2</v>
      </c>
      <c r="X2741" t="s">
        <v>40</v>
      </c>
      <c r="Y2741" t="s">
        <v>32</v>
      </c>
      <c r="Z2741">
        <v>992.15282563834</v>
      </c>
    </row>
    <row r="2742" spans="1:26" x14ac:dyDescent="0.3">
      <c r="A2742" t="s">
        <v>82</v>
      </c>
      <c r="B2742" t="s">
        <v>2798</v>
      </c>
      <c r="C2742">
        <v>51.537695288185702</v>
      </c>
      <c r="D2742">
        <v>89</v>
      </c>
      <c r="E2742">
        <v>887</v>
      </c>
      <c r="F2742">
        <v>3811.6530791166801</v>
      </c>
      <c r="G2742" t="s">
        <v>48</v>
      </c>
      <c r="H2742">
        <v>79</v>
      </c>
      <c r="I2742">
        <v>7</v>
      </c>
      <c r="J2742">
        <v>10</v>
      </c>
      <c r="K2742">
        <v>8</v>
      </c>
      <c r="L2742" t="s">
        <v>27</v>
      </c>
      <c r="M2742">
        <v>10.540649715374199</v>
      </c>
      <c r="N2742" t="s">
        <v>57</v>
      </c>
      <c r="O2742" t="s">
        <v>67</v>
      </c>
      <c r="P2742">
        <f>VLOOKUP(O2742, Coordinates!$A$2:$C$6, 2, FALSE)</f>
        <v>40.712800000000001</v>
      </c>
      <c r="Q2742">
        <f>VLOOKUP(O2742, Coordinates!$A$2:$C$6, 3, FALSE)</f>
        <v>-74.006</v>
      </c>
      <c r="R2742">
        <v>8</v>
      </c>
      <c r="S2742">
        <v>199</v>
      </c>
      <c r="T2742">
        <v>2</v>
      </c>
      <c r="U2742">
        <v>37.475264172805197</v>
      </c>
      <c r="V2742" t="s">
        <v>39</v>
      </c>
      <c r="W2742">
        <v>3.21692054306925</v>
      </c>
      <c r="X2742" t="s">
        <v>31</v>
      </c>
      <c r="Y2742" t="s">
        <v>32</v>
      </c>
      <c r="Z2742">
        <v>629.78132122408203</v>
      </c>
    </row>
    <row r="2743" spans="1:26" x14ac:dyDescent="0.3">
      <c r="A2743" t="s">
        <v>24</v>
      </c>
      <c r="B2743" t="s">
        <v>2799</v>
      </c>
      <c r="C2743">
        <v>21.759925538655398</v>
      </c>
      <c r="D2743">
        <v>61</v>
      </c>
      <c r="E2743">
        <v>946</v>
      </c>
      <c r="F2743">
        <v>18526.4006036112</v>
      </c>
      <c r="G2743" t="s">
        <v>26</v>
      </c>
      <c r="H2743">
        <v>62</v>
      </c>
      <c r="I2743">
        <v>16</v>
      </c>
      <c r="J2743">
        <v>28</v>
      </c>
      <c r="K2743">
        <v>2</v>
      </c>
      <c r="L2743" t="s">
        <v>27</v>
      </c>
      <c r="M2743">
        <v>12.752539352178299</v>
      </c>
      <c r="N2743" t="s">
        <v>57</v>
      </c>
      <c r="O2743" t="s">
        <v>65</v>
      </c>
      <c r="P2743">
        <f>VLOOKUP(O2743, Coordinates!$A$2:$C$6, 2, FALSE)</f>
        <v>41.878100000000003</v>
      </c>
      <c r="Q2743">
        <f>VLOOKUP(O2743, Coordinates!$A$2:$C$6, 3, FALSE)</f>
        <v>-87.629800000000003</v>
      </c>
      <c r="R2743">
        <v>29</v>
      </c>
      <c r="S2743">
        <v>419</v>
      </c>
      <c r="T2743">
        <v>24</v>
      </c>
      <c r="U2743">
        <v>82.895287464850199</v>
      </c>
      <c r="V2743" t="s">
        <v>30</v>
      </c>
      <c r="W2743">
        <v>3.3838154595898202</v>
      </c>
      <c r="X2743" t="s">
        <v>46</v>
      </c>
      <c r="Y2743" t="s">
        <v>32</v>
      </c>
      <c r="Z2743">
        <v>776.39517085822195</v>
      </c>
    </row>
    <row r="2744" spans="1:26" x14ac:dyDescent="0.3">
      <c r="A2744" t="s">
        <v>61</v>
      </c>
      <c r="B2744" t="s">
        <v>2800</v>
      </c>
      <c r="C2744">
        <v>75.269875287495196</v>
      </c>
      <c r="D2744">
        <v>3</v>
      </c>
      <c r="E2744">
        <v>166</v>
      </c>
      <c r="F2744">
        <v>6298.8351720850796</v>
      </c>
      <c r="G2744" t="s">
        <v>35</v>
      </c>
      <c r="H2744">
        <v>63</v>
      </c>
      <c r="I2744">
        <v>24</v>
      </c>
      <c r="J2744">
        <v>96</v>
      </c>
      <c r="K2744">
        <v>5</v>
      </c>
      <c r="L2744" t="s">
        <v>27</v>
      </c>
      <c r="M2744">
        <v>2.7269752002971299</v>
      </c>
      <c r="N2744" t="s">
        <v>45</v>
      </c>
      <c r="O2744" t="s">
        <v>38</v>
      </c>
      <c r="P2744">
        <f>VLOOKUP(O2744, Coordinates!$A$2:$C$6, 2, FALSE)</f>
        <v>25.761700000000001</v>
      </c>
      <c r="Q2744">
        <f>VLOOKUP(O2744, Coordinates!$A$2:$C$6, 3, FALSE)</f>
        <v>-80.191800000000001</v>
      </c>
      <c r="R2744">
        <v>26</v>
      </c>
      <c r="S2744">
        <v>669</v>
      </c>
      <c r="T2744">
        <v>10</v>
      </c>
      <c r="U2744">
        <v>92.220282477121899</v>
      </c>
      <c r="V2744" t="s">
        <v>55</v>
      </c>
      <c r="W2744">
        <v>4.1328509081273097</v>
      </c>
      <c r="X2744" t="s">
        <v>40</v>
      </c>
      <c r="Y2744" t="s">
        <v>41</v>
      </c>
      <c r="Z2744">
        <v>435.30389092711698</v>
      </c>
    </row>
    <row r="2745" spans="1:26" x14ac:dyDescent="0.3">
      <c r="A2745" t="s">
        <v>61</v>
      </c>
      <c r="B2745" t="s">
        <v>2801</v>
      </c>
      <c r="C2745">
        <v>63.166197740917802</v>
      </c>
      <c r="D2745">
        <v>38</v>
      </c>
      <c r="E2745">
        <v>873</v>
      </c>
      <c r="F2745">
        <v>8108.8129664176804</v>
      </c>
      <c r="G2745" t="s">
        <v>26</v>
      </c>
      <c r="H2745">
        <v>11</v>
      </c>
      <c r="I2745">
        <v>4</v>
      </c>
      <c r="J2745">
        <v>35</v>
      </c>
      <c r="K2745">
        <v>8</v>
      </c>
      <c r="L2745" t="s">
        <v>36</v>
      </c>
      <c r="M2745">
        <v>7.1265274310982099</v>
      </c>
      <c r="N2745" t="s">
        <v>51</v>
      </c>
      <c r="O2745" t="s">
        <v>29</v>
      </c>
      <c r="P2745">
        <f>VLOOKUP(O2745, Coordinates!$A$2:$C$6, 2, FALSE)</f>
        <v>29.760400000000001</v>
      </c>
      <c r="Q2745">
        <f>VLOOKUP(O2745, Coordinates!$A$2:$C$6, 3, FALSE)</f>
        <v>-95.369799999999998</v>
      </c>
      <c r="R2745">
        <v>9</v>
      </c>
      <c r="S2745">
        <v>822</v>
      </c>
      <c r="T2745">
        <v>20</v>
      </c>
      <c r="U2745">
        <v>54.890132319056598</v>
      </c>
      <c r="V2745" t="s">
        <v>30</v>
      </c>
      <c r="W2745">
        <v>1.06207650423578</v>
      </c>
      <c r="X2745" t="s">
        <v>46</v>
      </c>
      <c r="Y2745" t="s">
        <v>41</v>
      </c>
      <c r="Z2745">
        <v>874.57606184327994</v>
      </c>
    </row>
    <row r="2746" spans="1:26" x14ac:dyDescent="0.3">
      <c r="A2746" t="s">
        <v>82</v>
      </c>
      <c r="B2746" t="s">
        <v>2802</v>
      </c>
      <c r="D2746">
        <v>84</v>
      </c>
      <c r="E2746">
        <v>856</v>
      </c>
      <c r="F2746">
        <v>6906.15903923522</v>
      </c>
      <c r="G2746" t="s">
        <v>26</v>
      </c>
      <c r="H2746">
        <v>40</v>
      </c>
      <c r="I2746">
        <v>28</v>
      </c>
      <c r="J2746">
        <v>38</v>
      </c>
      <c r="K2746">
        <v>9</v>
      </c>
      <c r="L2746" t="s">
        <v>44</v>
      </c>
      <c r="M2746">
        <v>7.2289117708832302</v>
      </c>
      <c r="N2746" t="s">
        <v>51</v>
      </c>
      <c r="O2746" t="s">
        <v>38</v>
      </c>
      <c r="P2746">
        <f>VLOOKUP(O2746, Coordinates!$A$2:$C$6, 2, FALSE)</f>
        <v>25.761700000000001</v>
      </c>
      <c r="Q2746">
        <f>VLOOKUP(O2746, Coordinates!$A$2:$C$6, 3, FALSE)</f>
        <v>-80.191800000000001</v>
      </c>
      <c r="R2746">
        <v>28</v>
      </c>
      <c r="S2746">
        <v>749</v>
      </c>
      <c r="T2746">
        <v>6</v>
      </c>
      <c r="U2746">
        <v>47.2971547709787</v>
      </c>
      <c r="V2746" t="s">
        <v>30</v>
      </c>
      <c r="W2746">
        <v>2.4113901367803199</v>
      </c>
      <c r="X2746" t="s">
        <v>46</v>
      </c>
      <c r="Y2746" t="s">
        <v>41</v>
      </c>
      <c r="Z2746">
        <v>920.30338626303603</v>
      </c>
    </row>
    <row r="2747" spans="1:26" x14ac:dyDescent="0.3">
      <c r="A2747" t="s">
        <v>42</v>
      </c>
      <c r="B2747" t="s">
        <v>2803</v>
      </c>
      <c r="C2747">
        <v>23.503482280286399</v>
      </c>
      <c r="D2747">
        <v>34</v>
      </c>
      <c r="E2747">
        <v>65</v>
      </c>
      <c r="F2747">
        <v>6478.8249261659703</v>
      </c>
      <c r="G2747" t="s">
        <v>26</v>
      </c>
      <c r="H2747">
        <v>28</v>
      </c>
      <c r="I2747">
        <v>16</v>
      </c>
      <c r="J2747">
        <v>68</v>
      </c>
      <c r="K2747">
        <v>3</v>
      </c>
      <c r="L2747" t="s">
        <v>27</v>
      </c>
      <c r="M2747">
        <v>9.8555028611601099</v>
      </c>
      <c r="N2747" t="s">
        <v>37</v>
      </c>
      <c r="O2747" t="s">
        <v>58</v>
      </c>
      <c r="P2747">
        <f>VLOOKUP(O2747, Coordinates!$A$2:$C$6, 2, FALSE)</f>
        <v>34.052199999999999</v>
      </c>
      <c r="Q2747">
        <f>VLOOKUP(O2747, Coordinates!$A$2:$C$6, 3, FALSE)</f>
        <v>-118.2437</v>
      </c>
      <c r="R2747">
        <v>30</v>
      </c>
      <c r="S2747">
        <v>622</v>
      </c>
      <c r="T2747">
        <v>3</v>
      </c>
      <c r="U2747">
        <v>92.937814406867503</v>
      </c>
      <c r="V2747" t="s">
        <v>30</v>
      </c>
      <c r="W2747">
        <v>2.0006372512275301</v>
      </c>
      <c r="X2747" t="s">
        <v>40</v>
      </c>
      <c r="Y2747" t="s">
        <v>32</v>
      </c>
      <c r="Z2747">
        <v>941.61071990000005</v>
      </c>
    </row>
    <row r="2748" spans="1:26" x14ac:dyDescent="0.3">
      <c r="A2748" t="s">
        <v>61</v>
      </c>
      <c r="B2748" t="s">
        <v>2804</v>
      </c>
      <c r="C2748">
        <v>81.994480635469202</v>
      </c>
      <c r="D2748">
        <v>44</v>
      </c>
      <c r="E2748">
        <v>129</v>
      </c>
      <c r="F2748">
        <v>4706.0382473719701</v>
      </c>
      <c r="G2748" t="s">
        <v>54</v>
      </c>
      <c r="H2748">
        <v>22</v>
      </c>
      <c r="I2748">
        <v>17</v>
      </c>
      <c r="J2748">
        <v>72</v>
      </c>
      <c r="K2748">
        <v>6</v>
      </c>
      <c r="L2748" t="s">
        <v>36</v>
      </c>
      <c r="M2748">
        <v>5.6817110031659501</v>
      </c>
      <c r="N2748" t="s">
        <v>57</v>
      </c>
      <c r="O2748" t="s">
        <v>58</v>
      </c>
      <c r="P2748">
        <f>VLOOKUP(O2748, Coordinates!$A$2:$C$6, 2, FALSE)</f>
        <v>34.052199999999999</v>
      </c>
      <c r="Q2748">
        <f>VLOOKUP(O2748, Coordinates!$A$2:$C$6, 3, FALSE)</f>
        <v>-118.2437</v>
      </c>
      <c r="R2748">
        <v>14</v>
      </c>
      <c r="S2748">
        <v>944</v>
      </c>
      <c r="T2748">
        <v>25</v>
      </c>
      <c r="U2748">
        <v>97.670342596467904</v>
      </c>
      <c r="V2748" t="s">
        <v>39</v>
      </c>
      <c r="W2748">
        <v>4.8734303692196201</v>
      </c>
      <c r="X2748" t="s">
        <v>40</v>
      </c>
      <c r="Y2748" t="s">
        <v>60</v>
      </c>
      <c r="Z2748">
        <v>769.15416454106401</v>
      </c>
    </row>
    <row r="2749" spans="1:26" x14ac:dyDescent="0.3">
      <c r="A2749" t="s">
        <v>82</v>
      </c>
      <c r="B2749" t="s">
        <v>2805</v>
      </c>
      <c r="C2749">
        <v>30.901811494686001</v>
      </c>
      <c r="D2749">
        <v>30</v>
      </c>
      <c r="E2749">
        <v>460</v>
      </c>
      <c r="F2749">
        <v>5264.27591464124</v>
      </c>
      <c r="G2749" t="s">
        <v>48</v>
      </c>
      <c r="H2749">
        <v>84</v>
      </c>
      <c r="I2749">
        <v>2</v>
      </c>
      <c r="J2749">
        <v>92</v>
      </c>
      <c r="K2749">
        <v>1</v>
      </c>
      <c r="L2749" t="s">
        <v>36</v>
      </c>
      <c r="M2749">
        <v>6.8599681782429203</v>
      </c>
      <c r="N2749" t="s">
        <v>37</v>
      </c>
      <c r="O2749" t="s">
        <v>67</v>
      </c>
      <c r="P2749">
        <f>VLOOKUP(O2749, Coordinates!$A$2:$C$6, 2, FALSE)</f>
        <v>40.712800000000001</v>
      </c>
      <c r="Q2749">
        <f>VLOOKUP(O2749, Coordinates!$A$2:$C$6, 3, FALSE)</f>
        <v>-74.006</v>
      </c>
      <c r="R2749">
        <v>23</v>
      </c>
      <c r="S2749">
        <v>975</v>
      </c>
      <c r="T2749">
        <v>13</v>
      </c>
      <c r="U2749">
        <v>15.6012695014422</v>
      </c>
      <c r="V2749" t="s">
        <v>30</v>
      </c>
      <c r="W2749">
        <v>4.1233921740000001</v>
      </c>
      <c r="X2749" t="s">
        <v>52</v>
      </c>
      <c r="Y2749" t="s">
        <v>41</v>
      </c>
      <c r="Z2749">
        <v>736.69888079397299</v>
      </c>
    </row>
    <row r="2750" spans="1:26" x14ac:dyDescent="0.3">
      <c r="A2750" t="s">
        <v>61</v>
      </c>
      <c r="B2750" t="s">
        <v>2806</v>
      </c>
      <c r="C2750">
        <v>74.498401358307703</v>
      </c>
      <c r="D2750">
        <v>17</v>
      </c>
      <c r="E2750">
        <v>75</v>
      </c>
      <c r="F2750">
        <v>4730.6874645116204</v>
      </c>
      <c r="G2750" t="s">
        <v>35</v>
      </c>
      <c r="H2750">
        <v>79</v>
      </c>
      <c r="I2750">
        <v>16</v>
      </c>
      <c r="J2750">
        <v>71</v>
      </c>
      <c r="K2750">
        <v>1</v>
      </c>
      <c r="L2750" t="s">
        <v>36</v>
      </c>
      <c r="M2750">
        <v>1.1678774163955701</v>
      </c>
      <c r="N2750" t="s">
        <v>51</v>
      </c>
      <c r="O2750" t="s">
        <v>38</v>
      </c>
      <c r="P2750">
        <f>VLOOKUP(O2750, Coordinates!$A$2:$C$6, 2, FALSE)</f>
        <v>25.761700000000001</v>
      </c>
      <c r="Q2750">
        <f>VLOOKUP(O2750, Coordinates!$A$2:$C$6, 3, FALSE)</f>
        <v>-80.191800000000001</v>
      </c>
      <c r="R2750">
        <v>29</v>
      </c>
      <c r="S2750">
        <v>288</v>
      </c>
      <c r="T2750">
        <v>24</v>
      </c>
      <c r="U2750">
        <v>93.056326223338601</v>
      </c>
      <c r="V2750" t="s">
        <v>30</v>
      </c>
      <c r="W2750">
        <v>3.8094980254360702</v>
      </c>
      <c r="X2750" t="s">
        <v>52</v>
      </c>
      <c r="Y2750" t="s">
        <v>32</v>
      </c>
      <c r="Z2750">
        <v>361.12145284590503</v>
      </c>
    </row>
    <row r="2751" spans="1:26" x14ac:dyDescent="0.3">
      <c r="A2751" t="s">
        <v>49</v>
      </c>
      <c r="B2751" t="s">
        <v>2807</v>
      </c>
      <c r="C2751">
        <v>40.351420447961303</v>
      </c>
      <c r="D2751">
        <v>59</v>
      </c>
      <c r="E2751">
        <v>842</v>
      </c>
      <c r="F2751">
        <v>8579.4942705524409</v>
      </c>
      <c r="G2751" t="s">
        <v>54</v>
      </c>
      <c r="H2751">
        <v>50</v>
      </c>
      <c r="I2751">
        <v>4</v>
      </c>
      <c r="J2751">
        <v>57</v>
      </c>
      <c r="K2751">
        <v>8</v>
      </c>
      <c r="L2751" t="s">
        <v>36</v>
      </c>
      <c r="M2751">
        <v>2.713962757</v>
      </c>
      <c r="N2751" t="s">
        <v>51</v>
      </c>
      <c r="O2751" t="s">
        <v>58</v>
      </c>
      <c r="P2751">
        <f>VLOOKUP(O2751, Coordinates!$A$2:$C$6, 2, FALSE)</f>
        <v>34.052199999999999</v>
      </c>
      <c r="Q2751">
        <f>VLOOKUP(O2751, Coordinates!$A$2:$C$6, 3, FALSE)</f>
        <v>-118.2437</v>
      </c>
      <c r="R2751">
        <v>26</v>
      </c>
      <c r="S2751">
        <v>549</v>
      </c>
      <c r="T2751">
        <v>30</v>
      </c>
      <c r="U2751">
        <v>17.449168016969899</v>
      </c>
      <c r="V2751" t="s">
        <v>55</v>
      </c>
      <c r="W2751">
        <v>0.90536851500081506</v>
      </c>
      <c r="X2751" t="s">
        <v>31</v>
      </c>
      <c r="Y2751" t="s">
        <v>41</v>
      </c>
      <c r="Z2751">
        <v>816.52342181169399</v>
      </c>
    </row>
    <row r="2752" spans="1:26" x14ac:dyDescent="0.3">
      <c r="A2752" t="s">
        <v>42</v>
      </c>
      <c r="B2752" t="s">
        <v>2808</v>
      </c>
      <c r="C2752">
        <v>54.579011180000002</v>
      </c>
      <c r="D2752">
        <v>10</v>
      </c>
      <c r="E2752">
        <v>911</v>
      </c>
      <c r="F2752">
        <v>3070.0040729355901</v>
      </c>
      <c r="H2752">
        <v>44</v>
      </c>
      <c r="I2752">
        <v>7</v>
      </c>
      <c r="J2752">
        <v>71</v>
      </c>
      <c r="K2752">
        <v>7</v>
      </c>
      <c r="L2752" t="s">
        <v>36</v>
      </c>
      <c r="M2752">
        <v>8.9780693937700509</v>
      </c>
      <c r="N2752" t="s">
        <v>37</v>
      </c>
      <c r="O2752" t="s">
        <v>29</v>
      </c>
      <c r="P2752">
        <f>VLOOKUP(O2752, Coordinates!$A$2:$C$6, 2, FALSE)</f>
        <v>29.760400000000001</v>
      </c>
      <c r="Q2752">
        <f>VLOOKUP(O2752, Coordinates!$A$2:$C$6, 3, FALSE)</f>
        <v>-95.369799999999998</v>
      </c>
      <c r="R2752">
        <v>22</v>
      </c>
      <c r="S2752">
        <v>193</v>
      </c>
      <c r="T2752">
        <v>15</v>
      </c>
      <c r="U2752">
        <v>40.355759204522997</v>
      </c>
      <c r="V2752" t="s">
        <v>55</v>
      </c>
      <c r="W2752">
        <v>1.6552000871060799</v>
      </c>
      <c r="X2752" t="s">
        <v>31</v>
      </c>
      <c r="Y2752" t="s">
        <v>41</v>
      </c>
      <c r="Z2752">
        <v>194.75308817767601</v>
      </c>
    </row>
    <row r="2753" spans="1:26" x14ac:dyDescent="0.3">
      <c r="A2753" t="s">
        <v>33</v>
      </c>
      <c r="B2753" t="s">
        <v>2809</v>
      </c>
      <c r="C2753">
        <v>11.4574634828433</v>
      </c>
      <c r="D2753">
        <v>99</v>
      </c>
      <c r="E2753">
        <v>880</v>
      </c>
      <c r="F2753">
        <v>1051.48838387768</v>
      </c>
      <c r="G2753" t="s">
        <v>35</v>
      </c>
      <c r="H2753">
        <v>89</v>
      </c>
      <c r="I2753">
        <v>18</v>
      </c>
      <c r="J2753">
        <v>27</v>
      </c>
      <c r="K2753">
        <v>10</v>
      </c>
      <c r="L2753" t="s">
        <v>36</v>
      </c>
      <c r="M2753">
        <v>4.0225412041303903</v>
      </c>
      <c r="N2753" t="s">
        <v>51</v>
      </c>
      <c r="O2753" t="s">
        <v>58</v>
      </c>
      <c r="P2753">
        <f>VLOOKUP(O2753, Coordinates!$A$2:$C$6, 2, FALSE)</f>
        <v>34.052199999999999</v>
      </c>
      <c r="Q2753">
        <f>VLOOKUP(O2753, Coordinates!$A$2:$C$6, 3, FALSE)</f>
        <v>-118.2437</v>
      </c>
      <c r="R2753">
        <v>15</v>
      </c>
      <c r="S2753">
        <v>953</v>
      </c>
      <c r="T2753">
        <v>6</v>
      </c>
      <c r="U2753">
        <v>78.631671019999999</v>
      </c>
      <c r="V2753" t="s">
        <v>55</v>
      </c>
      <c r="W2753">
        <v>1.8985591778461</v>
      </c>
      <c r="X2753" t="s">
        <v>31</v>
      </c>
      <c r="Y2753" t="s">
        <v>32</v>
      </c>
      <c r="Z2753">
        <v>584.22181609847905</v>
      </c>
    </row>
    <row r="2754" spans="1:26" x14ac:dyDescent="0.3">
      <c r="A2754" t="s">
        <v>61</v>
      </c>
      <c r="B2754" t="s">
        <v>2810</v>
      </c>
      <c r="C2754">
        <v>22.216428299722399</v>
      </c>
      <c r="D2754">
        <v>84</v>
      </c>
      <c r="E2754">
        <v>470</v>
      </c>
      <c r="F2754">
        <v>6861.8790750361504</v>
      </c>
      <c r="G2754" t="s">
        <v>26</v>
      </c>
      <c r="H2754">
        <v>100</v>
      </c>
      <c r="I2754">
        <v>6</v>
      </c>
      <c r="J2754">
        <v>75</v>
      </c>
      <c r="K2754">
        <v>10</v>
      </c>
      <c r="L2754" t="s">
        <v>27</v>
      </c>
      <c r="M2754">
        <v>3.02407645714925</v>
      </c>
      <c r="N2754" t="s">
        <v>51</v>
      </c>
      <c r="O2754" t="s">
        <v>29</v>
      </c>
      <c r="P2754">
        <f>VLOOKUP(O2754, Coordinates!$A$2:$C$6, 2, FALSE)</f>
        <v>29.760400000000001</v>
      </c>
      <c r="Q2754">
        <f>VLOOKUP(O2754, Coordinates!$A$2:$C$6, 3, FALSE)</f>
        <v>-95.369799999999998</v>
      </c>
      <c r="R2754">
        <v>19</v>
      </c>
      <c r="S2754">
        <v>280</v>
      </c>
      <c r="T2754">
        <v>9</v>
      </c>
      <c r="U2754">
        <v>79.933328374572497</v>
      </c>
      <c r="V2754" t="s">
        <v>39</v>
      </c>
      <c r="W2754">
        <v>2.4631376615023899</v>
      </c>
      <c r="X2754" t="s">
        <v>46</v>
      </c>
      <c r="Y2754" t="s">
        <v>32</v>
      </c>
      <c r="Z2754">
        <v>761.83956781692302</v>
      </c>
    </row>
    <row r="2755" spans="1:26" x14ac:dyDescent="0.3">
      <c r="A2755" t="s">
        <v>49</v>
      </c>
      <c r="B2755" t="s">
        <v>2811</v>
      </c>
      <c r="C2755">
        <v>95.933711534327202</v>
      </c>
      <c r="D2755">
        <v>18</v>
      </c>
      <c r="E2755">
        <v>247</v>
      </c>
      <c r="F2755">
        <v>2822.1596527494798</v>
      </c>
      <c r="G2755" t="s">
        <v>26</v>
      </c>
      <c r="H2755">
        <v>21</v>
      </c>
      <c r="I2755">
        <v>18</v>
      </c>
      <c r="J2755">
        <v>36</v>
      </c>
      <c r="K2755">
        <v>3</v>
      </c>
      <c r="L2755" t="s">
        <v>44</v>
      </c>
      <c r="M2755">
        <v>5.5417787514982804</v>
      </c>
      <c r="N2755" t="s">
        <v>45</v>
      </c>
      <c r="O2755" t="s">
        <v>38</v>
      </c>
      <c r="P2755">
        <f>VLOOKUP(O2755, Coordinates!$A$2:$C$6, 2, FALSE)</f>
        <v>25.761700000000001</v>
      </c>
      <c r="Q2755">
        <f>VLOOKUP(O2755, Coordinates!$A$2:$C$6, 3, FALSE)</f>
        <v>-80.191800000000001</v>
      </c>
      <c r="R2755">
        <v>29</v>
      </c>
      <c r="S2755">
        <v>420</v>
      </c>
      <c r="T2755">
        <v>10</v>
      </c>
      <c r="U2755">
        <v>75.323970161124905</v>
      </c>
      <c r="V2755" t="s">
        <v>55</v>
      </c>
      <c r="W2755">
        <v>3.9578795402873599</v>
      </c>
      <c r="X2755" t="s">
        <v>31</v>
      </c>
      <c r="Y2755" t="s">
        <v>41</v>
      </c>
      <c r="Z2755">
        <v>895.232787806803</v>
      </c>
    </row>
    <row r="2756" spans="1:26" x14ac:dyDescent="0.3">
      <c r="A2756" t="s">
        <v>33</v>
      </c>
      <c r="B2756" t="s">
        <v>2812</v>
      </c>
      <c r="C2756">
        <v>89.5631150774568</v>
      </c>
      <c r="D2756">
        <v>45</v>
      </c>
      <c r="E2756">
        <v>494</v>
      </c>
      <c r="F2756">
        <v>9011.0362267882792</v>
      </c>
      <c r="G2756" t="s">
        <v>26</v>
      </c>
      <c r="H2756">
        <v>9</v>
      </c>
      <c r="I2756">
        <v>28</v>
      </c>
      <c r="J2756">
        <v>15</v>
      </c>
      <c r="K2756">
        <v>8</v>
      </c>
      <c r="L2756" t="s">
        <v>27</v>
      </c>
      <c r="M2756">
        <v>3.2894997290637198</v>
      </c>
      <c r="N2756" t="s">
        <v>28</v>
      </c>
      <c r="O2756" t="s">
        <v>29</v>
      </c>
      <c r="P2756">
        <f>VLOOKUP(O2756, Coordinates!$A$2:$C$6, 2, FALSE)</f>
        <v>29.760400000000001</v>
      </c>
      <c r="Q2756">
        <f>VLOOKUP(O2756, Coordinates!$A$2:$C$6, 3, FALSE)</f>
        <v>-95.369799999999998</v>
      </c>
      <c r="R2756">
        <v>26</v>
      </c>
      <c r="S2756">
        <v>382</v>
      </c>
      <c r="T2756">
        <v>9</v>
      </c>
      <c r="U2756">
        <v>13.520123925496099</v>
      </c>
      <c r="V2756" t="s">
        <v>55</v>
      </c>
      <c r="W2756">
        <v>2.96504614037325</v>
      </c>
      <c r="X2756" t="s">
        <v>40</v>
      </c>
      <c r="Y2756" t="s">
        <v>32</v>
      </c>
      <c r="Z2756">
        <v>612.68829608982196</v>
      </c>
    </row>
    <row r="2757" spans="1:26" x14ac:dyDescent="0.3">
      <c r="A2757" t="s">
        <v>33</v>
      </c>
      <c r="B2757" t="s">
        <v>2813</v>
      </c>
      <c r="C2757">
        <v>66.966135535409705</v>
      </c>
      <c r="D2757">
        <v>91</v>
      </c>
      <c r="E2757">
        <v>765</v>
      </c>
      <c r="F2757">
        <v>8731.4169673599008</v>
      </c>
      <c r="G2757" t="s">
        <v>35</v>
      </c>
      <c r="H2757">
        <v>6</v>
      </c>
      <c r="I2757">
        <v>7</v>
      </c>
      <c r="J2757">
        <v>79</v>
      </c>
      <c r="K2757">
        <v>8</v>
      </c>
      <c r="L2757" t="s">
        <v>27</v>
      </c>
      <c r="M2757">
        <v>1.8347141106934399</v>
      </c>
      <c r="N2757" t="s">
        <v>45</v>
      </c>
      <c r="O2757" t="s">
        <v>38</v>
      </c>
      <c r="P2757">
        <f>VLOOKUP(O2757, Coordinates!$A$2:$C$6, 2, FALSE)</f>
        <v>25.761700000000001</v>
      </c>
      <c r="Q2757">
        <f>VLOOKUP(O2757, Coordinates!$A$2:$C$6, 3, FALSE)</f>
        <v>-80.191800000000001</v>
      </c>
      <c r="R2757">
        <v>30</v>
      </c>
      <c r="S2757">
        <v>490</v>
      </c>
      <c r="T2757">
        <v>18</v>
      </c>
      <c r="U2757">
        <v>21.966944322168299</v>
      </c>
      <c r="V2757" t="s">
        <v>55</v>
      </c>
      <c r="W2757">
        <v>4.9143371200553201</v>
      </c>
      <c r="X2757" t="s">
        <v>31</v>
      </c>
      <c r="Y2757" t="s">
        <v>41</v>
      </c>
      <c r="Z2757">
        <v>332.49067436330103</v>
      </c>
    </row>
    <row r="2758" spans="1:26" x14ac:dyDescent="0.3">
      <c r="A2758" t="s">
        <v>24</v>
      </c>
      <c r="B2758" t="s">
        <v>2814</v>
      </c>
      <c r="C2758">
        <v>21.169923164564</v>
      </c>
      <c r="D2758">
        <v>59</v>
      </c>
      <c r="E2758">
        <v>225</v>
      </c>
      <c r="F2758">
        <v>4286.9094408242099</v>
      </c>
      <c r="G2758" t="s">
        <v>48</v>
      </c>
      <c r="H2758">
        <v>72</v>
      </c>
      <c r="I2758">
        <v>2</v>
      </c>
      <c r="J2758">
        <v>68</v>
      </c>
      <c r="K2758">
        <v>1</v>
      </c>
      <c r="L2758" t="s">
        <v>36</v>
      </c>
      <c r="M2758">
        <v>4.9740154880184502</v>
      </c>
      <c r="N2758" t="s">
        <v>28</v>
      </c>
      <c r="O2758" t="s">
        <v>29</v>
      </c>
      <c r="P2758">
        <f>VLOOKUP(O2758, Coordinates!$A$2:$C$6, 2, FALSE)</f>
        <v>29.760400000000001</v>
      </c>
      <c r="Q2758">
        <f>VLOOKUP(O2758, Coordinates!$A$2:$C$6, 3, FALSE)</f>
        <v>-95.369799999999998</v>
      </c>
      <c r="R2758">
        <v>9</v>
      </c>
      <c r="S2758">
        <v>420</v>
      </c>
      <c r="T2758">
        <v>9</v>
      </c>
      <c r="U2758">
        <v>90.814631254394996</v>
      </c>
      <c r="V2758" t="s">
        <v>30</v>
      </c>
      <c r="W2758">
        <v>2.8083857271295698</v>
      </c>
      <c r="X2758" t="s">
        <v>46</v>
      </c>
      <c r="Y2758" t="s">
        <v>41</v>
      </c>
      <c r="Z2758">
        <v>863.97529541831705</v>
      </c>
    </row>
    <row r="2759" spans="1:26" x14ac:dyDescent="0.3">
      <c r="A2759" t="s">
        <v>61</v>
      </c>
      <c r="B2759" t="s">
        <v>2815</v>
      </c>
      <c r="C2759">
        <v>69.1973228250462</v>
      </c>
      <c r="D2759">
        <v>62</v>
      </c>
      <c r="E2759">
        <v>477</v>
      </c>
      <c r="F2759">
        <v>1957.49564872669</v>
      </c>
      <c r="G2759" t="s">
        <v>26</v>
      </c>
      <c r="H2759">
        <v>88</v>
      </c>
      <c r="I2759">
        <v>19</v>
      </c>
      <c r="J2759">
        <v>15</v>
      </c>
      <c r="K2759">
        <v>10</v>
      </c>
      <c r="L2759" t="s">
        <v>27</v>
      </c>
      <c r="M2759">
        <v>3.30101817911771</v>
      </c>
      <c r="N2759" t="s">
        <v>45</v>
      </c>
      <c r="O2759" t="s">
        <v>38</v>
      </c>
      <c r="P2759">
        <f>VLOOKUP(O2759, Coordinates!$A$2:$C$6, 2, FALSE)</f>
        <v>25.761700000000001</v>
      </c>
      <c r="Q2759">
        <f>VLOOKUP(O2759, Coordinates!$A$2:$C$6, 3, FALSE)</f>
        <v>-80.191800000000001</v>
      </c>
      <c r="R2759">
        <v>26</v>
      </c>
      <c r="S2759">
        <v>669</v>
      </c>
      <c r="T2759">
        <v>24</v>
      </c>
      <c r="U2759">
        <v>17.331524955630101</v>
      </c>
      <c r="V2759" t="s">
        <v>39</v>
      </c>
      <c r="W2759">
        <v>4.8885500246347098</v>
      </c>
      <c r="X2759" t="s">
        <v>52</v>
      </c>
      <c r="Y2759" t="s">
        <v>41</v>
      </c>
      <c r="Z2759">
        <v>791.18245373232696</v>
      </c>
    </row>
    <row r="2760" spans="1:26" x14ac:dyDescent="0.3">
      <c r="A2760" t="s">
        <v>82</v>
      </c>
      <c r="B2760" t="s">
        <v>2816</v>
      </c>
      <c r="D2760">
        <v>59</v>
      </c>
      <c r="E2760">
        <v>963</v>
      </c>
      <c r="F2760">
        <v>5456.5443302199901</v>
      </c>
      <c r="G2760" t="s">
        <v>48</v>
      </c>
      <c r="H2760">
        <v>14</v>
      </c>
      <c r="I2760">
        <v>9</v>
      </c>
      <c r="J2760">
        <v>40</v>
      </c>
      <c r="K2760">
        <v>9</v>
      </c>
      <c r="L2760" t="s">
        <v>44</v>
      </c>
      <c r="M2760">
        <v>12.191540392687701</v>
      </c>
      <c r="N2760" t="s">
        <v>45</v>
      </c>
      <c r="O2760" t="s">
        <v>38</v>
      </c>
      <c r="P2760">
        <f>VLOOKUP(O2760, Coordinates!$A$2:$C$6, 2, FALSE)</f>
        <v>25.761700000000001</v>
      </c>
      <c r="Q2760">
        <f>VLOOKUP(O2760, Coordinates!$A$2:$C$6, 3, FALSE)</f>
        <v>-80.191800000000001</v>
      </c>
      <c r="R2760">
        <v>26</v>
      </c>
      <c r="S2760">
        <v>124</v>
      </c>
      <c r="T2760">
        <v>18</v>
      </c>
      <c r="U2760">
        <v>17.0691325275804</v>
      </c>
      <c r="V2760" t="s">
        <v>39</v>
      </c>
      <c r="W2760">
        <v>4.0059265646392497</v>
      </c>
      <c r="X2760" t="s">
        <v>46</v>
      </c>
      <c r="Y2760" t="s">
        <v>41</v>
      </c>
      <c r="Z2760">
        <v>872.90414320000002</v>
      </c>
    </row>
    <row r="2761" spans="1:26" x14ac:dyDescent="0.3">
      <c r="A2761" t="s">
        <v>61</v>
      </c>
      <c r="B2761" t="s">
        <v>2817</v>
      </c>
      <c r="C2761">
        <v>59.012464282438103</v>
      </c>
      <c r="D2761">
        <v>49</v>
      </c>
      <c r="E2761">
        <v>537</v>
      </c>
      <c r="F2761">
        <v>6483.0039649241899</v>
      </c>
      <c r="G2761" t="s">
        <v>35</v>
      </c>
      <c r="H2761">
        <v>76</v>
      </c>
      <c r="I2761">
        <v>29</v>
      </c>
      <c r="J2761">
        <v>65</v>
      </c>
      <c r="K2761">
        <v>2</v>
      </c>
      <c r="L2761" t="s">
        <v>44</v>
      </c>
      <c r="M2761">
        <v>1.8771975370292799</v>
      </c>
      <c r="N2761" t="s">
        <v>57</v>
      </c>
      <c r="O2761" t="s">
        <v>29</v>
      </c>
      <c r="P2761">
        <f>VLOOKUP(O2761, Coordinates!$A$2:$C$6, 2, FALSE)</f>
        <v>29.760400000000001</v>
      </c>
      <c r="Q2761">
        <f>VLOOKUP(O2761, Coordinates!$A$2:$C$6, 3, FALSE)</f>
        <v>-95.369799999999998</v>
      </c>
      <c r="R2761">
        <v>16</v>
      </c>
      <c r="S2761">
        <v>915</v>
      </c>
      <c r="T2761">
        <v>9</v>
      </c>
      <c r="U2761">
        <v>85.208134398208301</v>
      </c>
      <c r="V2761" t="s">
        <v>55</v>
      </c>
      <c r="W2761">
        <v>3.84333028006494</v>
      </c>
      <c r="X2761" t="s">
        <v>40</v>
      </c>
      <c r="Y2761" t="s">
        <v>60</v>
      </c>
      <c r="Z2761">
        <v>885.148805091692</v>
      </c>
    </row>
    <row r="2762" spans="1:26" x14ac:dyDescent="0.3">
      <c r="A2762" t="s">
        <v>49</v>
      </c>
      <c r="B2762" t="s">
        <v>2818</v>
      </c>
      <c r="C2762">
        <v>10.621821827036401</v>
      </c>
      <c r="D2762">
        <v>100</v>
      </c>
      <c r="E2762">
        <v>498</v>
      </c>
      <c r="F2762">
        <v>3474.1750373401601</v>
      </c>
      <c r="G2762" t="s">
        <v>35</v>
      </c>
      <c r="H2762">
        <v>45</v>
      </c>
      <c r="I2762">
        <v>4</v>
      </c>
      <c r="J2762">
        <v>63</v>
      </c>
      <c r="K2762">
        <v>2</v>
      </c>
      <c r="L2762" t="s">
        <v>36</v>
      </c>
      <c r="M2762">
        <v>11.464205314733601</v>
      </c>
      <c r="N2762" t="s">
        <v>37</v>
      </c>
      <c r="O2762" t="s">
        <v>65</v>
      </c>
      <c r="P2762">
        <f>VLOOKUP(O2762, Coordinates!$A$2:$C$6, 2, FALSE)</f>
        <v>41.878100000000003</v>
      </c>
      <c r="Q2762">
        <f>VLOOKUP(O2762, Coordinates!$A$2:$C$6, 3, FALSE)</f>
        <v>-87.629800000000003</v>
      </c>
      <c r="R2762">
        <v>13</v>
      </c>
      <c r="S2762">
        <v>359</v>
      </c>
      <c r="T2762">
        <v>5</v>
      </c>
      <c r="U2762">
        <v>67.713917790059696</v>
      </c>
      <c r="V2762" t="s">
        <v>39</v>
      </c>
      <c r="W2762">
        <v>2.5054077626351998</v>
      </c>
      <c r="X2762" t="s">
        <v>31</v>
      </c>
      <c r="Y2762" t="s">
        <v>60</v>
      </c>
      <c r="Z2762">
        <v>963.88951229999998</v>
      </c>
    </row>
    <row r="2763" spans="1:26" x14ac:dyDescent="0.3">
      <c r="A2763" t="s">
        <v>33</v>
      </c>
      <c r="B2763" t="s">
        <v>2819</v>
      </c>
      <c r="C2763">
        <v>65.116248012843101</v>
      </c>
      <c r="D2763">
        <v>63</v>
      </c>
      <c r="E2763">
        <v>903</v>
      </c>
      <c r="F2763">
        <v>7451.1794502943303</v>
      </c>
      <c r="G2763" t="s">
        <v>26</v>
      </c>
      <c r="H2763">
        <v>89</v>
      </c>
      <c r="I2763">
        <v>14</v>
      </c>
      <c r="J2763">
        <v>94</v>
      </c>
      <c r="K2763">
        <v>2</v>
      </c>
      <c r="L2763" t="s">
        <v>44</v>
      </c>
      <c r="M2763">
        <v>6.35914886476482</v>
      </c>
      <c r="N2763" t="s">
        <v>45</v>
      </c>
      <c r="O2763" t="s">
        <v>38</v>
      </c>
      <c r="P2763">
        <f>VLOOKUP(O2763, Coordinates!$A$2:$C$6, 2, FALSE)</f>
        <v>25.761700000000001</v>
      </c>
      <c r="Q2763">
        <f>VLOOKUP(O2763, Coordinates!$A$2:$C$6, 3, FALSE)</f>
        <v>-80.191800000000001</v>
      </c>
      <c r="R2763">
        <v>26</v>
      </c>
      <c r="S2763">
        <v>596</v>
      </c>
      <c r="T2763">
        <v>13</v>
      </c>
      <c r="U2763">
        <v>41.649045026066098</v>
      </c>
      <c r="V2763" t="s">
        <v>39</v>
      </c>
      <c r="W2763">
        <v>4.15364418822295</v>
      </c>
      <c r="X2763" t="s">
        <v>31</v>
      </c>
      <c r="Y2763" t="s">
        <v>32</v>
      </c>
      <c r="Z2763">
        <v>583.96083319767502</v>
      </c>
    </row>
    <row r="2764" spans="1:26" x14ac:dyDescent="0.3">
      <c r="A2764" t="s">
        <v>61</v>
      </c>
      <c r="B2764" t="s">
        <v>2820</v>
      </c>
      <c r="C2764">
        <v>78.047404229999998</v>
      </c>
      <c r="D2764">
        <v>87</v>
      </c>
      <c r="E2764">
        <v>86</v>
      </c>
      <c r="F2764">
        <v>6354.2441882698404</v>
      </c>
      <c r="G2764" t="s">
        <v>48</v>
      </c>
      <c r="H2764">
        <v>84</v>
      </c>
      <c r="I2764">
        <v>5</v>
      </c>
      <c r="J2764">
        <v>50</v>
      </c>
      <c r="K2764">
        <v>5</v>
      </c>
      <c r="L2764" t="s">
        <v>36</v>
      </c>
      <c r="M2764">
        <v>10.4544983308915</v>
      </c>
      <c r="N2764" t="s">
        <v>57</v>
      </c>
      <c r="O2764" t="s">
        <v>65</v>
      </c>
      <c r="P2764">
        <f>VLOOKUP(O2764, Coordinates!$A$2:$C$6, 2, FALSE)</f>
        <v>41.878100000000003</v>
      </c>
      <c r="Q2764">
        <f>VLOOKUP(O2764, Coordinates!$A$2:$C$6, 3, FALSE)</f>
        <v>-87.629800000000003</v>
      </c>
      <c r="R2764">
        <v>17</v>
      </c>
      <c r="S2764">
        <v>312</v>
      </c>
      <c r="T2764">
        <v>12</v>
      </c>
      <c r="U2764">
        <v>24.9139438364463</v>
      </c>
      <c r="V2764" t="s">
        <v>39</v>
      </c>
      <c r="W2764">
        <v>3.49480196258693</v>
      </c>
      <c r="X2764" t="s">
        <v>40</v>
      </c>
      <c r="Y2764" t="s">
        <v>60</v>
      </c>
      <c r="Z2764">
        <v>134.528451727668</v>
      </c>
    </row>
    <row r="2765" spans="1:26" x14ac:dyDescent="0.3">
      <c r="A2765" t="s">
        <v>82</v>
      </c>
      <c r="B2765" t="s">
        <v>2821</v>
      </c>
      <c r="C2765">
        <v>99.437757191329595</v>
      </c>
      <c r="D2765">
        <v>32</v>
      </c>
      <c r="E2765">
        <v>860</v>
      </c>
      <c r="F2765">
        <v>3923.41698773699</v>
      </c>
      <c r="G2765" t="s">
        <v>48</v>
      </c>
      <c r="H2765">
        <v>86</v>
      </c>
      <c r="I2765">
        <v>25</v>
      </c>
      <c r="J2765">
        <v>27</v>
      </c>
      <c r="K2765">
        <v>7</v>
      </c>
      <c r="L2765" t="s">
        <v>44</v>
      </c>
      <c r="M2765">
        <v>1.7376521086674399</v>
      </c>
      <c r="N2765" t="s">
        <v>45</v>
      </c>
      <c r="O2765" t="s">
        <v>38</v>
      </c>
      <c r="P2765">
        <f>VLOOKUP(O2765, Coordinates!$A$2:$C$6, 2, FALSE)</f>
        <v>25.761700000000001</v>
      </c>
      <c r="Q2765">
        <f>VLOOKUP(O2765, Coordinates!$A$2:$C$6, 3, FALSE)</f>
        <v>-80.191800000000001</v>
      </c>
      <c r="R2765">
        <v>27</v>
      </c>
      <c r="S2765">
        <v>214</v>
      </c>
      <c r="T2765">
        <v>9</v>
      </c>
      <c r="U2765">
        <v>89.575337790353302</v>
      </c>
      <c r="V2765" t="s">
        <v>55</v>
      </c>
      <c r="W2765">
        <v>4.6277290224751404</v>
      </c>
      <c r="X2765" t="s">
        <v>31</v>
      </c>
      <c r="Y2765" t="s">
        <v>60</v>
      </c>
      <c r="Z2765">
        <v>924.05289184041305</v>
      </c>
    </row>
    <row r="2766" spans="1:26" x14ac:dyDescent="0.3">
      <c r="A2766" t="s">
        <v>24</v>
      </c>
      <c r="B2766" t="s">
        <v>2822</v>
      </c>
      <c r="C2766">
        <v>22.467199496477399</v>
      </c>
      <c r="D2766">
        <v>10</v>
      </c>
      <c r="E2766">
        <v>883</v>
      </c>
      <c r="F2766">
        <v>17854.6834398506</v>
      </c>
      <c r="G2766" t="s">
        <v>26</v>
      </c>
      <c r="H2766">
        <v>60</v>
      </c>
      <c r="I2766">
        <v>7</v>
      </c>
      <c r="J2766">
        <v>96</v>
      </c>
      <c r="K2766">
        <v>4</v>
      </c>
      <c r="L2766" t="s">
        <v>44</v>
      </c>
      <c r="M2766">
        <v>13.889855927053899</v>
      </c>
      <c r="N2766" t="s">
        <v>37</v>
      </c>
      <c r="O2766" t="s">
        <v>67</v>
      </c>
      <c r="P2766">
        <f>VLOOKUP(O2766, Coordinates!$A$2:$C$6, 2, FALSE)</f>
        <v>40.712800000000001</v>
      </c>
      <c r="Q2766">
        <f>VLOOKUP(O2766, Coordinates!$A$2:$C$6, 3, FALSE)</f>
        <v>-74.006</v>
      </c>
      <c r="R2766">
        <v>22</v>
      </c>
      <c r="S2766">
        <v>551</v>
      </c>
      <c r="T2766">
        <v>19</v>
      </c>
      <c r="U2766">
        <v>76.892315866141402</v>
      </c>
      <c r="V2766" t="s">
        <v>55</v>
      </c>
      <c r="W2766">
        <v>3.7217942760868199E-2</v>
      </c>
      <c r="X2766" t="s">
        <v>52</v>
      </c>
      <c r="Y2766" t="s">
        <v>32</v>
      </c>
      <c r="Z2766">
        <v>210.48927103297001</v>
      </c>
    </row>
    <row r="2767" spans="1:26" x14ac:dyDescent="0.3">
      <c r="A2767" t="s">
        <v>61</v>
      </c>
      <c r="B2767" t="s">
        <v>2823</v>
      </c>
      <c r="C2767">
        <v>74.366478064514197</v>
      </c>
      <c r="D2767">
        <v>11</v>
      </c>
      <c r="E2767">
        <v>526</v>
      </c>
      <c r="F2767">
        <v>7751.3525316866499</v>
      </c>
      <c r="G2767" t="s">
        <v>54</v>
      </c>
      <c r="H2767">
        <v>91</v>
      </c>
      <c r="I2767">
        <v>8</v>
      </c>
      <c r="J2767">
        <v>32</v>
      </c>
      <c r="K2767">
        <v>4</v>
      </c>
      <c r="L2767" t="s">
        <v>27</v>
      </c>
      <c r="M2767">
        <v>11.7432597615225</v>
      </c>
      <c r="N2767" t="s">
        <v>57</v>
      </c>
      <c r="O2767" t="s">
        <v>38</v>
      </c>
      <c r="P2767">
        <f>VLOOKUP(O2767, Coordinates!$A$2:$C$6, 2, FALSE)</f>
        <v>25.761700000000001</v>
      </c>
      <c r="Q2767">
        <f>VLOOKUP(O2767, Coordinates!$A$2:$C$6, 3, FALSE)</f>
        <v>-80.191800000000001</v>
      </c>
      <c r="R2767">
        <v>30</v>
      </c>
      <c r="S2767">
        <v>799</v>
      </c>
      <c r="T2767">
        <v>20</v>
      </c>
      <c r="U2767">
        <v>14.4974555598546</v>
      </c>
      <c r="V2767" t="s">
        <v>55</v>
      </c>
      <c r="W2767">
        <v>1.30662745922196</v>
      </c>
      <c r="X2767" t="s">
        <v>46</v>
      </c>
      <c r="Y2767" t="s">
        <v>41</v>
      </c>
      <c r="Z2767">
        <v>669.809582628219</v>
      </c>
    </row>
    <row r="2768" spans="1:26" x14ac:dyDescent="0.3">
      <c r="A2768" t="s">
        <v>42</v>
      </c>
      <c r="B2768" t="s">
        <v>2824</v>
      </c>
      <c r="C2768">
        <v>59.3199850139181</v>
      </c>
      <c r="D2768">
        <v>70</v>
      </c>
      <c r="E2768">
        <v>961</v>
      </c>
      <c r="F2768">
        <v>2932.7829924257398</v>
      </c>
      <c r="G2768" t="s">
        <v>54</v>
      </c>
      <c r="H2768">
        <v>2</v>
      </c>
      <c r="I2768">
        <v>30</v>
      </c>
      <c r="J2768">
        <v>45</v>
      </c>
      <c r="K2768">
        <v>9</v>
      </c>
      <c r="L2768" t="s">
        <v>44</v>
      </c>
      <c r="M2768">
        <v>2.96200300623916</v>
      </c>
      <c r="N2768" t="s">
        <v>28</v>
      </c>
      <c r="O2768" t="s">
        <v>67</v>
      </c>
      <c r="P2768">
        <f>VLOOKUP(O2768, Coordinates!$A$2:$C$6, 2, FALSE)</f>
        <v>40.712800000000001</v>
      </c>
      <c r="Q2768">
        <f>VLOOKUP(O2768, Coordinates!$A$2:$C$6, 3, FALSE)</f>
        <v>-74.006</v>
      </c>
      <c r="R2768">
        <v>25</v>
      </c>
      <c r="S2768">
        <v>871</v>
      </c>
      <c r="T2768">
        <v>1</v>
      </c>
      <c r="U2768">
        <v>59.870204388118097</v>
      </c>
      <c r="V2768" t="s">
        <v>55</v>
      </c>
      <c r="W2768">
        <v>2.7440086330054001</v>
      </c>
      <c r="X2768" t="s">
        <v>46</v>
      </c>
      <c r="Y2768" t="s">
        <v>60</v>
      </c>
      <c r="Z2768">
        <v>460.81650826165497</v>
      </c>
    </row>
    <row r="2769" spans="1:26" x14ac:dyDescent="0.3">
      <c r="A2769" t="s">
        <v>24</v>
      </c>
      <c r="B2769" t="s">
        <v>2825</v>
      </c>
      <c r="C2769">
        <v>21.239153463892301</v>
      </c>
      <c r="D2769">
        <v>62</v>
      </c>
      <c r="E2769">
        <v>16</v>
      </c>
      <c r="F2769">
        <v>305.84380988004898</v>
      </c>
      <c r="G2769" t="s">
        <v>35</v>
      </c>
      <c r="H2769">
        <v>50</v>
      </c>
      <c r="I2769">
        <v>27</v>
      </c>
      <c r="J2769">
        <v>34</v>
      </c>
      <c r="K2769">
        <v>10</v>
      </c>
      <c r="L2769" t="s">
        <v>36</v>
      </c>
      <c r="M2769">
        <v>4.0629811943830401</v>
      </c>
      <c r="N2769" t="s">
        <v>37</v>
      </c>
      <c r="O2769" t="s">
        <v>38</v>
      </c>
      <c r="P2769">
        <f>VLOOKUP(O2769, Coordinates!$A$2:$C$6, 2, FALSE)</f>
        <v>25.761700000000001</v>
      </c>
      <c r="Q2769">
        <f>VLOOKUP(O2769, Coordinates!$A$2:$C$6, 3, FALSE)</f>
        <v>-80.191800000000001</v>
      </c>
      <c r="R2769">
        <v>4</v>
      </c>
      <c r="S2769">
        <v>747</v>
      </c>
      <c r="T2769">
        <v>11</v>
      </c>
      <c r="U2769">
        <v>81.237850528043396</v>
      </c>
      <c r="V2769" t="s">
        <v>30</v>
      </c>
      <c r="W2769">
        <v>4.7050903832609103</v>
      </c>
      <c r="X2769" t="s">
        <v>40</v>
      </c>
      <c r="Y2769" t="s">
        <v>60</v>
      </c>
      <c r="Z2769">
        <v>992.83028614007299</v>
      </c>
    </row>
    <row r="2770" spans="1:26" x14ac:dyDescent="0.3">
      <c r="A2770" t="s">
        <v>82</v>
      </c>
      <c r="B2770" t="s">
        <v>2826</v>
      </c>
      <c r="C2770">
        <v>17.119166584280201</v>
      </c>
      <c r="D2770">
        <v>47</v>
      </c>
      <c r="E2770">
        <v>267</v>
      </c>
      <c r="F2770">
        <v>4782.6123404882901</v>
      </c>
      <c r="G2770" t="s">
        <v>35</v>
      </c>
      <c r="H2770">
        <v>37</v>
      </c>
      <c r="I2770">
        <v>19</v>
      </c>
      <c r="J2770">
        <v>16</v>
      </c>
      <c r="K2770">
        <v>9</v>
      </c>
      <c r="L2770" t="s">
        <v>44</v>
      </c>
      <c r="M2770">
        <v>10.015947256952799</v>
      </c>
      <c r="N2770" t="s">
        <v>51</v>
      </c>
      <c r="O2770" t="s">
        <v>67</v>
      </c>
      <c r="P2770">
        <f>VLOOKUP(O2770, Coordinates!$A$2:$C$6, 2, FALSE)</f>
        <v>40.712800000000001</v>
      </c>
      <c r="Q2770">
        <f>VLOOKUP(O2770, Coordinates!$A$2:$C$6, 3, FALSE)</f>
        <v>-74.006</v>
      </c>
      <c r="R2770">
        <v>28</v>
      </c>
      <c r="S2770">
        <v>589</v>
      </c>
      <c r="T2770">
        <v>5</v>
      </c>
      <c r="U2770">
        <v>84.914815019473295</v>
      </c>
      <c r="V2770" t="s">
        <v>30</v>
      </c>
      <c r="W2770">
        <v>3.3989509006626899</v>
      </c>
      <c r="X2770" t="s">
        <v>52</v>
      </c>
      <c r="Y2770" t="s">
        <v>60</v>
      </c>
      <c r="Z2770">
        <v>925.44820358141499</v>
      </c>
    </row>
    <row r="2771" spans="1:26" x14ac:dyDescent="0.3">
      <c r="A2771" t="s">
        <v>49</v>
      </c>
      <c r="B2771" t="s">
        <v>2827</v>
      </c>
      <c r="C2771">
        <v>43.863089120313198</v>
      </c>
      <c r="D2771">
        <v>34</v>
      </c>
      <c r="E2771">
        <v>661</v>
      </c>
      <c r="F2771">
        <v>6193.6969836858798</v>
      </c>
      <c r="G2771" t="s">
        <v>54</v>
      </c>
      <c r="H2771">
        <v>11</v>
      </c>
      <c r="I2771">
        <v>27</v>
      </c>
      <c r="J2771">
        <v>91</v>
      </c>
      <c r="K2771">
        <v>7</v>
      </c>
      <c r="L2771" t="s">
        <v>44</v>
      </c>
      <c r="M2771">
        <v>13.901876460120899</v>
      </c>
      <c r="N2771" t="s">
        <v>57</v>
      </c>
      <c r="O2771" t="s">
        <v>58</v>
      </c>
      <c r="P2771">
        <f>VLOOKUP(O2771, Coordinates!$A$2:$C$6, 2, FALSE)</f>
        <v>34.052199999999999</v>
      </c>
      <c r="Q2771">
        <f>VLOOKUP(O2771, Coordinates!$A$2:$C$6, 3, FALSE)</f>
        <v>-118.2437</v>
      </c>
      <c r="R2771">
        <v>21</v>
      </c>
      <c r="S2771">
        <v>701</v>
      </c>
      <c r="T2771">
        <v>7</v>
      </c>
      <c r="U2771">
        <v>41.1465782597325</v>
      </c>
      <c r="V2771" t="s">
        <v>55</v>
      </c>
      <c r="W2771">
        <v>2.2829439314092399</v>
      </c>
      <c r="X2771" t="s">
        <v>40</v>
      </c>
      <c r="Y2771" t="s">
        <v>60</v>
      </c>
      <c r="Z2771">
        <v>806.05341254800499</v>
      </c>
    </row>
    <row r="2772" spans="1:26" x14ac:dyDescent="0.3">
      <c r="A2772" t="s">
        <v>33</v>
      </c>
      <c r="B2772" t="s">
        <v>2828</v>
      </c>
      <c r="C2772">
        <v>38.665832383682798</v>
      </c>
      <c r="D2772">
        <v>100</v>
      </c>
      <c r="E2772">
        <v>453</v>
      </c>
      <c r="F2772">
        <v>8856.5385736810094</v>
      </c>
      <c r="G2772" t="s">
        <v>54</v>
      </c>
      <c r="H2772">
        <v>87</v>
      </c>
      <c r="I2772">
        <v>11</v>
      </c>
      <c r="J2772">
        <v>29</v>
      </c>
      <c r="K2772">
        <v>10</v>
      </c>
      <c r="L2772" t="s">
        <v>27</v>
      </c>
      <c r="M2772">
        <v>7.2416534740872596</v>
      </c>
      <c r="N2772" t="s">
        <v>51</v>
      </c>
      <c r="O2772" t="s">
        <v>65</v>
      </c>
      <c r="P2772">
        <f>VLOOKUP(O2772, Coordinates!$A$2:$C$6, 2, FALSE)</f>
        <v>41.878100000000003</v>
      </c>
      <c r="Q2772">
        <f>VLOOKUP(O2772, Coordinates!$A$2:$C$6, 3, FALSE)</f>
        <v>-87.629800000000003</v>
      </c>
      <c r="R2772">
        <v>22</v>
      </c>
      <c r="S2772">
        <v>832</v>
      </c>
      <c r="T2772">
        <v>13</v>
      </c>
      <c r="U2772">
        <v>74.316636026770496</v>
      </c>
      <c r="V2772" t="s">
        <v>55</v>
      </c>
      <c r="W2772">
        <v>0.65070665253841498</v>
      </c>
      <c r="X2772" t="s">
        <v>40</v>
      </c>
      <c r="Y2772" t="s">
        <v>41</v>
      </c>
      <c r="Z2772">
        <v>279.349388049445</v>
      </c>
    </row>
    <row r="2773" spans="1:26" x14ac:dyDescent="0.3">
      <c r="A2773" t="s">
        <v>61</v>
      </c>
      <c r="B2773" t="s">
        <v>2829</v>
      </c>
      <c r="C2773">
        <v>33.768839452980501</v>
      </c>
      <c r="D2773">
        <v>17</v>
      </c>
      <c r="E2773">
        <v>196</v>
      </c>
      <c r="F2773">
        <v>8772.6070082795795</v>
      </c>
      <c r="H2773">
        <v>76</v>
      </c>
      <c r="I2773">
        <v>20</v>
      </c>
      <c r="J2773">
        <v>14</v>
      </c>
      <c r="K2773">
        <v>4</v>
      </c>
      <c r="L2773" t="s">
        <v>36</v>
      </c>
      <c r="M2773">
        <v>7.7988591300000003</v>
      </c>
      <c r="N2773" t="s">
        <v>57</v>
      </c>
      <c r="O2773" t="s">
        <v>58</v>
      </c>
      <c r="P2773">
        <f>VLOOKUP(O2773, Coordinates!$A$2:$C$6, 2, FALSE)</f>
        <v>34.052199999999999</v>
      </c>
      <c r="Q2773">
        <f>VLOOKUP(O2773, Coordinates!$A$2:$C$6, 3, FALSE)</f>
        <v>-118.2437</v>
      </c>
      <c r="R2773">
        <v>28</v>
      </c>
      <c r="S2773">
        <v>627</v>
      </c>
      <c r="T2773">
        <v>23</v>
      </c>
      <c r="U2773">
        <v>58.557107937364897</v>
      </c>
      <c r="V2773" t="s">
        <v>39</v>
      </c>
      <c r="W2773">
        <v>2.4660767737872602</v>
      </c>
      <c r="X2773" t="s">
        <v>52</v>
      </c>
      <c r="Y2773" t="s">
        <v>32</v>
      </c>
      <c r="Z2773">
        <v>729.27368904562195</v>
      </c>
    </row>
    <row r="2774" spans="1:26" x14ac:dyDescent="0.3">
      <c r="A2774" t="s">
        <v>82</v>
      </c>
      <c r="B2774" t="s">
        <v>2830</v>
      </c>
      <c r="C2774">
        <v>74.433564215609707</v>
      </c>
      <c r="D2774">
        <v>54</v>
      </c>
      <c r="E2774">
        <v>766</v>
      </c>
      <c r="F2774">
        <v>4343.6761771921501</v>
      </c>
      <c r="G2774" t="s">
        <v>26</v>
      </c>
      <c r="H2774">
        <v>65</v>
      </c>
      <c r="I2774">
        <v>23</v>
      </c>
      <c r="J2774">
        <v>27</v>
      </c>
      <c r="K2774">
        <v>8</v>
      </c>
      <c r="L2774" t="s">
        <v>36</v>
      </c>
      <c r="M2774">
        <v>4.3292036594464101</v>
      </c>
      <c r="N2774" t="s">
        <v>28</v>
      </c>
      <c r="O2774" t="s">
        <v>38</v>
      </c>
      <c r="P2774">
        <f>VLOOKUP(O2774, Coordinates!$A$2:$C$6, 2, FALSE)</f>
        <v>25.761700000000001</v>
      </c>
      <c r="Q2774">
        <f>VLOOKUP(O2774, Coordinates!$A$2:$C$6, 3, FALSE)</f>
        <v>-80.191800000000001</v>
      </c>
      <c r="R2774">
        <v>9</v>
      </c>
      <c r="S2774">
        <v>758</v>
      </c>
      <c r="T2774">
        <v>6</v>
      </c>
      <c r="U2774">
        <v>58.737104343547301</v>
      </c>
      <c r="V2774" t="s">
        <v>30</v>
      </c>
      <c r="W2774">
        <v>2.2054348622803301</v>
      </c>
      <c r="X2774" t="s">
        <v>40</v>
      </c>
      <c r="Y2774" t="s">
        <v>60</v>
      </c>
      <c r="Z2774">
        <v>614.931227875628</v>
      </c>
    </row>
    <row r="2775" spans="1:26" x14ac:dyDescent="0.3">
      <c r="A2775" t="s">
        <v>24</v>
      </c>
      <c r="B2775" t="s">
        <v>2831</v>
      </c>
      <c r="C2775">
        <v>33.694760826300801</v>
      </c>
      <c r="D2775">
        <v>76</v>
      </c>
      <c r="E2775">
        <v>118</v>
      </c>
      <c r="F2775">
        <v>3578.3835997531501</v>
      </c>
      <c r="G2775" t="s">
        <v>26</v>
      </c>
      <c r="H2775">
        <v>53</v>
      </c>
      <c r="I2775">
        <v>4</v>
      </c>
      <c r="J2775">
        <v>42</v>
      </c>
      <c r="K2775">
        <v>10</v>
      </c>
      <c r="L2775" t="s">
        <v>36</v>
      </c>
      <c r="M2775">
        <v>6.3621522586958497</v>
      </c>
      <c r="N2775" t="s">
        <v>57</v>
      </c>
      <c r="O2775" t="s">
        <v>65</v>
      </c>
      <c r="P2775">
        <f>VLOOKUP(O2775, Coordinates!$A$2:$C$6, 2, FALSE)</f>
        <v>41.878100000000003</v>
      </c>
      <c r="Q2775">
        <f>VLOOKUP(O2775, Coordinates!$A$2:$C$6, 3, FALSE)</f>
        <v>-87.629800000000003</v>
      </c>
      <c r="R2775">
        <v>22</v>
      </c>
      <c r="S2775">
        <v>484</v>
      </c>
      <c r="T2775">
        <v>13</v>
      </c>
      <c r="U2775">
        <v>90.489347511539506</v>
      </c>
      <c r="V2775" t="s">
        <v>30</v>
      </c>
      <c r="W2775">
        <v>3.8922163734435</v>
      </c>
      <c r="X2775" t="s">
        <v>46</v>
      </c>
      <c r="Y2775" t="s">
        <v>60</v>
      </c>
      <c r="Z2775">
        <v>221.81208647030999</v>
      </c>
    </row>
    <row r="2776" spans="1:26" x14ac:dyDescent="0.3">
      <c r="A2776" t="s">
        <v>42</v>
      </c>
      <c r="B2776" t="s">
        <v>2832</v>
      </c>
      <c r="C2776">
        <v>60.956908640000002</v>
      </c>
      <c r="D2776">
        <v>85</v>
      </c>
      <c r="E2776">
        <v>30</v>
      </c>
      <c r="F2776">
        <v>7976.3146995573497</v>
      </c>
      <c r="G2776" t="s">
        <v>26</v>
      </c>
      <c r="H2776">
        <v>38</v>
      </c>
      <c r="I2776">
        <v>18</v>
      </c>
      <c r="J2776">
        <v>88</v>
      </c>
      <c r="K2776">
        <v>3</v>
      </c>
      <c r="L2776" t="s">
        <v>27</v>
      </c>
      <c r="M2776">
        <v>5.0042478399999997</v>
      </c>
      <c r="N2776" t="s">
        <v>45</v>
      </c>
      <c r="O2776" t="s">
        <v>38</v>
      </c>
      <c r="P2776">
        <f>VLOOKUP(O2776, Coordinates!$A$2:$C$6, 2, FALSE)</f>
        <v>25.761700000000001</v>
      </c>
      <c r="Q2776">
        <f>VLOOKUP(O2776, Coordinates!$A$2:$C$6, 3, FALSE)</f>
        <v>-80.191800000000001</v>
      </c>
      <c r="R2776">
        <v>26</v>
      </c>
      <c r="S2776">
        <v>712</v>
      </c>
      <c r="T2776">
        <v>6</v>
      </c>
      <c r="U2776">
        <v>52.336398333210703</v>
      </c>
      <c r="V2776" t="s">
        <v>39</v>
      </c>
      <c r="W2776">
        <v>4.7525857048757301</v>
      </c>
      <c r="X2776" t="s">
        <v>31</v>
      </c>
      <c r="Y2776" t="s">
        <v>60</v>
      </c>
      <c r="Z2776">
        <v>815.21299327284305</v>
      </c>
    </row>
    <row r="2777" spans="1:26" x14ac:dyDescent="0.3">
      <c r="A2777" t="s">
        <v>82</v>
      </c>
      <c r="B2777" t="s">
        <v>2833</v>
      </c>
      <c r="C2777">
        <v>94.173157262870305</v>
      </c>
      <c r="D2777">
        <v>40</v>
      </c>
      <c r="E2777">
        <v>787</v>
      </c>
      <c r="G2777" t="s">
        <v>26</v>
      </c>
      <c r="H2777">
        <v>75</v>
      </c>
      <c r="I2777">
        <v>14</v>
      </c>
      <c r="J2777">
        <v>44</v>
      </c>
      <c r="K2777">
        <v>3</v>
      </c>
      <c r="L2777" t="s">
        <v>44</v>
      </c>
      <c r="M2777">
        <v>5.9079960949293797</v>
      </c>
      <c r="N2777" t="s">
        <v>51</v>
      </c>
      <c r="O2777" t="s">
        <v>38</v>
      </c>
      <c r="P2777">
        <f>VLOOKUP(O2777, Coordinates!$A$2:$C$6, 2, FALSE)</f>
        <v>25.761700000000001</v>
      </c>
      <c r="Q2777">
        <f>VLOOKUP(O2777, Coordinates!$A$2:$C$6, 3, FALSE)</f>
        <v>-80.191800000000001</v>
      </c>
      <c r="R2777">
        <v>18</v>
      </c>
      <c r="S2777">
        <v>517</v>
      </c>
      <c r="T2777">
        <v>15</v>
      </c>
      <c r="U2777">
        <v>86.103958073003199</v>
      </c>
      <c r="V2777" t="s">
        <v>39</v>
      </c>
      <c r="W2777">
        <v>1.5941903741666601</v>
      </c>
      <c r="X2777" t="s">
        <v>46</v>
      </c>
      <c r="Y2777" t="s">
        <v>60</v>
      </c>
      <c r="Z2777">
        <v>177.81070409914699</v>
      </c>
    </row>
    <row r="2778" spans="1:26" x14ac:dyDescent="0.3">
      <c r="A2778" t="s">
        <v>72</v>
      </c>
      <c r="B2778" t="s">
        <v>2834</v>
      </c>
      <c r="C2778">
        <v>22.348035101966701</v>
      </c>
      <c r="D2778">
        <v>19</v>
      </c>
      <c r="E2778">
        <v>503</v>
      </c>
      <c r="F2778">
        <v>10116.955490660301</v>
      </c>
      <c r="G2778" t="s">
        <v>26</v>
      </c>
      <c r="H2778">
        <v>38</v>
      </c>
      <c r="I2778">
        <v>26</v>
      </c>
      <c r="J2778">
        <v>74</v>
      </c>
      <c r="K2778">
        <v>7</v>
      </c>
      <c r="L2778" t="s">
        <v>36</v>
      </c>
      <c r="M2778">
        <v>1.2883667465748601</v>
      </c>
      <c r="N2778" t="s">
        <v>51</v>
      </c>
      <c r="O2778" t="s">
        <v>58</v>
      </c>
      <c r="P2778">
        <f>VLOOKUP(O2778, Coordinates!$A$2:$C$6, 2, FALSE)</f>
        <v>34.052199999999999</v>
      </c>
      <c r="Q2778">
        <f>VLOOKUP(O2778, Coordinates!$A$2:$C$6, 3, FALSE)</f>
        <v>-118.2437</v>
      </c>
      <c r="R2778">
        <v>14</v>
      </c>
      <c r="S2778">
        <v>318</v>
      </c>
      <c r="T2778">
        <v>8</v>
      </c>
      <c r="U2778">
        <v>94.140349678534605</v>
      </c>
      <c r="V2778" t="s">
        <v>39</v>
      </c>
      <c r="W2778">
        <v>0.44859841234410402</v>
      </c>
      <c r="X2778" t="s">
        <v>31</v>
      </c>
      <c r="Y2778" t="s">
        <v>32</v>
      </c>
      <c r="Z2778">
        <v>533.44870670747798</v>
      </c>
    </row>
    <row r="2779" spans="1:26" x14ac:dyDescent="0.3">
      <c r="A2779" t="s">
        <v>42</v>
      </c>
      <c r="B2779" t="s">
        <v>2835</v>
      </c>
      <c r="C2779">
        <v>28.161184082466999</v>
      </c>
      <c r="D2779">
        <v>67</v>
      </c>
      <c r="E2779">
        <v>512</v>
      </c>
      <c r="F2779">
        <v>9139.8280808543495</v>
      </c>
      <c r="G2779" t="s">
        <v>26</v>
      </c>
      <c r="H2779">
        <v>77</v>
      </c>
      <c r="I2779">
        <v>6</v>
      </c>
      <c r="J2779">
        <v>72</v>
      </c>
      <c r="K2779">
        <v>9</v>
      </c>
      <c r="L2779" t="s">
        <v>44</v>
      </c>
      <c r="M2779">
        <v>1.57485042541132</v>
      </c>
      <c r="N2779" t="s">
        <v>57</v>
      </c>
      <c r="O2779" t="s">
        <v>65</v>
      </c>
      <c r="P2779">
        <f>VLOOKUP(O2779, Coordinates!$A$2:$C$6, 2, FALSE)</f>
        <v>41.878100000000003</v>
      </c>
      <c r="Q2779">
        <f>VLOOKUP(O2779, Coordinates!$A$2:$C$6, 3, FALSE)</f>
        <v>-87.629800000000003</v>
      </c>
      <c r="R2779">
        <v>20</v>
      </c>
      <c r="S2779">
        <v>979</v>
      </c>
      <c r="T2779">
        <v>11</v>
      </c>
      <c r="U2779">
        <v>25.7304648217874</v>
      </c>
      <c r="V2779" t="s">
        <v>55</v>
      </c>
      <c r="W2779">
        <v>0.23250531962683299</v>
      </c>
      <c r="X2779" t="s">
        <v>31</v>
      </c>
      <c r="Y2779" t="s">
        <v>41</v>
      </c>
      <c r="Z2779">
        <v>483.90709618130302</v>
      </c>
    </row>
    <row r="2780" spans="1:26" x14ac:dyDescent="0.3">
      <c r="A2780" t="s">
        <v>24</v>
      </c>
      <c r="B2780" t="s">
        <v>2836</v>
      </c>
      <c r="C2780">
        <v>23.948798248137201</v>
      </c>
      <c r="D2780">
        <v>82</v>
      </c>
      <c r="E2780">
        <v>549</v>
      </c>
      <c r="F2780">
        <v>11833.1012144046</v>
      </c>
      <c r="G2780" t="s">
        <v>35</v>
      </c>
      <c r="H2780">
        <v>29</v>
      </c>
      <c r="I2780">
        <v>25</v>
      </c>
      <c r="J2780">
        <v>94</v>
      </c>
      <c r="K2780">
        <v>4</v>
      </c>
      <c r="L2780" t="s">
        <v>44</v>
      </c>
      <c r="M2780">
        <v>10.5296114747246</v>
      </c>
      <c r="N2780" t="s">
        <v>45</v>
      </c>
      <c r="O2780" t="s">
        <v>38</v>
      </c>
      <c r="P2780">
        <f>VLOOKUP(O2780, Coordinates!$A$2:$C$6, 2, FALSE)</f>
        <v>25.761700000000001</v>
      </c>
      <c r="Q2780">
        <f>VLOOKUP(O2780, Coordinates!$A$2:$C$6, 3, FALSE)</f>
        <v>-80.191800000000001</v>
      </c>
      <c r="R2780">
        <v>25</v>
      </c>
      <c r="S2780">
        <v>656</v>
      </c>
      <c r="T2780">
        <v>10</v>
      </c>
      <c r="U2780">
        <v>90.656727580828303</v>
      </c>
      <c r="V2780" t="s">
        <v>39</v>
      </c>
      <c r="W2780">
        <v>3.6651179042931998</v>
      </c>
      <c r="X2780" t="s">
        <v>46</v>
      </c>
      <c r="Y2780" t="s">
        <v>32</v>
      </c>
      <c r="Z2780">
        <v>825.57766779835401</v>
      </c>
    </row>
    <row r="2781" spans="1:26" x14ac:dyDescent="0.3">
      <c r="A2781" t="s">
        <v>49</v>
      </c>
      <c r="B2781" t="s">
        <v>2837</v>
      </c>
      <c r="C2781">
        <v>23.8873357890532</v>
      </c>
      <c r="D2781">
        <v>53</v>
      </c>
      <c r="E2781">
        <v>66</v>
      </c>
      <c r="F2781">
        <v>1232.26451372107</v>
      </c>
      <c r="G2781" t="s">
        <v>48</v>
      </c>
      <c r="H2781">
        <v>47</v>
      </c>
      <c r="I2781">
        <v>16</v>
      </c>
      <c r="J2781">
        <v>81</v>
      </c>
      <c r="K2781">
        <v>4</v>
      </c>
      <c r="L2781" t="s">
        <v>44</v>
      </c>
      <c r="M2781">
        <v>10.5451326449168</v>
      </c>
      <c r="N2781" t="s">
        <v>45</v>
      </c>
      <c r="O2781" t="s">
        <v>38</v>
      </c>
      <c r="P2781">
        <f>VLOOKUP(O2781, Coordinates!$A$2:$C$6, 2, FALSE)</f>
        <v>25.761700000000001</v>
      </c>
      <c r="Q2781">
        <f>VLOOKUP(O2781, Coordinates!$A$2:$C$6, 3, FALSE)</f>
        <v>-80.191800000000001</v>
      </c>
      <c r="R2781">
        <v>29</v>
      </c>
      <c r="S2781">
        <v>162</v>
      </c>
      <c r="T2781">
        <v>9</v>
      </c>
      <c r="U2781">
        <v>54.852020323931903</v>
      </c>
      <c r="V2781" t="s">
        <v>39</v>
      </c>
      <c r="W2781">
        <v>4.2361923057561697</v>
      </c>
      <c r="X2781" t="s">
        <v>40</v>
      </c>
      <c r="Y2781" t="s">
        <v>60</v>
      </c>
      <c r="Z2781">
        <v>484.810676025531</v>
      </c>
    </row>
    <row r="2782" spans="1:26" x14ac:dyDescent="0.3">
      <c r="A2782" t="s">
        <v>33</v>
      </c>
      <c r="B2782" t="s">
        <v>2838</v>
      </c>
      <c r="C2782">
        <v>34.925998182425303</v>
      </c>
      <c r="D2782">
        <v>64</v>
      </c>
      <c r="E2782">
        <v>233</v>
      </c>
      <c r="F2782">
        <v>1182.5197639067701</v>
      </c>
      <c r="G2782" t="s">
        <v>35</v>
      </c>
      <c r="H2782">
        <v>82</v>
      </c>
      <c r="I2782">
        <v>18</v>
      </c>
      <c r="J2782">
        <v>80</v>
      </c>
      <c r="K2782">
        <v>1</v>
      </c>
      <c r="L2782" t="s">
        <v>27</v>
      </c>
      <c r="M2782">
        <v>5.6232284047016803</v>
      </c>
      <c r="N2782" t="s">
        <v>57</v>
      </c>
      <c r="O2782" t="s">
        <v>58</v>
      </c>
      <c r="P2782">
        <f>VLOOKUP(O2782, Coordinates!$A$2:$C$6, 2, FALSE)</f>
        <v>34.052199999999999</v>
      </c>
      <c r="Q2782">
        <f>VLOOKUP(O2782, Coordinates!$A$2:$C$6, 3, FALSE)</f>
        <v>-118.2437</v>
      </c>
      <c r="R2782">
        <v>1</v>
      </c>
      <c r="S2782">
        <v>449</v>
      </c>
      <c r="T2782">
        <v>4</v>
      </c>
      <c r="U2782">
        <v>53.0544877874012</v>
      </c>
      <c r="V2782" t="s">
        <v>30</v>
      </c>
      <c r="W2782">
        <v>2.7766208475642902</v>
      </c>
      <c r="X2782" t="s">
        <v>52</v>
      </c>
      <c r="Y2782" t="s">
        <v>60</v>
      </c>
      <c r="Z2782">
        <v>724.87979203023599</v>
      </c>
    </row>
    <row r="2783" spans="1:26" x14ac:dyDescent="0.3">
      <c r="A2783" t="s">
        <v>24</v>
      </c>
      <c r="B2783" t="s">
        <v>2839</v>
      </c>
      <c r="C2783">
        <v>32.910618983976804</v>
      </c>
      <c r="D2783">
        <v>83</v>
      </c>
      <c r="E2783">
        <v>819</v>
      </c>
      <c r="F2783">
        <v>24258.417253089301</v>
      </c>
      <c r="G2783" t="s">
        <v>48</v>
      </c>
      <c r="H2783">
        <v>30</v>
      </c>
      <c r="I2783">
        <v>1</v>
      </c>
      <c r="J2783">
        <v>50</v>
      </c>
      <c r="K2783">
        <v>1</v>
      </c>
      <c r="L2783" t="s">
        <v>44</v>
      </c>
      <c r="M2783">
        <v>13.396473554553699</v>
      </c>
      <c r="N2783" t="s">
        <v>37</v>
      </c>
      <c r="O2783" t="s">
        <v>65</v>
      </c>
      <c r="P2783">
        <f>VLOOKUP(O2783, Coordinates!$A$2:$C$6, 2, FALSE)</f>
        <v>41.878100000000003</v>
      </c>
      <c r="Q2783">
        <f>VLOOKUP(O2783, Coordinates!$A$2:$C$6, 3, FALSE)</f>
        <v>-87.629800000000003</v>
      </c>
      <c r="R2783">
        <v>18</v>
      </c>
      <c r="S2783">
        <v>489</v>
      </c>
      <c r="T2783">
        <v>14</v>
      </c>
      <c r="U2783">
        <v>78.448248774707295</v>
      </c>
      <c r="V2783" t="s">
        <v>55</v>
      </c>
      <c r="W2783">
        <v>3.559642186</v>
      </c>
      <c r="X2783" t="s">
        <v>31</v>
      </c>
      <c r="Y2783" t="s">
        <v>32</v>
      </c>
      <c r="Z2783">
        <v>530.43465515778598</v>
      </c>
    </row>
    <row r="2784" spans="1:26" x14ac:dyDescent="0.3">
      <c r="A2784" t="s">
        <v>49</v>
      </c>
      <c r="B2784" t="s">
        <v>2840</v>
      </c>
      <c r="C2784">
        <v>11.569588933257601</v>
      </c>
      <c r="D2784">
        <v>47</v>
      </c>
      <c r="E2784">
        <v>611</v>
      </c>
      <c r="F2784">
        <v>6955.0755464577696</v>
      </c>
      <c r="G2784" t="s">
        <v>35</v>
      </c>
      <c r="H2784">
        <v>24</v>
      </c>
      <c r="I2784">
        <v>8</v>
      </c>
      <c r="J2784">
        <v>59</v>
      </c>
      <c r="K2784">
        <v>3</v>
      </c>
      <c r="L2784" t="s">
        <v>27</v>
      </c>
      <c r="M2784">
        <v>4.7255696267989196</v>
      </c>
      <c r="N2784" t="s">
        <v>28</v>
      </c>
      <c r="O2784" t="s">
        <v>29</v>
      </c>
      <c r="P2784">
        <f>VLOOKUP(O2784, Coordinates!$A$2:$C$6, 2, FALSE)</f>
        <v>29.760400000000001</v>
      </c>
      <c r="Q2784">
        <f>VLOOKUP(O2784, Coordinates!$A$2:$C$6, 3, FALSE)</f>
        <v>-95.369799999999998</v>
      </c>
      <c r="R2784">
        <v>4</v>
      </c>
      <c r="S2784">
        <v>903</v>
      </c>
      <c r="T2784">
        <v>4</v>
      </c>
      <c r="U2784">
        <v>60.821104731408703</v>
      </c>
      <c r="V2784" t="s">
        <v>30</v>
      </c>
      <c r="W2784">
        <v>0.20003406786901401</v>
      </c>
      <c r="X2784" t="s">
        <v>52</v>
      </c>
      <c r="Y2784" t="s">
        <v>41</v>
      </c>
      <c r="Z2784">
        <v>623.8187064</v>
      </c>
    </row>
    <row r="2785" spans="1:26" x14ac:dyDescent="0.3">
      <c r="A2785" t="s">
        <v>61</v>
      </c>
      <c r="B2785" t="s">
        <v>2841</v>
      </c>
      <c r="C2785">
        <v>83.612380455388902</v>
      </c>
      <c r="D2785">
        <v>6</v>
      </c>
      <c r="E2785">
        <v>39</v>
      </c>
      <c r="F2785">
        <v>3799.3753455128499</v>
      </c>
      <c r="G2785" t="s">
        <v>35</v>
      </c>
      <c r="H2785">
        <v>67</v>
      </c>
      <c r="I2785">
        <v>1</v>
      </c>
      <c r="J2785">
        <v>39</v>
      </c>
      <c r="K2785">
        <v>7</v>
      </c>
      <c r="L2785" t="s">
        <v>27</v>
      </c>
      <c r="M2785">
        <v>6.5409869476345097</v>
      </c>
      <c r="N2785" t="s">
        <v>57</v>
      </c>
      <c r="O2785" t="s">
        <v>67</v>
      </c>
      <c r="P2785">
        <f>VLOOKUP(O2785, Coordinates!$A$2:$C$6, 2, FALSE)</f>
        <v>40.712800000000001</v>
      </c>
      <c r="Q2785">
        <f>VLOOKUP(O2785, Coordinates!$A$2:$C$6, 3, FALSE)</f>
        <v>-74.006</v>
      </c>
      <c r="R2785">
        <v>10</v>
      </c>
      <c r="S2785">
        <v>476</v>
      </c>
      <c r="T2785">
        <v>24</v>
      </c>
      <c r="U2785">
        <v>89.9599664582922</v>
      </c>
      <c r="V2785" t="s">
        <v>39</v>
      </c>
      <c r="W2785">
        <v>2.4810855485140699</v>
      </c>
      <c r="X2785" t="s">
        <v>52</v>
      </c>
      <c r="Y2785" t="s">
        <v>41</v>
      </c>
      <c r="Z2785">
        <v>316.93689798011201</v>
      </c>
    </row>
    <row r="2786" spans="1:26" x14ac:dyDescent="0.3">
      <c r="A2786" t="s">
        <v>82</v>
      </c>
      <c r="B2786" t="s">
        <v>2842</v>
      </c>
      <c r="C2786">
        <v>29.181351577557798</v>
      </c>
      <c r="D2786">
        <v>16</v>
      </c>
      <c r="E2786">
        <v>709</v>
      </c>
      <c r="F2786">
        <v>3880.0989032235698</v>
      </c>
      <c r="G2786" t="s">
        <v>26</v>
      </c>
      <c r="H2786">
        <v>50</v>
      </c>
      <c r="I2786">
        <v>1</v>
      </c>
      <c r="J2786">
        <v>47</v>
      </c>
      <c r="K2786">
        <v>9</v>
      </c>
      <c r="L2786" t="s">
        <v>27</v>
      </c>
      <c r="M2786">
        <v>11.2392587399641</v>
      </c>
      <c r="N2786" t="s">
        <v>45</v>
      </c>
      <c r="O2786" t="s">
        <v>38</v>
      </c>
      <c r="P2786">
        <f>VLOOKUP(O2786, Coordinates!$A$2:$C$6, 2, FALSE)</f>
        <v>25.761700000000001</v>
      </c>
      <c r="Q2786">
        <f>VLOOKUP(O2786, Coordinates!$A$2:$C$6, 3, FALSE)</f>
        <v>-80.191800000000001</v>
      </c>
      <c r="R2786">
        <v>27</v>
      </c>
      <c r="S2786">
        <v>970</v>
      </c>
      <c r="T2786">
        <v>15</v>
      </c>
      <c r="U2786">
        <v>56.276694542434697</v>
      </c>
      <c r="V2786" t="s">
        <v>55</v>
      </c>
      <c r="W2786">
        <v>4.8717568314639799</v>
      </c>
      <c r="X2786" t="s">
        <v>31</v>
      </c>
      <c r="Y2786" t="s">
        <v>41</v>
      </c>
      <c r="Z2786">
        <v>282.20793759091998</v>
      </c>
    </row>
    <row r="2787" spans="1:26" x14ac:dyDescent="0.3">
      <c r="A2787" t="s">
        <v>72</v>
      </c>
      <c r="B2787" t="s">
        <v>2843</v>
      </c>
      <c r="C2787">
        <v>28.923157667201899</v>
      </c>
      <c r="D2787">
        <v>72</v>
      </c>
      <c r="E2787">
        <v>460</v>
      </c>
      <c r="F2787">
        <v>11974.1872742216</v>
      </c>
      <c r="G2787" t="s">
        <v>26</v>
      </c>
      <c r="H2787">
        <v>12</v>
      </c>
      <c r="I2787">
        <v>19</v>
      </c>
      <c r="J2787">
        <v>44</v>
      </c>
      <c r="K2787">
        <v>4</v>
      </c>
      <c r="L2787" t="s">
        <v>36</v>
      </c>
      <c r="M2787">
        <v>11.4099536490698</v>
      </c>
      <c r="N2787" t="s">
        <v>28</v>
      </c>
      <c r="O2787" t="s">
        <v>58</v>
      </c>
      <c r="P2787">
        <f>VLOOKUP(O2787, Coordinates!$A$2:$C$6, 2, FALSE)</f>
        <v>34.052199999999999</v>
      </c>
      <c r="Q2787">
        <f>VLOOKUP(O2787, Coordinates!$A$2:$C$6, 3, FALSE)</f>
        <v>-118.2437</v>
      </c>
      <c r="R2787">
        <v>21</v>
      </c>
      <c r="S2787">
        <v>165</v>
      </c>
      <c r="T2787">
        <v>21</v>
      </c>
      <c r="U2787">
        <v>91.700384168547501</v>
      </c>
      <c r="V2787" t="s">
        <v>30</v>
      </c>
      <c r="W2787">
        <v>2.2758329307016401</v>
      </c>
      <c r="X2787" t="s">
        <v>52</v>
      </c>
      <c r="Y2787" t="s">
        <v>41</v>
      </c>
      <c r="Z2787">
        <v>738.92196955575002</v>
      </c>
    </row>
    <row r="2788" spans="1:26" x14ac:dyDescent="0.3">
      <c r="A2788" t="s">
        <v>42</v>
      </c>
      <c r="B2788" t="s">
        <v>2844</v>
      </c>
      <c r="C2788">
        <v>9.1149509591596303</v>
      </c>
      <c r="D2788">
        <v>18</v>
      </c>
      <c r="E2788">
        <v>592</v>
      </c>
      <c r="F2788">
        <v>7121.4269208299002</v>
      </c>
      <c r="G2788" t="s">
        <v>48</v>
      </c>
      <c r="H2788">
        <v>99</v>
      </c>
      <c r="I2788">
        <v>21</v>
      </c>
      <c r="J2788">
        <v>75</v>
      </c>
      <c r="K2788">
        <v>2</v>
      </c>
      <c r="L2788" t="s">
        <v>27</v>
      </c>
      <c r="M2788">
        <v>13.056320677872501</v>
      </c>
      <c r="N2788" t="s">
        <v>57</v>
      </c>
      <c r="O2788" t="s">
        <v>65</v>
      </c>
      <c r="P2788">
        <f>VLOOKUP(O2788, Coordinates!$A$2:$C$6, 2, FALSE)</f>
        <v>41.878100000000003</v>
      </c>
      <c r="Q2788">
        <f>VLOOKUP(O2788, Coordinates!$A$2:$C$6, 3, FALSE)</f>
        <v>-87.629800000000003</v>
      </c>
      <c r="R2788">
        <v>25</v>
      </c>
      <c r="S2788">
        <v>218</v>
      </c>
      <c r="T2788">
        <v>10</v>
      </c>
      <c r="U2788">
        <v>21.6546256236477</v>
      </c>
      <c r="V2788" t="s">
        <v>30</v>
      </c>
      <c r="W2788">
        <v>2.6062110547538699</v>
      </c>
      <c r="X2788" t="s">
        <v>52</v>
      </c>
      <c r="Y2788" t="s">
        <v>32</v>
      </c>
      <c r="Z2788">
        <v>210.097339840812</v>
      </c>
    </row>
    <row r="2789" spans="1:26" x14ac:dyDescent="0.3">
      <c r="A2789" t="s">
        <v>42</v>
      </c>
      <c r="B2789" t="s">
        <v>2845</v>
      </c>
      <c r="C2789">
        <v>71.437249294001006</v>
      </c>
      <c r="D2789">
        <v>52</v>
      </c>
      <c r="E2789">
        <v>895</v>
      </c>
      <c r="F2789">
        <v>1523.2041192414499</v>
      </c>
      <c r="G2789" t="s">
        <v>48</v>
      </c>
      <c r="H2789">
        <v>62</v>
      </c>
      <c r="I2789">
        <v>29</v>
      </c>
      <c r="J2789">
        <v>55</v>
      </c>
      <c r="K2789">
        <v>6</v>
      </c>
      <c r="L2789" t="s">
        <v>36</v>
      </c>
      <c r="M2789">
        <v>1.4068265866834699</v>
      </c>
      <c r="N2789" t="s">
        <v>28</v>
      </c>
      <c r="O2789" t="s">
        <v>38</v>
      </c>
      <c r="P2789">
        <f>VLOOKUP(O2789, Coordinates!$A$2:$C$6, 2, FALSE)</f>
        <v>25.761700000000001</v>
      </c>
      <c r="Q2789">
        <f>VLOOKUP(O2789, Coordinates!$A$2:$C$6, 3, FALSE)</f>
        <v>-80.191800000000001</v>
      </c>
      <c r="R2789">
        <v>17</v>
      </c>
      <c r="S2789">
        <v>845</v>
      </c>
      <c r="T2789">
        <v>14</v>
      </c>
      <c r="U2789">
        <v>88.152653885015795</v>
      </c>
      <c r="V2789" t="s">
        <v>30</v>
      </c>
      <c r="W2789">
        <v>2.4339592040000002</v>
      </c>
      <c r="X2789" t="s">
        <v>40</v>
      </c>
      <c r="Y2789" t="s">
        <v>32</v>
      </c>
      <c r="Z2789">
        <v>258.38559919354799</v>
      </c>
    </row>
    <row r="2790" spans="1:26" x14ac:dyDescent="0.3">
      <c r="A2790" t="s">
        <v>82</v>
      </c>
      <c r="B2790" t="s">
        <v>2846</v>
      </c>
      <c r="C2790">
        <v>36.4032952190976</v>
      </c>
      <c r="D2790">
        <v>48</v>
      </c>
      <c r="E2790">
        <v>506</v>
      </c>
      <c r="F2790">
        <v>9362.0471739999994</v>
      </c>
      <c r="G2790" t="s">
        <v>26</v>
      </c>
      <c r="H2790">
        <v>41</v>
      </c>
      <c r="I2790">
        <v>28</v>
      </c>
      <c r="J2790">
        <v>17</v>
      </c>
      <c r="K2790">
        <v>6</v>
      </c>
      <c r="L2790" t="s">
        <v>27</v>
      </c>
      <c r="M2790">
        <v>3.5726215359762099</v>
      </c>
      <c r="N2790" t="s">
        <v>37</v>
      </c>
      <c r="O2790" t="s">
        <v>29</v>
      </c>
      <c r="P2790">
        <f>VLOOKUP(O2790, Coordinates!$A$2:$C$6, 2, FALSE)</f>
        <v>29.760400000000001</v>
      </c>
      <c r="Q2790">
        <f>VLOOKUP(O2790, Coordinates!$A$2:$C$6, 3, FALSE)</f>
        <v>-95.369799999999998</v>
      </c>
      <c r="R2790">
        <v>8</v>
      </c>
      <c r="S2790">
        <v>107</v>
      </c>
      <c r="T2790">
        <v>25</v>
      </c>
      <c r="U2790">
        <v>15.055551901198999</v>
      </c>
      <c r="V2790" t="s">
        <v>30</v>
      </c>
      <c r="W2790">
        <v>1.94896459241705</v>
      </c>
      <c r="X2790" t="s">
        <v>52</v>
      </c>
      <c r="Y2790" t="s">
        <v>41</v>
      </c>
      <c r="Z2790">
        <v>946.85176019999994</v>
      </c>
    </row>
    <row r="2791" spans="1:26" x14ac:dyDescent="0.3">
      <c r="A2791" t="s">
        <v>72</v>
      </c>
      <c r="B2791" t="s">
        <v>2847</v>
      </c>
      <c r="C2791">
        <v>21.093295391621901</v>
      </c>
      <c r="D2791">
        <v>43</v>
      </c>
      <c r="E2791">
        <v>765</v>
      </c>
      <c r="F2791">
        <v>14522.733877131701</v>
      </c>
      <c r="G2791" t="s">
        <v>35</v>
      </c>
      <c r="H2791">
        <v>53</v>
      </c>
      <c r="I2791">
        <v>25</v>
      </c>
      <c r="J2791">
        <v>77</v>
      </c>
      <c r="K2791">
        <v>9</v>
      </c>
      <c r="L2791" t="s">
        <v>27</v>
      </c>
      <c r="M2791">
        <v>9.9680047893808492</v>
      </c>
      <c r="N2791" t="s">
        <v>45</v>
      </c>
      <c r="O2791" t="s">
        <v>38</v>
      </c>
      <c r="P2791">
        <f>VLOOKUP(O2791, Coordinates!$A$2:$C$6, 2, FALSE)</f>
        <v>25.761700000000001</v>
      </c>
      <c r="Q2791">
        <f>VLOOKUP(O2791, Coordinates!$A$2:$C$6, 3, FALSE)</f>
        <v>-80.191800000000001</v>
      </c>
      <c r="R2791">
        <v>25</v>
      </c>
      <c r="S2791">
        <v>806</v>
      </c>
      <c r="T2791">
        <v>6</v>
      </c>
      <c r="U2791">
        <v>84.515500152963199</v>
      </c>
      <c r="V2791" t="s">
        <v>39</v>
      </c>
      <c r="W2791">
        <v>4.4968820401909202</v>
      </c>
      <c r="X2791" t="s">
        <v>46</v>
      </c>
      <c r="Y2791" t="s">
        <v>32</v>
      </c>
      <c r="Z2791">
        <v>327.99614273711302</v>
      </c>
    </row>
    <row r="2792" spans="1:26" x14ac:dyDescent="0.3">
      <c r="A2792" t="s">
        <v>82</v>
      </c>
      <c r="B2792" t="s">
        <v>2848</v>
      </c>
      <c r="D2792">
        <v>39</v>
      </c>
      <c r="E2792">
        <v>599</v>
      </c>
      <c r="F2792">
        <v>9997.0588470000002</v>
      </c>
      <c r="H2792">
        <v>100</v>
      </c>
      <c r="I2792">
        <v>27</v>
      </c>
      <c r="J2792">
        <v>46</v>
      </c>
      <c r="K2792">
        <v>4</v>
      </c>
      <c r="L2792" t="s">
        <v>27</v>
      </c>
      <c r="M2792">
        <v>5.73479676930965</v>
      </c>
      <c r="N2792" t="s">
        <v>37</v>
      </c>
      <c r="O2792" t="s">
        <v>65</v>
      </c>
      <c r="P2792">
        <f>VLOOKUP(O2792, Coordinates!$A$2:$C$6, 2, FALSE)</f>
        <v>41.878100000000003</v>
      </c>
      <c r="Q2792">
        <f>VLOOKUP(O2792, Coordinates!$A$2:$C$6, 3, FALSE)</f>
        <v>-87.629800000000003</v>
      </c>
      <c r="R2792">
        <v>9</v>
      </c>
      <c r="S2792">
        <v>838</v>
      </c>
      <c r="T2792">
        <v>16</v>
      </c>
      <c r="U2792">
        <v>15.7292667025876</v>
      </c>
      <c r="V2792" t="s">
        <v>39</v>
      </c>
      <c r="W2792">
        <v>0.63178107841263298</v>
      </c>
      <c r="X2792" t="s">
        <v>31</v>
      </c>
      <c r="Y2792" t="s">
        <v>32</v>
      </c>
      <c r="Z2792">
        <v>390.96616922382202</v>
      </c>
    </row>
    <row r="2793" spans="1:26" x14ac:dyDescent="0.3">
      <c r="A2793" t="s">
        <v>61</v>
      </c>
      <c r="B2793" t="s">
        <v>2849</v>
      </c>
      <c r="C2793">
        <v>23.596782608534301</v>
      </c>
      <c r="D2793">
        <v>49</v>
      </c>
      <c r="E2793">
        <v>29</v>
      </c>
      <c r="F2793">
        <v>2543.7042440846799</v>
      </c>
      <c r="G2793" t="s">
        <v>54</v>
      </c>
      <c r="H2793">
        <v>66</v>
      </c>
      <c r="I2793">
        <v>10</v>
      </c>
      <c r="J2793">
        <v>94</v>
      </c>
      <c r="K2793">
        <v>8</v>
      </c>
      <c r="L2793" t="s">
        <v>27</v>
      </c>
      <c r="M2793">
        <v>1.60986339303215</v>
      </c>
      <c r="N2793" t="s">
        <v>37</v>
      </c>
      <c r="O2793" t="s">
        <v>58</v>
      </c>
      <c r="P2793">
        <f>VLOOKUP(O2793, Coordinates!$A$2:$C$6, 2, FALSE)</f>
        <v>34.052199999999999</v>
      </c>
      <c r="Q2793">
        <f>VLOOKUP(O2793, Coordinates!$A$2:$C$6, 3, FALSE)</f>
        <v>-118.2437</v>
      </c>
      <c r="R2793">
        <v>16</v>
      </c>
      <c r="S2793">
        <v>126</v>
      </c>
      <c r="T2793">
        <v>25</v>
      </c>
      <c r="U2793">
        <v>48.136077746363803</v>
      </c>
      <c r="V2793" t="s">
        <v>55</v>
      </c>
      <c r="W2793">
        <v>0.89544620868846603</v>
      </c>
      <c r="X2793" t="s">
        <v>40</v>
      </c>
      <c r="Y2793" t="s">
        <v>60</v>
      </c>
      <c r="Z2793">
        <v>669.87488289999999</v>
      </c>
    </row>
    <row r="2794" spans="1:26" x14ac:dyDescent="0.3">
      <c r="A2794" t="s">
        <v>49</v>
      </c>
      <c r="B2794" t="s">
        <v>2850</v>
      </c>
      <c r="D2794">
        <v>12</v>
      </c>
      <c r="E2794">
        <v>573</v>
      </c>
      <c r="F2794">
        <v>7943.9181158113897</v>
      </c>
      <c r="G2794" t="s">
        <v>54</v>
      </c>
      <c r="H2794">
        <v>79</v>
      </c>
      <c r="I2794">
        <v>18</v>
      </c>
      <c r="J2794">
        <v>22</v>
      </c>
      <c r="K2794">
        <v>3</v>
      </c>
      <c r="L2794" t="s">
        <v>44</v>
      </c>
      <c r="M2794">
        <v>9.2105334350000003</v>
      </c>
      <c r="N2794" t="s">
        <v>45</v>
      </c>
      <c r="O2794" t="s">
        <v>38</v>
      </c>
      <c r="P2794">
        <f>VLOOKUP(O2794, Coordinates!$A$2:$C$6, 2, FALSE)</f>
        <v>25.761700000000001</v>
      </c>
      <c r="Q2794">
        <f>VLOOKUP(O2794, Coordinates!$A$2:$C$6, 3, FALSE)</f>
        <v>-80.191800000000001</v>
      </c>
      <c r="R2794">
        <v>27</v>
      </c>
      <c r="S2794">
        <v>389</v>
      </c>
      <c r="T2794">
        <v>12</v>
      </c>
      <c r="U2794">
        <v>57.935405475423401</v>
      </c>
      <c r="V2794" t="s">
        <v>39</v>
      </c>
      <c r="W2794">
        <v>4.3144495369414004</v>
      </c>
      <c r="X2794" t="s">
        <v>46</v>
      </c>
      <c r="Y2794" t="s">
        <v>32</v>
      </c>
      <c r="Z2794">
        <v>496.31884656453701</v>
      </c>
    </row>
    <row r="2795" spans="1:26" x14ac:dyDescent="0.3">
      <c r="A2795" t="s">
        <v>24</v>
      </c>
      <c r="B2795" t="s">
        <v>2851</v>
      </c>
      <c r="C2795">
        <v>39.413482284523099</v>
      </c>
      <c r="D2795">
        <v>10</v>
      </c>
      <c r="E2795">
        <v>36</v>
      </c>
      <c r="F2795">
        <v>1276.9968260185401</v>
      </c>
      <c r="G2795" t="s">
        <v>54</v>
      </c>
      <c r="H2795">
        <v>89</v>
      </c>
      <c r="I2795">
        <v>12</v>
      </c>
      <c r="J2795">
        <v>82</v>
      </c>
      <c r="K2795">
        <v>2</v>
      </c>
      <c r="L2795" t="s">
        <v>44</v>
      </c>
      <c r="M2795">
        <v>6.5030247785073598</v>
      </c>
      <c r="N2795" t="s">
        <v>37</v>
      </c>
      <c r="O2795" t="s">
        <v>29</v>
      </c>
      <c r="P2795">
        <f>VLOOKUP(O2795, Coordinates!$A$2:$C$6, 2, FALSE)</f>
        <v>29.760400000000001</v>
      </c>
      <c r="Q2795">
        <f>VLOOKUP(O2795, Coordinates!$A$2:$C$6, 3, FALSE)</f>
        <v>-95.369799999999998</v>
      </c>
      <c r="R2795">
        <v>24</v>
      </c>
      <c r="S2795">
        <v>127</v>
      </c>
      <c r="T2795">
        <v>28</v>
      </c>
      <c r="U2795">
        <v>90.660109358123904</v>
      </c>
      <c r="V2795" t="s">
        <v>30</v>
      </c>
      <c r="W2795">
        <v>1.37666150280856</v>
      </c>
      <c r="X2795" t="s">
        <v>52</v>
      </c>
      <c r="Y2795" t="s">
        <v>32</v>
      </c>
      <c r="Z2795">
        <v>603.100403961653</v>
      </c>
    </row>
    <row r="2796" spans="1:26" x14ac:dyDescent="0.3">
      <c r="A2796" t="s">
        <v>42</v>
      </c>
      <c r="B2796" t="s">
        <v>2852</v>
      </c>
      <c r="C2796">
        <v>46.851220189999999</v>
      </c>
      <c r="D2796">
        <v>71</v>
      </c>
      <c r="E2796">
        <v>835</v>
      </c>
      <c r="F2796">
        <v>1727.62121478928</v>
      </c>
      <c r="G2796" t="s">
        <v>48</v>
      </c>
      <c r="H2796">
        <v>55</v>
      </c>
      <c r="I2796">
        <v>28</v>
      </c>
      <c r="J2796">
        <v>54</v>
      </c>
      <c r="K2796">
        <v>9</v>
      </c>
      <c r="L2796" t="s">
        <v>27</v>
      </c>
      <c r="M2796">
        <v>6.0973280196162296</v>
      </c>
      <c r="N2796" t="s">
        <v>57</v>
      </c>
      <c r="O2796" t="s">
        <v>29</v>
      </c>
      <c r="P2796">
        <f>VLOOKUP(O2796, Coordinates!$A$2:$C$6, 2, FALSE)</f>
        <v>29.760400000000001</v>
      </c>
      <c r="Q2796">
        <f>VLOOKUP(O2796, Coordinates!$A$2:$C$6, 3, FALSE)</f>
        <v>-95.369799999999998</v>
      </c>
      <c r="R2796">
        <v>24</v>
      </c>
      <c r="S2796">
        <v>258</v>
      </c>
      <c r="T2796">
        <v>4</v>
      </c>
      <c r="U2796">
        <v>56.4027550202443</v>
      </c>
      <c r="V2796" t="s">
        <v>39</v>
      </c>
      <c r="W2796">
        <v>4.7406189088770496</v>
      </c>
      <c r="X2796" t="s">
        <v>52</v>
      </c>
      <c r="Y2796" t="s">
        <v>41</v>
      </c>
      <c r="Z2796">
        <v>230.13333816447999</v>
      </c>
    </row>
    <row r="2797" spans="1:26" x14ac:dyDescent="0.3">
      <c r="A2797" t="s">
        <v>61</v>
      </c>
      <c r="B2797" t="s">
        <v>2853</v>
      </c>
      <c r="C2797">
        <v>35.1440203549462</v>
      </c>
      <c r="D2797">
        <v>55</v>
      </c>
      <c r="E2797">
        <v>16</v>
      </c>
      <c r="F2797">
        <v>8874.3999189999995</v>
      </c>
      <c r="G2797" t="s">
        <v>26</v>
      </c>
      <c r="H2797">
        <v>18</v>
      </c>
      <c r="I2797">
        <v>17</v>
      </c>
      <c r="J2797">
        <v>38</v>
      </c>
      <c r="K2797">
        <v>6</v>
      </c>
      <c r="L2797" t="s">
        <v>44</v>
      </c>
      <c r="M2797">
        <v>4.7010999856015596</v>
      </c>
      <c r="N2797" t="s">
        <v>57</v>
      </c>
      <c r="O2797" t="s">
        <v>65</v>
      </c>
      <c r="P2797">
        <f>VLOOKUP(O2797, Coordinates!$A$2:$C$6, 2, FALSE)</f>
        <v>41.878100000000003</v>
      </c>
      <c r="Q2797">
        <f>VLOOKUP(O2797, Coordinates!$A$2:$C$6, 3, FALSE)</f>
        <v>-87.629800000000003</v>
      </c>
      <c r="R2797">
        <v>25</v>
      </c>
      <c r="S2797">
        <v>244</v>
      </c>
      <c r="T2797">
        <v>1</v>
      </c>
      <c r="U2797">
        <v>45.438352416156299</v>
      </c>
      <c r="V2797" t="s">
        <v>39</v>
      </c>
      <c r="W2797">
        <v>4.0508508326831398</v>
      </c>
      <c r="X2797" t="s">
        <v>46</v>
      </c>
      <c r="Y2797" t="s">
        <v>32</v>
      </c>
      <c r="Z2797">
        <v>705.16690860000006</v>
      </c>
    </row>
    <row r="2798" spans="1:26" x14ac:dyDescent="0.3">
      <c r="A2798" t="s">
        <v>49</v>
      </c>
      <c r="B2798" t="s">
        <v>2854</v>
      </c>
      <c r="C2798">
        <v>91.636160498965097</v>
      </c>
      <c r="D2798">
        <v>1</v>
      </c>
      <c r="E2798">
        <v>323</v>
      </c>
      <c r="F2798">
        <v>8728.7613327180206</v>
      </c>
      <c r="G2798" t="s">
        <v>26</v>
      </c>
      <c r="H2798">
        <v>45</v>
      </c>
      <c r="I2798">
        <v>1</v>
      </c>
      <c r="J2798">
        <v>50</v>
      </c>
      <c r="K2798">
        <v>8</v>
      </c>
      <c r="L2798" t="s">
        <v>36</v>
      </c>
      <c r="M2798">
        <v>1.0839705036374701</v>
      </c>
      <c r="N2798" t="s">
        <v>28</v>
      </c>
      <c r="O2798" t="s">
        <v>38</v>
      </c>
      <c r="P2798">
        <f>VLOOKUP(O2798, Coordinates!$A$2:$C$6, 2, FALSE)</f>
        <v>25.761700000000001</v>
      </c>
      <c r="Q2798">
        <f>VLOOKUP(O2798, Coordinates!$A$2:$C$6, 3, FALSE)</f>
        <v>-80.191800000000001</v>
      </c>
      <c r="R2798">
        <v>15</v>
      </c>
      <c r="S2798">
        <v>566</v>
      </c>
      <c r="T2798">
        <v>30</v>
      </c>
      <c r="U2798">
        <v>79.628066421030795</v>
      </c>
      <c r="V2798" t="s">
        <v>30</v>
      </c>
      <c r="W2798">
        <v>3.4227033409934</v>
      </c>
      <c r="X2798" t="s">
        <v>46</v>
      </c>
      <c r="Y2798" t="s">
        <v>41</v>
      </c>
      <c r="Z2798">
        <v>240.92501689809399</v>
      </c>
    </row>
    <row r="2799" spans="1:26" x14ac:dyDescent="0.3">
      <c r="A2799" t="s">
        <v>61</v>
      </c>
      <c r="B2799" t="s">
        <v>2855</v>
      </c>
      <c r="C2799">
        <v>10.7882285634683</v>
      </c>
      <c r="D2799">
        <v>49</v>
      </c>
      <c r="E2799">
        <v>849</v>
      </c>
      <c r="F2799">
        <v>4632.1335320464104</v>
      </c>
      <c r="G2799" t="s">
        <v>26</v>
      </c>
      <c r="H2799">
        <v>14</v>
      </c>
      <c r="I2799">
        <v>8</v>
      </c>
      <c r="J2799">
        <v>65</v>
      </c>
      <c r="K2799">
        <v>10</v>
      </c>
      <c r="L2799" t="s">
        <v>44</v>
      </c>
      <c r="M2799">
        <v>3.5530402375887702</v>
      </c>
      <c r="N2799" t="s">
        <v>57</v>
      </c>
      <c r="O2799" t="s">
        <v>67</v>
      </c>
      <c r="P2799">
        <f>VLOOKUP(O2799, Coordinates!$A$2:$C$6, 2, FALSE)</f>
        <v>40.712800000000001</v>
      </c>
      <c r="Q2799">
        <f>VLOOKUP(O2799, Coordinates!$A$2:$C$6, 3, FALSE)</f>
        <v>-74.006</v>
      </c>
      <c r="R2799">
        <v>20</v>
      </c>
      <c r="S2799">
        <v>845</v>
      </c>
      <c r="T2799">
        <v>4</v>
      </c>
      <c r="U2799">
        <v>84.696095957159997</v>
      </c>
      <c r="V2799" t="s">
        <v>55</v>
      </c>
      <c r="W2799">
        <v>3.6019681469787002</v>
      </c>
      <c r="X2799" t="s">
        <v>40</v>
      </c>
      <c r="Y2799" t="s">
        <v>60</v>
      </c>
      <c r="Z2799">
        <v>772.95297710157195</v>
      </c>
    </row>
    <row r="2800" spans="1:26" x14ac:dyDescent="0.3">
      <c r="A2800" t="s">
        <v>72</v>
      </c>
      <c r="B2800" t="s">
        <v>2856</v>
      </c>
      <c r="C2800">
        <v>31.998620710000001</v>
      </c>
      <c r="D2800">
        <v>36</v>
      </c>
      <c r="E2800">
        <v>608</v>
      </c>
      <c r="F2800">
        <v>17509.6452503941</v>
      </c>
      <c r="G2800" t="s">
        <v>48</v>
      </c>
      <c r="H2800">
        <v>31</v>
      </c>
      <c r="I2800">
        <v>10</v>
      </c>
      <c r="J2800">
        <v>97</v>
      </c>
      <c r="K2800">
        <v>9</v>
      </c>
      <c r="L2800" t="s">
        <v>44</v>
      </c>
      <c r="M2800">
        <v>7.6392941694604701</v>
      </c>
      <c r="N2800" t="s">
        <v>57</v>
      </c>
      <c r="O2800" t="s">
        <v>65</v>
      </c>
      <c r="P2800">
        <f>VLOOKUP(O2800, Coordinates!$A$2:$C$6, 2, FALSE)</f>
        <v>41.878100000000003</v>
      </c>
      <c r="Q2800">
        <f>VLOOKUP(O2800, Coordinates!$A$2:$C$6, 3, FALSE)</f>
        <v>-87.629800000000003</v>
      </c>
      <c r="R2800">
        <v>16</v>
      </c>
      <c r="S2800">
        <v>207</v>
      </c>
      <c r="T2800">
        <v>25</v>
      </c>
      <c r="U2800">
        <v>79.7870914104832</v>
      </c>
      <c r="V2800" t="s">
        <v>39</v>
      </c>
      <c r="W2800">
        <v>0.23816104339175501</v>
      </c>
      <c r="X2800" t="s">
        <v>52</v>
      </c>
      <c r="Y2800" t="s">
        <v>60</v>
      </c>
      <c r="Z2800">
        <v>571.25555873597</v>
      </c>
    </row>
    <row r="2801" spans="1:26" x14ac:dyDescent="0.3">
      <c r="A2801" t="s">
        <v>42</v>
      </c>
      <c r="B2801" t="s">
        <v>2857</v>
      </c>
      <c r="C2801">
        <v>22.361360768806399</v>
      </c>
      <c r="D2801">
        <v>21</v>
      </c>
      <c r="E2801">
        <v>5</v>
      </c>
      <c r="F2801">
        <v>6013.5933941552503</v>
      </c>
      <c r="G2801" t="s">
        <v>48</v>
      </c>
      <c r="H2801">
        <v>48</v>
      </c>
      <c r="I2801">
        <v>26</v>
      </c>
      <c r="J2801">
        <v>25</v>
      </c>
      <c r="K2801">
        <v>1</v>
      </c>
      <c r="L2801" t="s">
        <v>44</v>
      </c>
      <c r="M2801">
        <v>4.8603103432292896</v>
      </c>
      <c r="N2801" t="s">
        <v>28</v>
      </c>
      <c r="O2801" t="s">
        <v>58</v>
      </c>
      <c r="P2801">
        <f>VLOOKUP(O2801, Coordinates!$A$2:$C$6, 2, FALSE)</f>
        <v>34.052199999999999</v>
      </c>
      <c r="Q2801">
        <f>VLOOKUP(O2801, Coordinates!$A$2:$C$6, 3, FALSE)</f>
        <v>-118.2437</v>
      </c>
      <c r="R2801">
        <v>28</v>
      </c>
      <c r="S2801">
        <v>990</v>
      </c>
      <c r="T2801">
        <v>13</v>
      </c>
      <c r="U2801">
        <v>52.614598178496102</v>
      </c>
      <c r="V2801" t="s">
        <v>55</v>
      </c>
      <c r="W2801">
        <v>2.8419468349327199</v>
      </c>
      <c r="X2801" t="s">
        <v>52</v>
      </c>
      <c r="Y2801" t="s">
        <v>32</v>
      </c>
      <c r="Z2801">
        <v>834.573711</v>
      </c>
    </row>
    <row r="2802" spans="1:26" x14ac:dyDescent="0.3">
      <c r="A2802" t="s">
        <v>24</v>
      </c>
      <c r="B2802" t="s">
        <v>2858</v>
      </c>
      <c r="C2802">
        <v>32.275830858785802</v>
      </c>
      <c r="D2802">
        <v>37</v>
      </c>
      <c r="E2802">
        <v>439</v>
      </c>
      <c r="F2802">
        <v>12752.180772306299</v>
      </c>
      <c r="G2802" t="s">
        <v>54</v>
      </c>
      <c r="H2802">
        <v>20</v>
      </c>
      <c r="I2802">
        <v>10</v>
      </c>
      <c r="J2802">
        <v>21</v>
      </c>
      <c r="K2802">
        <v>1</v>
      </c>
      <c r="L2802" t="s">
        <v>27</v>
      </c>
      <c r="M2802">
        <v>13.2414415096883</v>
      </c>
      <c r="N2802" t="s">
        <v>51</v>
      </c>
      <c r="O2802" t="s">
        <v>65</v>
      </c>
      <c r="P2802">
        <f>VLOOKUP(O2802, Coordinates!$A$2:$C$6, 2, FALSE)</f>
        <v>41.878100000000003</v>
      </c>
      <c r="Q2802">
        <f>VLOOKUP(O2802, Coordinates!$A$2:$C$6, 3, FALSE)</f>
        <v>-87.629800000000003</v>
      </c>
      <c r="R2802">
        <v>21</v>
      </c>
      <c r="S2802">
        <v>538</v>
      </c>
      <c r="T2802">
        <v>7</v>
      </c>
      <c r="U2802">
        <v>81.822651559967298</v>
      </c>
      <c r="V2802" t="s">
        <v>55</v>
      </c>
      <c r="W2802">
        <v>4.7052845496086402</v>
      </c>
      <c r="X2802" t="s">
        <v>52</v>
      </c>
      <c r="Y2802" t="s">
        <v>32</v>
      </c>
      <c r="Z2802">
        <v>255.414758392088</v>
      </c>
    </row>
    <row r="2803" spans="1:26" x14ac:dyDescent="0.3">
      <c r="A2803" t="s">
        <v>82</v>
      </c>
      <c r="B2803" t="s">
        <v>2859</v>
      </c>
      <c r="C2803">
        <v>44.473835990896198</v>
      </c>
      <c r="D2803">
        <v>24</v>
      </c>
      <c r="E2803">
        <v>842</v>
      </c>
      <c r="F2803">
        <v>3835.5037238678801</v>
      </c>
      <c r="G2803" t="s">
        <v>48</v>
      </c>
      <c r="H2803">
        <v>64</v>
      </c>
      <c r="I2803">
        <v>18</v>
      </c>
      <c r="J2803">
        <v>75</v>
      </c>
      <c r="K2803">
        <v>5</v>
      </c>
      <c r="L2803" t="s">
        <v>36</v>
      </c>
      <c r="M2803">
        <v>3.0019952701891199</v>
      </c>
      <c r="N2803" t="s">
        <v>45</v>
      </c>
      <c r="O2803" t="s">
        <v>38</v>
      </c>
      <c r="P2803">
        <f>VLOOKUP(O2803, Coordinates!$A$2:$C$6, 2, FALSE)</f>
        <v>25.761700000000001</v>
      </c>
      <c r="Q2803">
        <f>VLOOKUP(O2803, Coordinates!$A$2:$C$6, 3, FALSE)</f>
        <v>-80.191800000000001</v>
      </c>
      <c r="R2803">
        <v>27</v>
      </c>
      <c r="S2803">
        <v>302</v>
      </c>
      <c r="T2803">
        <v>15</v>
      </c>
      <c r="U2803">
        <v>86.240338057230403</v>
      </c>
      <c r="V2803" t="s">
        <v>39</v>
      </c>
      <c r="W2803">
        <v>4.5770666962490898</v>
      </c>
      <c r="X2803" t="s">
        <v>46</v>
      </c>
      <c r="Y2803" t="s">
        <v>41</v>
      </c>
      <c r="Z2803">
        <v>439.785896870763</v>
      </c>
    </row>
    <row r="2804" spans="1:26" x14ac:dyDescent="0.3">
      <c r="A2804" t="s">
        <v>82</v>
      </c>
      <c r="B2804" t="s">
        <v>2860</v>
      </c>
      <c r="C2804">
        <v>91.261433490622494</v>
      </c>
      <c r="D2804">
        <v>55</v>
      </c>
      <c r="E2804">
        <v>140</v>
      </c>
      <c r="F2804">
        <v>5713.0515999908603</v>
      </c>
      <c r="G2804" t="s">
        <v>54</v>
      </c>
      <c r="H2804">
        <v>69</v>
      </c>
      <c r="I2804">
        <v>29</v>
      </c>
      <c r="J2804">
        <v>71</v>
      </c>
      <c r="K2804">
        <v>9</v>
      </c>
      <c r="L2804" t="s">
        <v>27</v>
      </c>
      <c r="M2804">
        <v>13.254764018506799</v>
      </c>
      <c r="N2804" t="s">
        <v>57</v>
      </c>
      <c r="O2804" t="s">
        <v>67</v>
      </c>
      <c r="P2804">
        <f>VLOOKUP(O2804, Coordinates!$A$2:$C$6, 2, FALSE)</f>
        <v>40.712800000000001</v>
      </c>
      <c r="Q2804">
        <f>VLOOKUP(O2804, Coordinates!$A$2:$C$6, 3, FALSE)</f>
        <v>-74.006</v>
      </c>
      <c r="R2804">
        <v>23</v>
      </c>
      <c r="S2804">
        <v>876</v>
      </c>
      <c r="T2804">
        <v>6</v>
      </c>
      <c r="U2804">
        <v>40.7502226039975</v>
      </c>
      <c r="V2804" t="s">
        <v>30</v>
      </c>
      <c r="W2804">
        <v>1.4550825925677</v>
      </c>
      <c r="X2804" t="s">
        <v>52</v>
      </c>
      <c r="Y2804" t="s">
        <v>60</v>
      </c>
      <c r="Z2804">
        <v>862.14879256192296</v>
      </c>
    </row>
    <row r="2805" spans="1:26" x14ac:dyDescent="0.3">
      <c r="A2805" t="s">
        <v>49</v>
      </c>
      <c r="B2805" t="s">
        <v>2861</v>
      </c>
      <c r="C2805">
        <v>28.044935277013298</v>
      </c>
      <c r="D2805">
        <v>25</v>
      </c>
      <c r="E2805">
        <v>200</v>
      </c>
      <c r="F2805">
        <v>5368.3513408409499</v>
      </c>
      <c r="G2805" t="s">
        <v>54</v>
      </c>
      <c r="H2805">
        <v>26</v>
      </c>
      <c r="I2805">
        <v>9</v>
      </c>
      <c r="J2805">
        <v>28</v>
      </c>
      <c r="K2805">
        <v>7</v>
      </c>
      <c r="L2805" t="s">
        <v>36</v>
      </c>
      <c r="M2805">
        <v>-10</v>
      </c>
      <c r="N2805" t="s">
        <v>28</v>
      </c>
      <c r="O2805" t="s">
        <v>67</v>
      </c>
      <c r="P2805">
        <f>VLOOKUP(O2805, Coordinates!$A$2:$C$6, 2, FALSE)</f>
        <v>40.712800000000001</v>
      </c>
      <c r="Q2805">
        <f>VLOOKUP(O2805, Coordinates!$A$2:$C$6, 3, FALSE)</f>
        <v>-74.006</v>
      </c>
      <c r="R2805">
        <v>18</v>
      </c>
      <c r="S2805">
        <v>924</v>
      </c>
      <c r="T2805">
        <v>30</v>
      </c>
      <c r="U2805">
        <v>42.066269847545399</v>
      </c>
      <c r="V2805" t="s">
        <v>39</v>
      </c>
      <c r="W2805">
        <v>0.257557460669676</v>
      </c>
      <c r="X2805" t="s">
        <v>31</v>
      </c>
      <c r="Y2805" t="s">
        <v>41</v>
      </c>
      <c r="Z2805">
        <v>818.84107639763204</v>
      </c>
    </row>
    <row r="2806" spans="1:26" x14ac:dyDescent="0.3">
      <c r="A2806" t="s">
        <v>24</v>
      </c>
      <c r="B2806" t="s">
        <v>2862</v>
      </c>
      <c r="C2806">
        <v>37.051659446277597</v>
      </c>
      <c r="D2806">
        <v>7</v>
      </c>
      <c r="E2806">
        <v>137</v>
      </c>
      <c r="F2806">
        <v>4568.4696097260303</v>
      </c>
      <c r="G2806" t="s">
        <v>26</v>
      </c>
      <c r="H2806">
        <v>22</v>
      </c>
      <c r="I2806">
        <v>25</v>
      </c>
      <c r="J2806">
        <v>39</v>
      </c>
      <c r="K2806">
        <v>7</v>
      </c>
      <c r="L2806" t="s">
        <v>27</v>
      </c>
      <c r="M2806">
        <v>4.8617643829619901</v>
      </c>
      <c r="N2806" t="s">
        <v>37</v>
      </c>
      <c r="O2806" t="s">
        <v>67</v>
      </c>
      <c r="P2806">
        <f>VLOOKUP(O2806, Coordinates!$A$2:$C$6, 2, FALSE)</f>
        <v>40.712800000000001</v>
      </c>
      <c r="Q2806">
        <f>VLOOKUP(O2806, Coordinates!$A$2:$C$6, 3, FALSE)</f>
        <v>-74.006</v>
      </c>
      <c r="R2806">
        <v>7</v>
      </c>
      <c r="S2806">
        <v>400</v>
      </c>
      <c r="T2806">
        <v>14</v>
      </c>
      <c r="U2806">
        <v>93.0327457905031</v>
      </c>
      <c r="V2806" t="s">
        <v>39</v>
      </c>
      <c r="W2806">
        <v>2.8487078893308202</v>
      </c>
      <c r="X2806" t="s">
        <v>31</v>
      </c>
      <c r="Y2806" t="s">
        <v>32</v>
      </c>
      <c r="Z2806">
        <v>969.17857711953604</v>
      </c>
    </row>
    <row r="2807" spans="1:26" x14ac:dyDescent="0.3">
      <c r="A2807" t="s">
        <v>33</v>
      </c>
      <c r="B2807" t="s">
        <v>2863</v>
      </c>
      <c r="C2807">
        <v>35.275512379099702</v>
      </c>
      <c r="D2807">
        <v>81</v>
      </c>
      <c r="E2807">
        <v>989</v>
      </c>
      <c r="F2807">
        <v>9023.0955809999996</v>
      </c>
      <c r="G2807" t="s">
        <v>48</v>
      </c>
      <c r="H2807">
        <v>46</v>
      </c>
      <c r="I2807">
        <v>2</v>
      </c>
      <c r="J2807">
        <v>25</v>
      </c>
      <c r="K2807">
        <v>2</v>
      </c>
      <c r="L2807" t="s">
        <v>44</v>
      </c>
      <c r="M2807">
        <v>5.2600860192077503</v>
      </c>
      <c r="N2807" t="s">
        <v>37</v>
      </c>
      <c r="O2807" t="s">
        <v>38</v>
      </c>
      <c r="P2807">
        <f>VLOOKUP(O2807, Coordinates!$A$2:$C$6, 2, FALSE)</f>
        <v>25.761700000000001</v>
      </c>
      <c r="Q2807">
        <f>VLOOKUP(O2807, Coordinates!$A$2:$C$6, 3, FALSE)</f>
        <v>-80.191800000000001</v>
      </c>
      <c r="R2807">
        <v>16</v>
      </c>
      <c r="S2807">
        <v>537</v>
      </c>
      <c r="T2807">
        <v>18</v>
      </c>
      <c r="U2807">
        <v>97.803753003812105</v>
      </c>
      <c r="V2807" t="s">
        <v>55</v>
      </c>
      <c r="W2807">
        <v>0.58100313585264496</v>
      </c>
      <c r="X2807" t="s">
        <v>40</v>
      </c>
      <c r="Y2807" t="s">
        <v>60</v>
      </c>
      <c r="Z2807">
        <v>299.76441028663999</v>
      </c>
    </row>
    <row r="2808" spans="1:26" x14ac:dyDescent="0.3">
      <c r="A2808" t="s">
        <v>72</v>
      </c>
      <c r="B2808" t="s">
        <v>2864</v>
      </c>
      <c r="C2808">
        <v>38.1818685158647</v>
      </c>
      <c r="D2808">
        <v>93</v>
      </c>
      <c r="E2808">
        <v>90</v>
      </c>
      <c r="F2808">
        <v>3092.73134978504</v>
      </c>
      <c r="G2808" t="s">
        <v>26</v>
      </c>
      <c r="H2808">
        <v>94</v>
      </c>
      <c r="I2808">
        <v>3</v>
      </c>
      <c r="J2808">
        <v>97</v>
      </c>
      <c r="K2808">
        <v>3</v>
      </c>
      <c r="L2808" t="s">
        <v>36</v>
      </c>
      <c r="M2808">
        <v>5.6209911000000004</v>
      </c>
      <c r="N2808" t="s">
        <v>57</v>
      </c>
      <c r="O2808" t="s">
        <v>65</v>
      </c>
      <c r="P2808">
        <f>VLOOKUP(O2808, Coordinates!$A$2:$C$6, 2, FALSE)</f>
        <v>41.878100000000003</v>
      </c>
      <c r="Q2808">
        <f>VLOOKUP(O2808, Coordinates!$A$2:$C$6, 3, FALSE)</f>
        <v>-87.629800000000003</v>
      </c>
      <c r="R2808">
        <v>28</v>
      </c>
      <c r="S2808">
        <v>110</v>
      </c>
      <c r="T2808">
        <v>4</v>
      </c>
      <c r="U2808">
        <v>93.215995615082207</v>
      </c>
      <c r="V2808" t="s">
        <v>30</v>
      </c>
      <c r="W2808">
        <v>2.39625078112199</v>
      </c>
      <c r="X2808" t="s">
        <v>40</v>
      </c>
      <c r="Y2808" t="s">
        <v>32</v>
      </c>
      <c r="Z2808">
        <v>585.12522916191801</v>
      </c>
    </row>
    <row r="2809" spans="1:26" x14ac:dyDescent="0.3">
      <c r="A2809" t="s">
        <v>49</v>
      </c>
      <c r="B2809" t="s">
        <v>2865</v>
      </c>
      <c r="C2809">
        <v>17.216666166252399</v>
      </c>
      <c r="D2809">
        <v>94</v>
      </c>
      <c r="E2809">
        <v>480</v>
      </c>
      <c r="F2809">
        <v>2345.5777556862599</v>
      </c>
      <c r="G2809" t="s">
        <v>26</v>
      </c>
      <c r="H2809">
        <v>11</v>
      </c>
      <c r="I2809">
        <v>2</v>
      </c>
      <c r="J2809">
        <v>22</v>
      </c>
      <c r="K2809">
        <v>4</v>
      </c>
      <c r="L2809" t="s">
        <v>44</v>
      </c>
      <c r="M2809">
        <v>8.0918957855532891</v>
      </c>
      <c r="N2809" t="s">
        <v>45</v>
      </c>
      <c r="O2809" t="s">
        <v>38</v>
      </c>
      <c r="P2809">
        <f>VLOOKUP(O2809, Coordinates!$A$2:$C$6, 2, FALSE)</f>
        <v>25.761700000000001</v>
      </c>
      <c r="Q2809">
        <f>VLOOKUP(O2809, Coordinates!$A$2:$C$6, 3, FALSE)</f>
        <v>-80.191800000000001</v>
      </c>
      <c r="R2809">
        <v>25</v>
      </c>
      <c r="S2809">
        <v>936</v>
      </c>
      <c r="T2809">
        <v>1</v>
      </c>
      <c r="U2809">
        <v>99.841125120000001</v>
      </c>
      <c r="V2809" t="s">
        <v>55</v>
      </c>
      <c r="W2809">
        <v>4.4921474649473998</v>
      </c>
      <c r="X2809" t="s">
        <v>46</v>
      </c>
      <c r="Y2809" t="s">
        <v>60</v>
      </c>
      <c r="Z2809">
        <v>116.096267878113</v>
      </c>
    </row>
    <row r="2810" spans="1:26" x14ac:dyDescent="0.3">
      <c r="A2810" t="s">
        <v>33</v>
      </c>
      <c r="B2810" t="s">
        <v>2866</v>
      </c>
      <c r="C2810">
        <v>59.515806807627499</v>
      </c>
      <c r="D2810">
        <v>71</v>
      </c>
      <c r="E2810">
        <v>864</v>
      </c>
      <c r="F2810">
        <v>6192.1858179047604</v>
      </c>
      <c r="G2810" t="s">
        <v>48</v>
      </c>
      <c r="H2810">
        <v>0</v>
      </c>
      <c r="I2810">
        <v>26</v>
      </c>
      <c r="J2810">
        <v>78</v>
      </c>
      <c r="K2810">
        <v>2</v>
      </c>
      <c r="L2810" t="s">
        <v>36</v>
      </c>
      <c r="M2810">
        <v>5.95435235769326</v>
      </c>
      <c r="N2810" t="s">
        <v>28</v>
      </c>
      <c r="O2810" t="s">
        <v>67</v>
      </c>
      <c r="P2810">
        <f>VLOOKUP(O2810, Coordinates!$A$2:$C$6, 2, FALSE)</f>
        <v>40.712800000000001</v>
      </c>
      <c r="Q2810">
        <f>VLOOKUP(O2810, Coordinates!$A$2:$C$6, 3, FALSE)</f>
        <v>-74.006</v>
      </c>
      <c r="R2810">
        <v>6</v>
      </c>
      <c r="S2810">
        <v>706</v>
      </c>
      <c r="T2810">
        <v>29</v>
      </c>
      <c r="U2810">
        <v>88.201795951132894</v>
      </c>
      <c r="V2810" t="s">
        <v>55</v>
      </c>
      <c r="W2810">
        <v>0.82219267467733703</v>
      </c>
      <c r="X2810" t="s">
        <v>31</v>
      </c>
      <c r="Y2810" t="s">
        <v>41</v>
      </c>
      <c r="Z2810">
        <v>968.71111926729998</v>
      </c>
    </row>
    <row r="2811" spans="1:26" x14ac:dyDescent="0.3">
      <c r="A2811" t="s">
        <v>61</v>
      </c>
      <c r="B2811" t="s">
        <v>2867</v>
      </c>
      <c r="C2811">
        <v>10.785683644451799</v>
      </c>
      <c r="D2811">
        <v>97</v>
      </c>
      <c r="E2811">
        <v>795</v>
      </c>
      <c r="F2811">
        <v>6917.4480698644702</v>
      </c>
      <c r="G2811" t="s">
        <v>48</v>
      </c>
      <c r="H2811">
        <v>65</v>
      </c>
      <c r="I2811">
        <v>23</v>
      </c>
      <c r="J2811">
        <v>32</v>
      </c>
      <c r="K2811">
        <v>10</v>
      </c>
      <c r="L2811" t="s">
        <v>36</v>
      </c>
      <c r="M2811">
        <v>10.0608888585346</v>
      </c>
      <c r="N2811" t="s">
        <v>28</v>
      </c>
      <c r="O2811" t="s">
        <v>67</v>
      </c>
      <c r="P2811">
        <f>VLOOKUP(O2811, Coordinates!$A$2:$C$6, 2, FALSE)</f>
        <v>40.712800000000001</v>
      </c>
      <c r="Q2811">
        <f>VLOOKUP(O2811, Coordinates!$A$2:$C$6, 3, FALSE)</f>
        <v>-74.006</v>
      </c>
      <c r="R2811">
        <v>29</v>
      </c>
      <c r="S2811">
        <v>741</v>
      </c>
      <c r="T2811">
        <v>3</v>
      </c>
      <c r="U2811">
        <v>73.392176585807306</v>
      </c>
      <c r="V2811" t="s">
        <v>55</v>
      </c>
      <c r="W2811">
        <v>3.77682218539135</v>
      </c>
      <c r="X2811" t="s">
        <v>46</v>
      </c>
      <c r="Y2811" t="s">
        <v>32</v>
      </c>
      <c r="Z2811">
        <v>257.614443231434</v>
      </c>
    </row>
    <row r="2812" spans="1:26" x14ac:dyDescent="0.3">
      <c r="A2812" t="s">
        <v>72</v>
      </c>
      <c r="B2812" t="s">
        <v>2868</v>
      </c>
      <c r="C2812">
        <v>21.141807162235398</v>
      </c>
      <c r="D2812">
        <v>71</v>
      </c>
      <c r="E2812">
        <v>328</v>
      </c>
      <c r="F2812">
        <v>6241.0614740000001</v>
      </c>
      <c r="G2812" t="s">
        <v>35</v>
      </c>
      <c r="H2812">
        <v>4</v>
      </c>
      <c r="I2812">
        <v>12</v>
      </c>
      <c r="J2812">
        <v>71</v>
      </c>
      <c r="K2812">
        <v>9</v>
      </c>
      <c r="L2812" t="s">
        <v>27</v>
      </c>
      <c r="M2812">
        <v>6.9525060991610301</v>
      </c>
      <c r="N2812" t="s">
        <v>28</v>
      </c>
      <c r="O2812" t="s">
        <v>65</v>
      </c>
      <c r="P2812">
        <f>VLOOKUP(O2812, Coordinates!$A$2:$C$6, 2, FALSE)</f>
        <v>41.878100000000003</v>
      </c>
      <c r="Q2812">
        <f>VLOOKUP(O2812, Coordinates!$A$2:$C$6, 3, FALSE)</f>
        <v>-87.629800000000003</v>
      </c>
      <c r="R2812">
        <v>6</v>
      </c>
      <c r="S2812">
        <v>202</v>
      </c>
      <c r="T2812">
        <v>13</v>
      </c>
      <c r="U2812">
        <v>80.703511548676303</v>
      </c>
      <c r="V2812" t="s">
        <v>30</v>
      </c>
      <c r="W2812">
        <v>0.30102230974949301</v>
      </c>
      <c r="X2812" t="s">
        <v>40</v>
      </c>
      <c r="Y2812" t="s">
        <v>32</v>
      </c>
      <c r="Z2812">
        <v>914.23684580886902</v>
      </c>
    </row>
    <row r="2813" spans="1:26" x14ac:dyDescent="0.3">
      <c r="A2813" t="s">
        <v>61</v>
      </c>
      <c r="B2813" t="s">
        <v>2869</v>
      </c>
      <c r="D2813">
        <v>24</v>
      </c>
      <c r="E2813">
        <v>184</v>
      </c>
      <c r="F2813">
        <v>4516.4569802916103</v>
      </c>
      <c r="G2813" t="s">
        <v>54</v>
      </c>
      <c r="H2813">
        <v>8</v>
      </c>
      <c r="I2813">
        <v>22</v>
      </c>
      <c r="J2813">
        <v>40</v>
      </c>
      <c r="K2813">
        <v>5</v>
      </c>
      <c r="L2813" t="s">
        <v>27</v>
      </c>
      <c r="M2813">
        <v>10.403011935557799</v>
      </c>
      <c r="N2813" t="s">
        <v>28</v>
      </c>
      <c r="O2813" t="s">
        <v>58</v>
      </c>
      <c r="P2813">
        <f>VLOOKUP(O2813, Coordinates!$A$2:$C$6, 2, FALSE)</f>
        <v>34.052199999999999</v>
      </c>
      <c r="Q2813">
        <f>VLOOKUP(O2813, Coordinates!$A$2:$C$6, 3, FALSE)</f>
        <v>-118.2437</v>
      </c>
      <c r="R2813">
        <v>6</v>
      </c>
      <c r="S2813">
        <v>884</v>
      </c>
      <c r="T2813">
        <v>18</v>
      </c>
      <c r="U2813">
        <v>95.766134400988804</v>
      </c>
      <c r="V2813" t="s">
        <v>55</v>
      </c>
      <c r="W2813">
        <v>0.74812240128498297</v>
      </c>
      <c r="X2813" t="s">
        <v>46</v>
      </c>
      <c r="Y2813" t="s">
        <v>60</v>
      </c>
      <c r="Z2813">
        <v>710.49982982516894</v>
      </c>
    </row>
    <row r="2814" spans="1:26" x14ac:dyDescent="0.3">
      <c r="A2814" t="s">
        <v>24</v>
      </c>
      <c r="B2814" t="s">
        <v>2870</v>
      </c>
      <c r="C2814">
        <v>21.366926041833</v>
      </c>
      <c r="D2814">
        <v>11</v>
      </c>
      <c r="E2814">
        <v>520</v>
      </c>
      <c r="F2814">
        <v>9999.7213879999999</v>
      </c>
      <c r="G2814" t="s">
        <v>35</v>
      </c>
      <c r="H2814">
        <v>19</v>
      </c>
      <c r="I2814">
        <v>19</v>
      </c>
      <c r="J2814">
        <v>62</v>
      </c>
      <c r="K2814">
        <v>9</v>
      </c>
      <c r="L2814" t="s">
        <v>44</v>
      </c>
      <c r="M2814">
        <v>9.4619698569224209</v>
      </c>
      <c r="N2814" t="s">
        <v>28</v>
      </c>
      <c r="O2814" t="s">
        <v>67</v>
      </c>
      <c r="P2814">
        <f>VLOOKUP(O2814, Coordinates!$A$2:$C$6, 2, FALSE)</f>
        <v>40.712800000000001</v>
      </c>
      <c r="Q2814">
        <f>VLOOKUP(O2814, Coordinates!$A$2:$C$6, 3, FALSE)</f>
        <v>-74.006</v>
      </c>
      <c r="R2814">
        <v>26</v>
      </c>
      <c r="S2814">
        <v>585</v>
      </c>
      <c r="T2814">
        <v>29</v>
      </c>
      <c r="U2814">
        <v>76.6710419121885</v>
      </c>
      <c r="V2814" t="s">
        <v>30</v>
      </c>
      <c r="W2814">
        <v>1.4005518159111101</v>
      </c>
      <c r="X2814" t="s">
        <v>46</v>
      </c>
      <c r="Y2814" t="s">
        <v>41</v>
      </c>
      <c r="Z2814">
        <v>968.71326331139005</v>
      </c>
    </row>
    <row r="2815" spans="1:26" x14ac:dyDescent="0.3">
      <c r="A2815" t="s">
        <v>42</v>
      </c>
      <c r="B2815" t="s">
        <v>2871</v>
      </c>
      <c r="C2815">
        <v>16.910658177217901</v>
      </c>
      <c r="D2815">
        <v>73</v>
      </c>
      <c r="E2815">
        <v>642</v>
      </c>
      <c r="F2815">
        <v>3219.5568042160598</v>
      </c>
      <c r="G2815" t="s">
        <v>54</v>
      </c>
      <c r="H2815">
        <v>81</v>
      </c>
      <c r="I2815">
        <v>28</v>
      </c>
      <c r="J2815">
        <v>26</v>
      </c>
      <c r="K2815">
        <v>9</v>
      </c>
      <c r="L2815" t="s">
        <v>44</v>
      </c>
      <c r="M2815">
        <v>4.4223556140096498</v>
      </c>
      <c r="N2815" t="s">
        <v>45</v>
      </c>
      <c r="O2815" t="s">
        <v>38</v>
      </c>
      <c r="P2815">
        <f>VLOOKUP(O2815, Coordinates!$A$2:$C$6, 2, FALSE)</f>
        <v>25.761700000000001</v>
      </c>
      <c r="Q2815">
        <f>VLOOKUP(O2815, Coordinates!$A$2:$C$6, 3, FALSE)</f>
        <v>-80.191800000000001</v>
      </c>
      <c r="R2815">
        <v>28</v>
      </c>
      <c r="S2815">
        <v>209</v>
      </c>
      <c r="T2815">
        <v>4</v>
      </c>
      <c r="U2815">
        <v>31.6672113174087</v>
      </c>
      <c r="V2815" t="s">
        <v>39</v>
      </c>
      <c r="W2815">
        <v>4.9133733106169499</v>
      </c>
      <c r="X2815" t="s">
        <v>52</v>
      </c>
      <c r="Y2815" t="s">
        <v>60</v>
      </c>
      <c r="Z2815">
        <v>323.40625665717999</v>
      </c>
    </row>
    <row r="2816" spans="1:26" x14ac:dyDescent="0.3">
      <c r="A2816" t="s">
        <v>72</v>
      </c>
      <c r="B2816" t="s">
        <v>2872</v>
      </c>
      <c r="C2816">
        <v>35.531018432804501</v>
      </c>
      <c r="D2816">
        <v>12</v>
      </c>
      <c r="E2816">
        <v>179</v>
      </c>
      <c r="F2816">
        <v>5724.0470699999996</v>
      </c>
      <c r="G2816" t="s">
        <v>54</v>
      </c>
      <c r="H2816">
        <v>62</v>
      </c>
      <c r="I2816">
        <v>15</v>
      </c>
      <c r="J2816">
        <v>58</v>
      </c>
      <c r="K2816">
        <v>5</v>
      </c>
      <c r="L2816" t="s">
        <v>36</v>
      </c>
      <c r="M2816">
        <v>12.3788260299012</v>
      </c>
      <c r="N2816" t="s">
        <v>28</v>
      </c>
      <c r="O2816" t="s">
        <v>29</v>
      </c>
      <c r="P2816">
        <f>VLOOKUP(O2816, Coordinates!$A$2:$C$6, 2, FALSE)</f>
        <v>29.760400000000001</v>
      </c>
      <c r="Q2816">
        <f>VLOOKUP(O2816, Coordinates!$A$2:$C$6, 3, FALSE)</f>
        <v>-95.369799999999998</v>
      </c>
      <c r="R2816">
        <v>2</v>
      </c>
      <c r="S2816">
        <v>903</v>
      </c>
      <c r="T2816">
        <v>4</v>
      </c>
      <c r="U2816">
        <v>93.580298805431994</v>
      </c>
      <c r="V2816" t="s">
        <v>30</v>
      </c>
      <c r="W2816">
        <v>4.2506844456169999</v>
      </c>
      <c r="X2816" t="s">
        <v>40</v>
      </c>
      <c r="Y2816" t="s">
        <v>60</v>
      </c>
      <c r="Z2816">
        <v>410.64785805465999</v>
      </c>
    </row>
    <row r="2817" spans="1:26" x14ac:dyDescent="0.3">
      <c r="A2817" t="s">
        <v>33</v>
      </c>
      <c r="B2817" t="s">
        <v>2873</v>
      </c>
      <c r="C2817">
        <v>65.998218199999997</v>
      </c>
      <c r="D2817">
        <v>35</v>
      </c>
      <c r="E2817">
        <v>767</v>
      </c>
      <c r="F2817">
        <v>7661.3445432783101</v>
      </c>
      <c r="G2817" t="s">
        <v>54</v>
      </c>
      <c r="H2817">
        <v>85</v>
      </c>
      <c r="I2817">
        <v>19</v>
      </c>
      <c r="J2817">
        <v>58</v>
      </c>
      <c r="K2817">
        <v>6</v>
      </c>
      <c r="L2817" t="s">
        <v>36</v>
      </c>
      <c r="M2817">
        <v>12.185740548820901</v>
      </c>
      <c r="N2817" t="s">
        <v>45</v>
      </c>
      <c r="O2817" t="s">
        <v>38</v>
      </c>
      <c r="P2817">
        <f>VLOOKUP(O2817, Coordinates!$A$2:$C$6, 2, FALSE)</f>
        <v>25.761700000000001</v>
      </c>
      <c r="Q2817">
        <f>VLOOKUP(O2817, Coordinates!$A$2:$C$6, 3, FALSE)</f>
        <v>-80.191800000000001</v>
      </c>
      <c r="R2817">
        <v>30</v>
      </c>
      <c r="S2817">
        <v>742</v>
      </c>
      <c r="T2817">
        <v>11</v>
      </c>
      <c r="U2817">
        <v>16.305009456299501</v>
      </c>
      <c r="V2817" t="s">
        <v>39</v>
      </c>
      <c r="W2817">
        <v>4.8689545358987703</v>
      </c>
      <c r="X2817" t="s">
        <v>52</v>
      </c>
      <c r="Y2817" t="s">
        <v>60</v>
      </c>
      <c r="Z2817">
        <v>247.96159019432099</v>
      </c>
    </row>
    <row r="2818" spans="1:26" x14ac:dyDescent="0.3">
      <c r="A2818" t="s">
        <v>42</v>
      </c>
      <c r="B2818" t="s">
        <v>2874</v>
      </c>
      <c r="C2818">
        <v>31.175973878380798</v>
      </c>
      <c r="D2818">
        <v>63</v>
      </c>
      <c r="E2818">
        <v>25</v>
      </c>
      <c r="F2818">
        <v>5033.1582951864302</v>
      </c>
      <c r="G2818" t="s">
        <v>26</v>
      </c>
      <c r="H2818">
        <v>71</v>
      </c>
      <c r="I2818">
        <v>12</v>
      </c>
      <c r="J2818">
        <v>76</v>
      </c>
      <c r="K2818">
        <v>4</v>
      </c>
      <c r="L2818" t="s">
        <v>27</v>
      </c>
      <c r="M2818">
        <v>14.845726538229201</v>
      </c>
      <c r="N2818" t="s">
        <v>45</v>
      </c>
      <c r="O2818" t="s">
        <v>38</v>
      </c>
      <c r="P2818">
        <f>VLOOKUP(O2818, Coordinates!$A$2:$C$6, 2, FALSE)</f>
        <v>25.761700000000001</v>
      </c>
      <c r="Q2818">
        <f>VLOOKUP(O2818, Coordinates!$A$2:$C$6, 3, FALSE)</f>
        <v>-80.191800000000001</v>
      </c>
      <c r="R2818">
        <v>30</v>
      </c>
      <c r="S2818">
        <v>802</v>
      </c>
      <c r="T2818">
        <v>14</v>
      </c>
      <c r="U2818">
        <v>95.797797694049507</v>
      </c>
      <c r="V2818" t="s">
        <v>55</v>
      </c>
      <c r="W2818">
        <v>4.0966637880012096</v>
      </c>
      <c r="X2818" t="s">
        <v>40</v>
      </c>
      <c r="Y2818" t="s">
        <v>32</v>
      </c>
      <c r="Z2818">
        <v>480.19023449999997</v>
      </c>
    </row>
    <row r="2819" spans="1:26" x14ac:dyDescent="0.3">
      <c r="A2819" t="s">
        <v>82</v>
      </c>
      <c r="B2819" t="s">
        <v>2875</v>
      </c>
      <c r="C2819">
        <v>51.979506886438699</v>
      </c>
      <c r="D2819">
        <v>68</v>
      </c>
      <c r="E2819">
        <v>956</v>
      </c>
      <c r="F2819">
        <v>9437.7338808362401</v>
      </c>
      <c r="G2819" t="s">
        <v>26</v>
      </c>
      <c r="H2819">
        <v>97</v>
      </c>
      <c r="I2819">
        <v>18</v>
      </c>
      <c r="J2819">
        <v>35</v>
      </c>
      <c r="K2819">
        <v>8</v>
      </c>
      <c r="L2819" t="s">
        <v>27</v>
      </c>
      <c r="M2819">
        <v>3.4507018820683801</v>
      </c>
      <c r="N2819" t="s">
        <v>45</v>
      </c>
      <c r="O2819" t="s">
        <v>38</v>
      </c>
      <c r="P2819">
        <f>VLOOKUP(O2819, Coordinates!$A$2:$C$6, 2, FALSE)</f>
        <v>25.761700000000001</v>
      </c>
      <c r="Q2819">
        <f>VLOOKUP(O2819, Coordinates!$A$2:$C$6, 3, FALSE)</f>
        <v>-80.191800000000001</v>
      </c>
      <c r="R2819">
        <v>30</v>
      </c>
      <c r="S2819">
        <v>910</v>
      </c>
      <c r="T2819">
        <v>25</v>
      </c>
      <c r="U2819">
        <v>61.549149494931001</v>
      </c>
      <c r="V2819" t="s">
        <v>55</v>
      </c>
      <c r="W2819">
        <v>3.54802885641532</v>
      </c>
      <c r="X2819" t="s">
        <v>52</v>
      </c>
      <c r="Y2819" t="s">
        <v>41</v>
      </c>
      <c r="Z2819">
        <v>952.74953245105098</v>
      </c>
    </row>
    <row r="2820" spans="1:26" x14ac:dyDescent="0.3">
      <c r="A2820" t="s">
        <v>33</v>
      </c>
      <c r="B2820" t="s">
        <v>2876</v>
      </c>
      <c r="C2820">
        <v>16.5610541390338</v>
      </c>
      <c r="D2820">
        <v>100</v>
      </c>
      <c r="E2820">
        <v>109</v>
      </c>
      <c r="F2820">
        <v>7629.9106169691104</v>
      </c>
      <c r="G2820" t="s">
        <v>48</v>
      </c>
      <c r="H2820">
        <v>72</v>
      </c>
      <c r="I2820">
        <v>16</v>
      </c>
      <c r="J2820">
        <v>22</v>
      </c>
      <c r="K2820">
        <v>1</v>
      </c>
      <c r="L2820" t="s">
        <v>27</v>
      </c>
      <c r="M2820">
        <v>12.869735069831499</v>
      </c>
      <c r="N2820" t="s">
        <v>37</v>
      </c>
      <c r="O2820" t="s">
        <v>58</v>
      </c>
      <c r="P2820">
        <f>VLOOKUP(O2820, Coordinates!$A$2:$C$6, 2, FALSE)</f>
        <v>34.052199999999999</v>
      </c>
      <c r="Q2820">
        <f>VLOOKUP(O2820, Coordinates!$A$2:$C$6, 3, FALSE)</f>
        <v>-118.2437</v>
      </c>
      <c r="R2820">
        <v>27</v>
      </c>
      <c r="S2820">
        <v>192</v>
      </c>
      <c r="T2820">
        <v>7</v>
      </c>
      <c r="U2820">
        <v>32.068049133534799</v>
      </c>
      <c r="V2820" t="s">
        <v>30</v>
      </c>
      <c r="W2820">
        <v>3.24683718761053</v>
      </c>
      <c r="X2820" t="s">
        <v>40</v>
      </c>
      <c r="Y2820" t="s">
        <v>41</v>
      </c>
      <c r="Z2820">
        <v>614.04684999530298</v>
      </c>
    </row>
    <row r="2821" spans="1:26" x14ac:dyDescent="0.3">
      <c r="A2821" t="s">
        <v>49</v>
      </c>
      <c r="B2821" t="s">
        <v>2877</v>
      </c>
      <c r="C2821">
        <v>60.868895572517403</v>
      </c>
      <c r="D2821">
        <v>92</v>
      </c>
      <c r="E2821">
        <v>582</v>
      </c>
      <c r="F2821">
        <v>5121.3212190000004</v>
      </c>
      <c r="G2821" t="s">
        <v>54</v>
      </c>
      <c r="H2821">
        <v>70</v>
      </c>
      <c r="I2821">
        <v>2</v>
      </c>
      <c r="J2821">
        <v>47</v>
      </c>
      <c r="K2821">
        <v>1</v>
      </c>
      <c r="L2821" t="s">
        <v>27</v>
      </c>
      <c r="M2821">
        <v>13.207732915596599</v>
      </c>
      <c r="N2821" t="s">
        <v>51</v>
      </c>
      <c r="O2821" t="s">
        <v>29</v>
      </c>
      <c r="P2821">
        <f>VLOOKUP(O2821, Coordinates!$A$2:$C$6, 2, FALSE)</f>
        <v>29.760400000000001</v>
      </c>
      <c r="Q2821">
        <f>VLOOKUP(O2821, Coordinates!$A$2:$C$6, 3, FALSE)</f>
        <v>-95.369799999999998</v>
      </c>
      <c r="R2821">
        <v>30</v>
      </c>
      <c r="S2821">
        <v>900</v>
      </c>
      <c r="T2821">
        <v>29</v>
      </c>
      <c r="U2821">
        <v>36.315938226148802</v>
      </c>
      <c r="V2821" t="s">
        <v>30</v>
      </c>
      <c r="W2821">
        <v>0.78927718199340602</v>
      </c>
      <c r="X2821" t="s">
        <v>40</v>
      </c>
      <c r="Y2821" t="s">
        <v>41</v>
      </c>
      <c r="Z2821">
        <v>474.51365888002698</v>
      </c>
    </row>
    <row r="2822" spans="1:26" x14ac:dyDescent="0.3">
      <c r="A2822" t="s">
        <v>82</v>
      </c>
      <c r="B2822" t="s">
        <v>2878</v>
      </c>
      <c r="C2822">
        <v>35.027379965110001</v>
      </c>
      <c r="D2822">
        <v>57</v>
      </c>
      <c r="E2822">
        <v>447</v>
      </c>
      <c r="F2822">
        <v>6124.0168159848399</v>
      </c>
      <c r="H2822">
        <v>29</v>
      </c>
      <c r="I2822">
        <v>11</v>
      </c>
      <c r="J2822">
        <v>31</v>
      </c>
      <c r="K2822">
        <v>5</v>
      </c>
      <c r="L2822" t="s">
        <v>27</v>
      </c>
      <c r="M2822">
        <v>9.9902983324331807</v>
      </c>
      <c r="N2822" t="s">
        <v>57</v>
      </c>
      <c r="O2822" t="s">
        <v>58</v>
      </c>
      <c r="P2822">
        <f>VLOOKUP(O2822, Coordinates!$A$2:$C$6, 2, FALSE)</f>
        <v>34.052199999999999</v>
      </c>
      <c r="Q2822">
        <f>VLOOKUP(O2822, Coordinates!$A$2:$C$6, 3, FALSE)</f>
        <v>-118.2437</v>
      </c>
      <c r="R2822">
        <v>28</v>
      </c>
      <c r="S2822">
        <v>817</v>
      </c>
      <c r="T2822">
        <v>3</v>
      </c>
      <c r="U2822">
        <v>98.259073536687296</v>
      </c>
      <c r="V2822" t="s">
        <v>39</v>
      </c>
      <c r="W2822">
        <v>2.7885839257537599</v>
      </c>
      <c r="X2822" t="s">
        <v>31</v>
      </c>
      <c r="Y2822" t="s">
        <v>60</v>
      </c>
      <c r="Z2822">
        <v>392.37969820395602</v>
      </c>
    </row>
    <row r="2823" spans="1:26" x14ac:dyDescent="0.3">
      <c r="A2823" t="s">
        <v>82</v>
      </c>
      <c r="B2823" t="s">
        <v>2879</v>
      </c>
      <c r="C2823">
        <v>64.562001280228003</v>
      </c>
      <c r="D2823">
        <v>13</v>
      </c>
      <c r="E2823">
        <v>779</v>
      </c>
      <c r="F2823">
        <v>7233.5209908259003</v>
      </c>
      <c r="G2823" t="s">
        <v>54</v>
      </c>
      <c r="H2823">
        <v>81</v>
      </c>
      <c r="I2823">
        <v>12</v>
      </c>
      <c r="J2823">
        <v>94</v>
      </c>
      <c r="K2823">
        <v>10</v>
      </c>
      <c r="L2823" t="s">
        <v>36</v>
      </c>
      <c r="M2823">
        <v>8.0893868889576606</v>
      </c>
      <c r="N2823" t="s">
        <v>37</v>
      </c>
      <c r="O2823" t="s">
        <v>58</v>
      </c>
      <c r="P2823">
        <f>VLOOKUP(O2823, Coordinates!$A$2:$C$6, 2, FALSE)</f>
        <v>34.052199999999999</v>
      </c>
      <c r="Q2823">
        <f>VLOOKUP(O2823, Coordinates!$A$2:$C$6, 3, FALSE)</f>
        <v>-118.2437</v>
      </c>
      <c r="R2823">
        <v>28</v>
      </c>
      <c r="S2823">
        <v>969</v>
      </c>
      <c r="T2823">
        <v>7</v>
      </c>
      <c r="U2823">
        <v>65.4052862623777</v>
      </c>
      <c r="V2823" t="s">
        <v>55</v>
      </c>
      <c r="W2823">
        <v>4.3618571644276702</v>
      </c>
      <c r="X2823" t="s">
        <v>40</v>
      </c>
      <c r="Y2823" t="s">
        <v>41</v>
      </c>
      <c r="Z2823">
        <v>626.28562181063</v>
      </c>
    </row>
    <row r="2824" spans="1:26" x14ac:dyDescent="0.3">
      <c r="A2824" t="s">
        <v>49</v>
      </c>
      <c r="B2824" t="s">
        <v>2880</v>
      </c>
      <c r="C2824">
        <v>81.797513818882095</v>
      </c>
      <c r="D2824">
        <v>23</v>
      </c>
      <c r="E2824">
        <v>53</v>
      </c>
      <c r="F2824">
        <v>6329.7116238629596</v>
      </c>
      <c r="G2824" t="s">
        <v>26</v>
      </c>
      <c r="H2824">
        <v>90</v>
      </c>
      <c r="I2824">
        <v>5</v>
      </c>
      <c r="J2824">
        <v>38</v>
      </c>
      <c r="K2824">
        <v>9</v>
      </c>
      <c r="L2824" t="s">
        <v>36</v>
      </c>
      <c r="M2824">
        <v>14.4016337863664</v>
      </c>
      <c r="N2824" t="s">
        <v>51</v>
      </c>
      <c r="O2824" t="s">
        <v>58</v>
      </c>
      <c r="P2824">
        <f>VLOOKUP(O2824, Coordinates!$A$2:$C$6, 2, FALSE)</f>
        <v>34.052199999999999</v>
      </c>
      <c r="Q2824">
        <f>VLOOKUP(O2824, Coordinates!$A$2:$C$6, 3, FALSE)</f>
        <v>-118.2437</v>
      </c>
      <c r="R2824">
        <v>16</v>
      </c>
      <c r="S2824">
        <v>640</v>
      </c>
      <c r="T2824">
        <v>8</v>
      </c>
      <c r="U2824">
        <v>47.861481169576301</v>
      </c>
      <c r="V2824" t="s">
        <v>55</v>
      </c>
      <c r="W2824">
        <v>0.34757471025881498</v>
      </c>
      <c r="X2824" t="s">
        <v>46</v>
      </c>
      <c r="Y2824" t="s">
        <v>41</v>
      </c>
      <c r="Z2824">
        <v>750.89564488932103</v>
      </c>
    </row>
    <row r="2825" spans="1:26" x14ac:dyDescent="0.3">
      <c r="A2825" t="s">
        <v>72</v>
      </c>
      <c r="B2825" t="s">
        <v>2881</v>
      </c>
      <c r="C2825">
        <v>33.9166936104494</v>
      </c>
      <c r="D2825">
        <v>83</v>
      </c>
      <c r="E2825">
        <v>532</v>
      </c>
      <c r="F2825">
        <v>16239.3129006832</v>
      </c>
      <c r="G2825" t="s">
        <v>48</v>
      </c>
      <c r="H2825">
        <v>15</v>
      </c>
      <c r="I2825">
        <v>27</v>
      </c>
      <c r="J2825">
        <v>54</v>
      </c>
      <c r="K2825">
        <v>2</v>
      </c>
      <c r="L2825" t="s">
        <v>44</v>
      </c>
      <c r="M2825">
        <v>14.6176869902686</v>
      </c>
      <c r="N2825" t="s">
        <v>37</v>
      </c>
      <c r="O2825" t="s">
        <v>65</v>
      </c>
      <c r="P2825">
        <f>VLOOKUP(O2825, Coordinates!$A$2:$C$6, 2, FALSE)</f>
        <v>41.878100000000003</v>
      </c>
      <c r="Q2825">
        <f>VLOOKUP(O2825, Coordinates!$A$2:$C$6, 3, FALSE)</f>
        <v>-87.629800000000003</v>
      </c>
      <c r="R2825">
        <v>15</v>
      </c>
      <c r="S2825">
        <v>798</v>
      </c>
      <c r="T2825">
        <v>12</v>
      </c>
      <c r="U2825">
        <v>81.008081065036293</v>
      </c>
      <c r="V2825" t="s">
        <v>55</v>
      </c>
      <c r="W2825">
        <v>0.41860616824140101</v>
      </c>
      <c r="X2825" t="s">
        <v>31</v>
      </c>
      <c r="Y2825" t="s">
        <v>32</v>
      </c>
      <c r="Z2825">
        <v>466.10962048291901</v>
      </c>
    </row>
    <row r="2826" spans="1:26" x14ac:dyDescent="0.3">
      <c r="A2826" t="s">
        <v>82</v>
      </c>
      <c r="B2826" t="s">
        <v>2882</v>
      </c>
      <c r="C2826">
        <v>33.096018446526898</v>
      </c>
      <c r="D2826">
        <v>39</v>
      </c>
      <c r="E2826">
        <v>149</v>
      </c>
      <c r="F2826">
        <v>4211.997961</v>
      </c>
      <c r="G2826" t="s">
        <v>26</v>
      </c>
      <c r="H2826">
        <v>84</v>
      </c>
      <c r="I2826">
        <v>27</v>
      </c>
      <c r="J2826">
        <v>55</v>
      </c>
      <c r="K2826">
        <v>3</v>
      </c>
      <c r="L2826" t="s">
        <v>36</v>
      </c>
      <c r="M2826">
        <v>9.9837643887908101</v>
      </c>
      <c r="N2826" t="s">
        <v>45</v>
      </c>
      <c r="O2826" t="s">
        <v>38</v>
      </c>
      <c r="P2826">
        <f>VLOOKUP(O2826, Coordinates!$A$2:$C$6, 2, FALSE)</f>
        <v>25.761700000000001</v>
      </c>
      <c r="Q2826">
        <f>VLOOKUP(O2826, Coordinates!$A$2:$C$6, 3, FALSE)</f>
        <v>-80.191800000000001</v>
      </c>
      <c r="R2826">
        <v>28</v>
      </c>
      <c r="S2826">
        <v>948</v>
      </c>
      <c r="T2826">
        <v>7</v>
      </c>
      <c r="U2826">
        <v>18.8695065139609</v>
      </c>
      <c r="V2826" t="s">
        <v>39</v>
      </c>
      <c r="W2826">
        <v>3.9990149172185498</v>
      </c>
      <c r="X2826" t="s">
        <v>52</v>
      </c>
      <c r="Y2826" t="s">
        <v>32</v>
      </c>
      <c r="Z2826">
        <v>307.80897811472499</v>
      </c>
    </row>
    <row r="2827" spans="1:26" x14ac:dyDescent="0.3">
      <c r="A2827" t="s">
        <v>24</v>
      </c>
      <c r="B2827" t="s">
        <v>2883</v>
      </c>
      <c r="C2827">
        <v>24.336248194195498</v>
      </c>
      <c r="D2827">
        <v>88</v>
      </c>
      <c r="E2827">
        <v>344</v>
      </c>
      <c r="F2827">
        <v>7534.50244092293</v>
      </c>
      <c r="G2827" t="s">
        <v>35</v>
      </c>
      <c r="H2827">
        <v>4</v>
      </c>
      <c r="I2827">
        <v>24</v>
      </c>
      <c r="J2827">
        <v>48</v>
      </c>
      <c r="K2827">
        <v>8</v>
      </c>
      <c r="L2827" t="s">
        <v>27</v>
      </c>
      <c r="M2827">
        <v>6.0338380109382701</v>
      </c>
      <c r="N2827" t="s">
        <v>45</v>
      </c>
      <c r="O2827" t="s">
        <v>38</v>
      </c>
      <c r="P2827">
        <f>VLOOKUP(O2827, Coordinates!$A$2:$C$6, 2, FALSE)</f>
        <v>25.761700000000001</v>
      </c>
      <c r="Q2827">
        <f>VLOOKUP(O2827, Coordinates!$A$2:$C$6, 3, FALSE)</f>
        <v>-80.191800000000001</v>
      </c>
      <c r="R2827">
        <v>26</v>
      </c>
      <c r="S2827">
        <v>606</v>
      </c>
      <c r="T2827">
        <v>24</v>
      </c>
      <c r="U2827">
        <v>77.402387663062001</v>
      </c>
      <c r="V2827" t="s">
        <v>39</v>
      </c>
      <c r="W2827">
        <v>3.8043348582938301</v>
      </c>
      <c r="X2827" t="s">
        <v>46</v>
      </c>
      <c r="Y2827" t="s">
        <v>32</v>
      </c>
      <c r="Z2827">
        <v>626.50383957049405</v>
      </c>
    </row>
    <row r="2828" spans="1:26" x14ac:dyDescent="0.3">
      <c r="A2828" t="s">
        <v>33</v>
      </c>
      <c r="B2828" t="s">
        <v>2884</v>
      </c>
      <c r="C2828">
        <v>36.104991079677497</v>
      </c>
      <c r="D2828">
        <v>80</v>
      </c>
      <c r="E2828">
        <v>766</v>
      </c>
      <c r="F2828">
        <v>2924.5500054573699</v>
      </c>
      <c r="G2828" t="s">
        <v>35</v>
      </c>
      <c r="H2828">
        <v>28</v>
      </c>
      <c r="I2828">
        <v>6</v>
      </c>
      <c r="J2828">
        <v>78</v>
      </c>
      <c r="K2828">
        <v>5</v>
      </c>
      <c r="L2828" t="s">
        <v>36</v>
      </c>
      <c r="M2828">
        <v>12.440312568523201</v>
      </c>
      <c r="N2828" t="s">
        <v>28</v>
      </c>
      <c r="O2828" t="s">
        <v>29</v>
      </c>
      <c r="P2828">
        <f>VLOOKUP(O2828, Coordinates!$A$2:$C$6, 2, FALSE)</f>
        <v>29.760400000000001</v>
      </c>
      <c r="Q2828">
        <f>VLOOKUP(O2828, Coordinates!$A$2:$C$6, 3, FALSE)</f>
        <v>-95.369799999999998</v>
      </c>
      <c r="R2828">
        <v>15</v>
      </c>
      <c r="S2828">
        <v>276</v>
      </c>
      <c r="T2828">
        <v>16</v>
      </c>
      <c r="U2828">
        <v>63.343696897034597</v>
      </c>
      <c r="V2828" t="s">
        <v>55</v>
      </c>
      <c r="W2828">
        <v>0.89004254735299204</v>
      </c>
      <c r="X2828" t="s">
        <v>46</v>
      </c>
      <c r="Y2828" t="s">
        <v>60</v>
      </c>
      <c r="Z2828">
        <v>429.006376250171</v>
      </c>
    </row>
    <row r="2829" spans="1:26" x14ac:dyDescent="0.3">
      <c r="A2829" t="s">
        <v>42</v>
      </c>
      <c r="B2829" t="s">
        <v>2885</v>
      </c>
      <c r="C2829">
        <v>20.638948757467901</v>
      </c>
      <c r="D2829">
        <v>97</v>
      </c>
      <c r="E2829">
        <v>859</v>
      </c>
      <c r="F2829">
        <v>1340.04671258135</v>
      </c>
      <c r="G2829" t="s">
        <v>35</v>
      </c>
      <c r="H2829">
        <v>46</v>
      </c>
      <c r="I2829">
        <v>25</v>
      </c>
      <c r="J2829">
        <v>87</v>
      </c>
      <c r="K2829">
        <v>3</v>
      </c>
      <c r="L2829" t="s">
        <v>36</v>
      </c>
      <c r="M2829">
        <v>2.2495765410089201</v>
      </c>
      <c r="N2829" t="s">
        <v>45</v>
      </c>
      <c r="O2829" t="s">
        <v>38</v>
      </c>
      <c r="P2829">
        <f>VLOOKUP(O2829, Coordinates!$A$2:$C$6, 2, FALSE)</f>
        <v>25.761700000000001</v>
      </c>
      <c r="Q2829">
        <f>VLOOKUP(O2829, Coordinates!$A$2:$C$6, 3, FALSE)</f>
        <v>-80.191800000000001</v>
      </c>
      <c r="R2829">
        <v>25</v>
      </c>
      <c r="S2829">
        <v>538</v>
      </c>
      <c r="T2829">
        <v>30</v>
      </c>
      <c r="U2829">
        <v>56.080363279628401</v>
      </c>
      <c r="V2829" t="s">
        <v>55</v>
      </c>
      <c r="W2829">
        <v>3.6973284245887101</v>
      </c>
      <c r="X2829" t="s">
        <v>40</v>
      </c>
      <c r="Y2829" t="s">
        <v>32</v>
      </c>
      <c r="Z2829">
        <v>994.89199010530206</v>
      </c>
    </row>
    <row r="2830" spans="1:26" x14ac:dyDescent="0.3">
      <c r="A2830" t="s">
        <v>82</v>
      </c>
      <c r="B2830" t="s">
        <v>2886</v>
      </c>
      <c r="C2830">
        <v>22.2113258307519</v>
      </c>
      <c r="D2830">
        <v>12</v>
      </c>
      <c r="E2830">
        <v>358</v>
      </c>
      <c r="F2830">
        <v>1387.1256794204901</v>
      </c>
      <c r="G2830" t="s">
        <v>48</v>
      </c>
      <c r="H2830">
        <v>100</v>
      </c>
      <c r="I2830">
        <v>11</v>
      </c>
      <c r="J2830">
        <v>91</v>
      </c>
      <c r="K2830">
        <v>6</v>
      </c>
      <c r="L2830" t="s">
        <v>36</v>
      </c>
      <c r="M2830">
        <v>5.0683390160000004</v>
      </c>
      <c r="N2830" t="s">
        <v>37</v>
      </c>
      <c r="O2830" t="s">
        <v>67</v>
      </c>
      <c r="P2830">
        <f>VLOOKUP(O2830, Coordinates!$A$2:$C$6, 2, FALSE)</f>
        <v>40.712800000000001</v>
      </c>
      <c r="Q2830">
        <f>VLOOKUP(O2830, Coordinates!$A$2:$C$6, 3, FALSE)</f>
        <v>-74.006</v>
      </c>
      <c r="R2830">
        <v>20</v>
      </c>
      <c r="S2830">
        <v>942</v>
      </c>
      <c r="T2830">
        <v>25</v>
      </c>
      <c r="U2830">
        <v>42.32378722</v>
      </c>
      <c r="V2830" t="s">
        <v>55</v>
      </c>
      <c r="W2830">
        <v>3.7521508839747999</v>
      </c>
      <c r="X2830" t="s">
        <v>40</v>
      </c>
      <c r="Y2830" t="s">
        <v>41</v>
      </c>
      <c r="Z2830">
        <v>496.94016332245002</v>
      </c>
    </row>
    <row r="2831" spans="1:26" x14ac:dyDescent="0.3">
      <c r="A2831" t="s">
        <v>33</v>
      </c>
      <c r="B2831" t="s">
        <v>2887</v>
      </c>
      <c r="C2831">
        <v>80.115654680515902</v>
      </c>
      <c r="D2831">
        <v>34</v>
      </c>
      <c r="E2831">
        <v>79</v>
      </c>
      <c r="F2831">
        <v>8830.4967379835398</v>
      </c>
      <c r="G2831" t="s">
        <v>35</v>
      </c>
      <c r="H2831">
        <v>21</v>
      </c>
      <c r="I2831">
        <v>21</v>
      </c>
      <c r="J2831">
        <v>77</v>
      </c>
      <c r="K2831">
        <v>6</v>
      </c>
      <c r="L2831" t="s">
        <v>44</v>
      </c>
      <c r="M2831">
        <v>14.797760126819901</v>
      </c>
      <c r="N2831" t="s">
        <v>57</v>
      </c>
      <c r="O2831" t="s">
        <v>58</v>
      </c>
      <c r="P2831">
        <f>VLOOKUP(O2831, Coordinates!$A$2:$C$6, 2, FALSE)</f>
        <v>34.052199999999999</v>
      </c>
      <c r="Q2831">
        <f>VLOOKUP(O2831, Coordinates!$A$2:$C$6, 3, FALSE)</f>
        <v>-118.2437</v>
      </c>
      <c r="R2831">
        <v>14</v>
      </c>
      <c r="S2831">
        <v>767</v>
      </c>
      <c r="T2831">
        <v>17</v>
      </c>
      <c r="U2831">
        <v>60.950255726022803</v>
      </c>
      <c r="V2831" t="s">
        <v>30</v>
      </c>
      <c r="W2831">
        <v>2.8050242681399</v>
      </c>
      <c r="X2831" t="s">
        <v>46</v>
      </c>
      <c r="Y2831" t="s">
        <v>32</v>
      </c>
      <c r="Z2831">
        <v>491.03993873358303</v>
      </c>
    </row>
    <row r="2832" spans="1:26" x14ac:dyDescent="0.3">
      <c r="A2832" t="s">
        <v>61</v>
      </c>
      <c r="B2832" t="s">
        <v>2888</v>
      </c>
      <c r="C2832">
        <v>41.5495947682072</v>
      </c>
      <c r="D2832">
        <v>71</v>
      </c>
      <c r="E2832">
        <v>806</v>
      </c>
      <c r="F2832">
        <v>7105.5383176531604</v>
      </c>
      <c r="G2832" t="s">
        <v>48</v>
      </c>
      <c r="H2832">
        <v>77</v>
      </c>
      <c r="I2832">
        <v>10</v>
      </c>
      <c r="J2832">
        <v>48</v>
      </c>
      <c r="K2832">
        <v>5</v>
      </c>
      <c r="L2832" t="s">
        <v>44</v>
      </c>
      <c r="M2832">
        <v>12.4006674208975</v>
      </c>
      <c r="N2832" t="s">
        <v>45</v>
      </c>
      <c r="O2832" t="s">
        <v>38</v>
      </c>
      <c r="P2832">
        <f>VLOOKUP(O2832, Coordinates!$A$2:$C$6, 2, FALSE)</f>
        <v>25.761700000000001</v>
      </c>
      <c r="Q2832">
        <f>VLOOKUP(O2832, Coordinates!$A$2:$C$6, 3, FALSE)</f>
        <v>-80.191800000000001</v>
      </c>
      <c r="R2832">
        <v>26</v>
      </c>
      <c r="S2832">
        <v>857</v>
      </c>
      <c r="T2832">
        <v>26</v>
      </c>
      <c r="U2832">
        <v>16.540835449345501</v>
      </c>
      <c r="V2832" t="s">
        <v>39</v>
      </c>
      <c r="W2832">
        <v>4.8319156414264803</v>
      </c>
      <c r="X2832" t="s">
        <v>31</v>
      </c>
      <c r="Y2832" t="s">
        <v>60</v>
      </c>
      <c r="Z2832">
        <v>855.52028964610497</v>
      </c>
    </row>
    <row r="2833" spans="1:26" x14ac:dyDescent="0.3">
      <c r="A2833" t="s">
        <v>33</v>
      </c>
      <c r="B2833" t="s">
        <v>2889</v>
      </c>
      <c r="C2833">
        <v>46.419542154205601</v>
      </c>
      <c r="D2833">
        <v>75</v>
      </c>
      <c r="E2833">
        <v>933</v>
      </c>
      <c r="F2833">
        <v>6944.7917389283703</v>
      </c>
      <c r="G2833" t="s">
        <v>26</v>
      </c>
      <c r="H2833">
        <v>56</v>
      </c>
      <c r="I2833">
        <v>4</v>
      </c>
      <c r="J2833">
        <v>29</v>
      </c>
      <c r="K2833">
        <v>5</v>
      </c>
      <c r="L2833" t="s">
        <v>36</v>
      </c>
      <c r="M2833">
        <v>14.154154601967701</v>
      </c>
      <c r="N2833" t="s">
        <v>51</v>
      </c>
      <c r="O2833" t="s">
        <v>58</v>
      </c>
      <c r="P2833">
        <f>VLOOKUP(O2833, Coordinates!$A$2:$C$6, 2, FALSE)</f>
        <v>34.052199999999999</v>
      </c>
      <c r="Q2833">
        <f>VLOOKUP(O2833, Coordinates!$A$2:$C$6, 3, FALSE)</f>
        <v>-118.2437</v>
      </c>
      <c r="R2833">
        <v>26</v>
      </c>
      <c r="S2833">
        <v>810</v>
      </c>
      <c r="T2833">
        <v>22</v>
      </c>
      <c r="U2833">
        <v>94.959205428839098</v>
      </c>
      <c r="V2833" t="s">
        <v>30</v>
      </c>
      <c r="W2833">
        <v>4.9410991415609802</v>
      </c>
      <c r="X2833" t="s">
        <v>46</v>
      </c>
      <c r="Y2833" t="s">
        <v>32</v>
      </c>
      <c r="Z2833">
        <v>325.917085086459</v>
      </c>
    </row>
    <row r="2834" spans="1:26" x14ac:dyDescent="0.3">
      <c r="A2834" t="s">
        <v>42</v>
      </c>
      <c r="B2834" t="s">
        <v>2890</v>
      </c>
      <c r="C2834">
        <v>61.434699228847002</v>
      </c>
      <c r="D2834">
        <v>31</v>
      </c>
      <c r="E2834">
        <v>798</v>
      </c>
      <c r="F2834">
        <v>6531.7853704139698</v>
      </c>
      <c r="G2834" t="s">
        <v>26</v>
      </c>
      <c r="H2834">
        <v>82</v>
      </c>
      <c r="I2834">
        <v>9</v>
      </c>
      <c r="J2834">
        <v>86</v>
      </c>
      <c r="K2834">
        <v>6</v>
      </c>
      <c r="L2834" t="s">
        <v>36</v>
      </c>
      <c r="M2834">
        <v>9.3271239994005892</v>
      </c>
      <c r="N2834" t="s">
        <v>37</v>
      </c>
      <c r="O2834" t="s">
        <v>65</v>
      </c>
      <c r="P2834">
        <f>VLOOKUP(O2834, Coordinates!$A$2:$C$6, 2, FALSE)</f>
        <v>41.878100000000003</v>
      </c>
      <c r="Q2834">
        <f>VLOOKUP(O2834, Coordinates!$A$2:$C$6, 3, FALSE)</f>
        <v>-87.629800000000003</v>
      </c>
      <c r="R2834">
        <v>11</v>
      </c>
      <c r="S2834">
        <v>610</v>
      </c>
      <c r="T2834">
        <v>4</v>
      </c>
      <c r="U2834">
        <v>36.434051900579902</v>
      </c>
      <c r="V2834" t="s">
        <v>30</v>
      </c>
      <c r="W2834">
        <v>2.4501681478141202</v>
      </c>
      <c r="X2834" t="s">
        <v>46</v>
      </c>
      <c r="Y2834" t="s">
        <v>41</v>
      </c>
      <c r="Z2834">
        <v>159.38834981470899</v>
      </c>
    </row>
    <row r="2835" spans="1:26" x14ac:dyDescent="0.3">
      <c r="A2835" t="s">
        <v>33</v>
      </c>
      <c r="B2835" t="s">
        <v>2891</v>
      </c>
      <c r="C2835">
        <v>61.017082039397003</v>
      </c>
      <c r="D2835">
        <v>93</v>
      </c>
      <c r="E2835">
        <v>582</v>
      </c>
      <c r="F2835">
        <v>8642.9723022469407</v>
      </c>
      <c r="G2835" t="s">
        <v>48</v>
      </c>
      <c r="H2835">
        <v>34</v>
      </c>
      <c r="I2835">
        <v>12</v>
      </c>
      <c r="J2835">
        <v>77</v>
      </c>
      <c r="K2835">
        <v>2</v>
      </c>
      <c r="L2835" t="s">
        <v>27</v>
      </c>
      <c r="M2835">
        <v>6.7074144140736198</v>
      </c>
      <c r="N2835" t="s">
        <v>51</v>
      </c>
      <c r="O2835" t="s">
        <v>65</v>
      </c>
      <c r="P2835">
        <f>VLOOKUP(O2835, Coordinates!$A$2:$C$6, 2, FALSE)</f>
        <v>41.878100000000003</v>
      </c>
      <c r="Q2835">
        <f>VLOOKUP(O2835, Coordinates!$A$2:$C$6, 3, FALSE)</f>
        <v>-87.629800000000003</v>
      </c>
      <c r="R2835">
        <v>30</v>
      </c>
      <c r="S2835">
        <v>208</v>
      </c>
      <c r="T2835">
        <v>17</v>
      </c>
      <c r="U2835">
        <v>16.460091160479799</v>
      </c>
      <c r="V2835" t="s">
        <v>30</v>
      </c>
      <c r="W2835">
        <v>2.2603657393363901</v>
      </c>
      <c r="X2835" t="s">
        <v>40</v>
      </c>
      <c r="Y2835" t="s">
        <v>32</v>
      </c>
      <c r="Z2835">
        <v>868.43693283940297</v>
      </c>
    </row>
    <row r="2836" spans="1:26" x14ac:dyDescent="0.3">
      <c r="A2836" t="s">
        <v>49</v>
      </c>
      <c r="B2836" t="s">
        <v>2892</v>
      </c>
      <c r="C2836">
        <v>11.4008027945829</v>
      </c>
      <c r="D2836">
        <v>62</v>
      </c>
      <c r="E2836">
        <v>641</v>
      </c>
      <c r="F2836">
        <v>5322.4023309906397</v>
      </c>
      <c r="G2836" t="s">
        <v>26</v>
      </c>
      <c r="H2836">
        <v>87</v>
      </c>
      <c r="I2836">
        <v>10</v>
      </c>
      <c r="J2836">
        <v>44</v>
      </c>
      <c r="K2836">
        <v>6</v>
      </c>
      <c r="L2836" t="s">
        <v>44</v>
      </c>
      <c r="M2836">
        <v>14.715661447474499</v>
      </c>
      <c r="N2836" t="s">
        <v>28</v>
      </c>
      <c r="O2836" t="s">
        <v>29</v>
      </c>
      <c r="P2836">
        <f>VLOOKUP(O2836, Coordinates!$A$2:$C$6, 2, FALSE)</f>
        <v>29.760400000000001</v>
      </c>
      <c r="Q2836">
        <f>VLOOKUP(O2836, Coordinates!$A$2:$C$6, 3, FALSE)</f>
        <v>-95.369799999999998</v>
      </c>
      <c r="R2836">
        <v>3</v>
      </c>
      <c r="S2836">
        <v>971</v>
      </c>
      <c r="T2836">
        <v>18</v>
      </c>
      <c r="U2836">
        <v>25.2553845316693</v>
      </c>
      <c r="V2836" t="s">
        <v>39</v>
      </c>
      <c r="W2836">
        <v>4.9778453983365702</v>
      </c>
      <c r="X2836" t="s">
        <v>40</v>
      </c>
      <c r="Y2836" t="s">
        <v>32</v>
      </c>
      <c r="Z2836">
        <v>630.13631876326394</v>
      </c>
    </row>
    <row r="2837" spans="1:26" x14ac:dyDescent="0.3">
      <c r="A2837" t="s">
        <v>42</v>
      </c>
      <c r="B2837" t="s">
        <v>2893</v>
      </c>
      <c r="C2837">
        <v>83.996374702078199</v>
      </c>
      <c r="D2837">
        <v>13</v>
      </c>
      <c r="E2837">
        <v>323</v>
      </c>
      <c r="F2837">
        <v>8833.6974570247003</v>
      </c>
      <c r="G2837" t="s">
        <v>26</v>
      </c>
      <c r="H2837">
        <v>59</v>
      </c>
      <c r="I2837">
        <v>27</v>
      </c>
      <c r="J2837">
        <v>17</v>
      </c>
      <c r="K2837">
        <v>2</v>
      </c>
      <c r="L2837" t="s">
        <v>27</v>
      </c>
      <c r="M2837">
        <v>5.3319582020001599</v>
      </c>
      <c r="N2837" t="s">
        <v>28</v>
      </c>
      <c r="O2837" t="s">
        <v>38</v>
      </c>
      <c r="P2837">
        <f>VLOOKUP(O2837, Coordinates!$A$2:$C$6, 2, FALSE)</f>
        <v>25.761700000000001</v>
      </c>
      <c r="Q2837">
        <f>VLOOKUP(O2837, Coordinates!$A$2:$C$6, 3, FALSE)</f>
        <v>-80.191800000000001</v>
      </c>
      <c r="R2837">
        <v>2</v>
      </c>
      <c r="S2837">
        <v>171</v>
      </c>
      <c r="T2837">
        <v>26</v>
      </c>
      <c r="U2837">
        <v>18.592652303426501</v>
      </c>
      <c r="V2837" t="s">
        <v>30</v>
      </c>
      <c r="W2837">
        <v>4.3193413170000001</v>
      </c>
      <c r="X2837" t="s">
        <v>40</v>
      </c>
      <c r="Y2837" t="s">
        <v>32</v>
      </c>
      <c r="Z2837">
        <v>334.14109397203998</v>
      </c>
    </row>
    <row r="2838" spans="1:26" x14ac:dyDescent="0.3">
      <c r="A2838" t="s">
        <v>72</v>
      </c>
      <c r="B2838" t="s">
        <v>2894</v>
      </c>
      <c r="C2838">
        <v>26.424540727265899</v>
      </c>
      <c r="D2838">
        <v>31</v>
      </c>
      <c r="E2838">
        <v>91</v>
      </c>
      <c r="F2838">
        <v>2164.1698855630798</v>
      </c>
      <c r="G2838" t="s">
        <v>48</v>
      </c>
      <c r="H2838">
        <v>69</v>
      </c>
      <c r="I2838">
        <v>14</v>
      </c>
      <c r="J2838">
        <v>61</v>
      </c>
      <c r="K2838">
        <v>3</v>
      </c>
      <c r="L2838" t="s">
        <v>27</v>
      </c>
      <c r="M2838">
        <v>11.6037999047249</v>
      </c>
      <c r="N2838" t="s">
        <v>57</v>
      </c>
      <c r="O2838" t="s">
        <v>58</v>
      </c>
      <c r="P2838">
        <f>VLOOKUP(O2838, Coordinates!$A$2:$C$6, 2, FALSE)</f>
        <v>34.052199999999999</v>
      </c>
      <c r="Q2838">
        <f>VLOOKUP(O2838, Coordinates!$A$2:$C$6, 3, FALSE)</f>
        <v>-118.2437</v>
      </c>
      <c r="R2838">
        <v>18</v>
      </c>
      <c r="S2838">
        <v>588</v>
      </c>
      <c r="T2838">
        <v>4</v>
      </c>
      <c r="U2838">
        <v>81.962280600085606</v>
      </c>
      <c r="V2838" t="s">
        <v>55</v>
      </c>
      <c r="W2838">
        <v>2.2818386701573998</v>
      </c>
      <c r="X2838" t="s">
        <v>52</v>
      </c>
      <c r="Y2838" t="s">
        <v>60</v>
      </c>
      <c r="Z2838">
        <v>408.48270091876498</v>
      </c>
    </row>
    <row r="2839" spans="1:26" x14ac:dyDescent="0.3">
      <c r="A2839" t="s">
        <v>61</v>
      </c>
      <c r="B2839" t="s">
        <v>2895</v>
      </c>
      <c r="C2839">
        <v>73.691805424718495</v>
      </c>
      <c r="D2839">
        <v>2</v>
      </c>
      <c r="E2839">
        <v>557</v>
      </c>
      <c r="G2839" t="s">
        <v>35</v>
      </c>
      <c r="H2839">
        <v>59</v>
      </c>
      <c r="I2839">
        <v>5</v>
      </c>
      <c r="J2839">
        <v>49</v>
      </c>
      <c r="K2839">
        <v>2</v>
      </c>
      <c r="L2839" t="s">
        <v>36</v>
      </c>
      <c r="M2839">
        <v>8.8148974106029101</v>
      </c>
      <c r="N2839" t="s">
        <v>37</v>
      </c>
      <c r="O2839" t="s">
        <v>29</v>
      </c>
      <c r="P2839">
        <f>VLOOKUP(O2839, Coordinates!$A$2:$C$6, 2, FALSE)</f>
        <v>29.760400000000001</v>
      </c>
      <c r="Q2839">
        <f>VLOOKUP(O2839, Coordinates!$A$2:$C$6, 3, FALSE)</f>
        <v>-95.369799999999998</v>
      </c>
      <c r="R2839">
        <v>14</v>
      </c>
      <c r="S2839">
        <v>832</v>
      </c>
      <c r="T2839">
        <v>17</v>
      </c>
      <c r="U2839">
        <v>47.507864934395002</v>
      </c>
      <c r="V2839" t="s">
        <v>30</v>
      </c>
      <c r="W2839">
        <v>2.0940149296813599</v>
      </c>
      <c r="X2839" t="s">
        <v>46</v>
      </c>
      <c r="Y2839" t="s">
        <v>60</v>
      </c>
      <c r="Z2839">
        <v>483.08534605139801</v>
      </c>
    </row>
    <row r="2840" spans="1:26" x14ac:dyDescent="0.3">
      <c r="A2840" t="s">
        <v>49</v>
      </c>
      <c r="B2840" t="s">
        <v>2896</v>
      </c>
      <c r="C2840">
        <v>78.403743872175795</v>
      </c>
      <c r="D2840">
        <v>15</v>
      </c>
      <c r="E2840">
        <v>986</v>
      </c>
      <c r="F2840">
        <v>7287.9128207311596</v>
      </c>
      <c r="G2840" t="s">
        <v>48</v>
      </c>
      <c r="H2840">
        <v>57</v>
      </c>
      <c r="I2840">
        <v>1</v>
      </c>
      <c r="J2840">
        <v>45</v>
      </c>
      <c r="K2840">
        <v>1</v>
      </c>
      <c r="L2840" t="s">
        <v>36</v>
      </c>
      <c r="M2840">
        <v>4.19910003720251</v>
      </c>
      <c r="N2840" t="s">
        <v>57</v>
      </c>
      <c r="O2840" t="s">
        <v>67</v>
      </c>
      <c r="P2840">
        <f>VLOOKUP(O2840, Coordinates!$A$2:$C$6, 2, FALSE)</f>
        <v>40.712800000000001</v>
      </c>
      <c r="Q2840">
        <f>VLOOKUP(O2840, Coordinates!$A$2:$C$6, 3, FALSE)</f>
        <v>-74.006</v>
      </c>
      <c r="R2840">
        <v>24</v>
      </c>
      <c r="S2840">
        <v>380</v>
      </c>
      <c r="T2840">
        <v>15</v>
      </c>
      <c r="U2840">
        <v>76.4245804541968</v>
      </c>
      <c r="V2840" t="s">
        <v>30</v>
      </c>
      <c r="W2840">
        <v>0.47954691283493001</v>
      </c>
      <c r="X2840" t="s">
        <v>46</v>
      </c>
      <c r="Y2840" t="s">
        <v>60</v>
      </c>
      <c r="Z2840">
        <v>712.351921756872</v>
      </c>
    </row>
    <row r="2841" spans="1:26" x14ac:dyDescent="0.3">
      <c r="A2841" t="s">
        <v>72</v>
      </c>
      <c r="B2841" t="s">
        <v>2897</v>
      </c>
      <c r="C2841">
        <v>32.2208189899508</v>
      </c>
      <c r="D2841">
        <v>57</v>
      </c>
      <c r="E2841">
        <v>702</v>
      </c>
      <c r="F2841">
        <v>20357.113437850901</v>
      </c>
      <c r="G2841" t="s">
        <v>54</v>
      </c>
      <c r="H2841">
        <v>2</v>
      </c>
      <c r="I2841">
        <v>5</v>
      </c>
      <c r="J2841">
        <v>15</v>
      </c>
      <c r="K2841">
        <v>1</v>
      </c>
      <c r="L2841" t="s">
        <v>36</v>
      </c>
      <c r="M2841">
        <v>1.2447660237195901</v>
      </c>
      <c r="N2841" t="s">
        <v>51</v>
      </c>
      <c r="O2841" t="s">
        <v>67</v>
      </c>
      <c r="P2841">
        <f>VLOOKUP(O2841, Coordinates!$A$2:$C$6, 2, FALSE)</f>
        <v>40.712800000000001</v>
      </c>
      <c r="Q2841">
        <f>VLOOKUP(O2841, Coordinates!$A$2:$C$6, 3, FALSE)</f>
        <v>-74.006</v>
      </c>
      <c r="R2841">
        <v>29</v>
      </c>
      <c r="S2841">
        <v>988</v>
      </c>
      <c r="T2841">
        <v>22</v>
      </c>
      <c r="U2841">
        <v>80.639980488151707</v>
      </c>
      <c r="V2841" t="s">
        <v>30</v>
      </c>
      <c r="W2841">
        <v>4.63255873194539</v>
      </c>
      <c r="X2841" t="s">
        <v>52</v>
      </c>
      <c r="Y2841" t="s">
        <v>60</v>
      </c>
      <c r="Z2841">
        <v>521.3638684</v>
      </c>
    </row>
    <row r="2842" spans="1:26" x14ac:dyDescent="0.3">
      <c r="A2842" t="s">
        <v>33</v>
      </c>
      <c r="B2842" t="s">
        <v>2898</v>
      </c>
      <c r="C2842">
        <v>60.002876422643702</v>
      </c>
      <c r="D2842">
        <v>75</v>
      </c>
      <c r="E2842">
        <v>870</v>
      </c>
      <c r="F2842">
        <v>6076.7642951976204</v>
      </c>
      <c r="G2842" t="s">
        <v>26</v>
      </c>
      <c r="H2842">
        <v>33</v>
      </c>
      <c r="I2842">
        <v>16</v>
      </c>
      <c r="J2842">
        <v>95</v>
      </c>
      <c r="K2842">
        <v>9</v>
      </c>
      <c r="L2842" t="s">
        <v>27</v>
      </c>
      <c r="M2842">
        <v>6.37269726705716</v>
      </c>
      <c r="N2842" t="s">
        <v>57</v>
      </c>
      <c r="O2842" t="s">
        <v>38</v>
      </c>
      <c r="P2842">
        <f>VLOOKUP(O2842, Coordinates!$A$2:$C$6, 2, FALSE)</f>
        <v>25.761700000000001</v>
      </c>
      <c r="Q2842">
        <f>VLOOKUP(O2842, Coordinates!$A$2:$C$6, 3, FALSE)</f>
        <v>-80.191800000000001</v>
      </c>
      <c r="R2842">
        <v>5</v>
      </c>
      <c r="S2842">
        <v>313</v>
      </c>
      <c r="T2842">
        <v>17</v>
      </c>
      <c r="U2842">
        <v>49.2333959747479</v>
      </c>
      <c r="V2842" t="s">
        <v>30</v>
      </c>
      <c r="W2842">
        <v>4.2188742389999998</v>
      </c>
      <c r="X2842" t="s">
        <v>46</v>
      </c>
      <c r="Y2842" t="s">
        <v>60</v>
      </c>
      <c r="Z2842">
        <v>456.23760202626698</v>
      </c>
    </row>
    <row r="2843" spans="1:26" x14ac:dyDescent="0.3">
      <c r="A2843" t="s">
        <v>42</v>
      </c>
      <c r="B2843" t="s">
        <v>2899</v>
      </c>
      <c r="C2843">
        <v>6.3878547253438702</v>
      </c>
      <c r="D2843">
        <v>34</v>
      </c>
      <c r="E2843">
        <v>896</v>
      </c>
      <c r="F2843">
        <v>5797.2750530000003</v>
      </c>
      <c r="G2843" t="s">
        <v>48</v>
      </c>
      <c r="H2843">
        <v>44</v>
      </c>
      <c r="I2843">
        <v>5</v>
      </c>
      <c r="J2843">
        <v>79</v>
      </c>
      <c r="K2843">
        <v>4</v>
      </c>
      <c r="L2843" t="s">
        <v>27</v>
      </c>
      <c r="M2843">
        <v>8.6675954999999991</v>
      </c>
      <c r="N2843" t="s">
        <v>51</v>
      </c>
      <c r="O2843" t="s">
        <v>65</v>
      </c>
      <c r="P2843">
        <f>VLOOKUP(O2843, Coordinates!$A$2:$C$6, 2, FALSE)</f>
        <v>41.878100000000003</v>
      </c>
      <c r="Q2843">
        <f>VLOOKUP(O2843, Coordinates!$A$2:$C$6, 3, FALSE)</f>
        <v>-87.629800000000003</v>
      </c>
      <c r="R2843">
        <v>12</v>
      </c>
      <c r="S2843">
        <v>556</v>
      </c>
      <c r="T2843">
        <v>13</v>
      </c>
      <c r="U2843">
        <v>93.588155909941193</v>
      </c>
      <c r="V2843" t="s">
        <v>30</v>
      </c>
      <c r="W2843">
        <v>1.5500124643995501</v>
      </c>
      <c r="X2843" t="s">
        <v>46</v>
      </c>
      <c r="Y2843" t="s">
        <v>32</v>
      </c>
      <c r="Z2843">
        <v>802.41985202958301</v>
      </c>
    </row>
    <row r="2844" spans="1:26" x14ac:dyDescent="0.3">
      <c r="A2844" t="s">
        <v>61</v>
      </c>
      <c r="B2844" t="s">
        <v>2900</v>
      </c>
      <c r="C2844">
        <v>39.235671774501199</v>
      </c>
      <c r="D2844">
        <v>68</v>
      </c>
      <c r="E2844">
        <v>851</v>
      </c>
      <c r="F2844">
        <v>2241.0893955729998</v>
      </c>
      <c r="G2844" t="s">
        <v>26</v>
      </c>
      <c r="H2844">
        <v>49</v>
      </c>
      <c r="I2844">
        <v>5</v>
      </c>
      <c r="J2844">
        <v>82</v>
      </c>
      <c r="K2844">
        <v>5</v>
      </c>
      <c r="L2844" t="s">
        <v>27</v>
      </c>
      <c r="M2844">
        <v>3.5646656133485299</v>
      </c>
      <c r="N2844" t="s">
        <v>57</v>
      </c>
      <c r="O2844" t="s">
        <v>29</v>
      </c>
      <c r="P2844">
        <f>VLOOKUP(O2844, Coordinates!$A$2:$C$6, 2, FALSE)</f>
        <v>29.760400000000001</v>
      </c>
      <c r="Q2844">
        <f>VLOOKUP(O2844, Coordinates!$A$2:$C$6, 3, FALSE)</f>
        <v>-95.369799999999998</v>
      </c>
      <c r="R2844">
        <v>14</v>
      </c>
      <c r="S2844">
        <v>686</v>
      </c>
      <c r="T2844">
        <v>25</v>
      </c>
      <c r="U2844">
        <v>36.623956539337698</v>
      </c>
      <c r="V2844" t="s">
        <v>30</v>
      </c>
      <c r="W2844">
        <v>3.7666064378438802</v>
      </c>
      <c r="X2844" t="s">
        <v>46</v>
      </c>
      <c r="Y2844" t="s">
        <v>32</v>
      </c>
      <c r="Z2844">
        <v>164.66367835028899</v>
      </c>
    </row>
    <row r="2845" spans="1:26" x14ac:dyDescent="0.3">
      <c r="A2845" t="s">
        <v>49</v>
      </c>
      <c r="B2845" t="s">
        <v>2901</v>
      </c>
      <c r="C2845">
        <v>62.459745789445201</v>
      </c>
      <c r="D2845">
        <v>75</v>
      </c>
      <c r="E2845">
        <v>782</v>
      </c>
      <c r="F2845">
        <v>6321.1861517555199</v>
      </c>
      <c r="G2845" t="s">
        <v>35</v>
      </c>
      <c r="H2845">
        <v>1</v>
      </c>
      <c r="I2845">
        <v>29</v>
      </c>
      <c r="J2845">
        <v>25</v>
      </c>
      <c r="K2845">
        <v>10</v>
      </c>
      <c r="L2845" t="s">
        <v>36</v>
      </c>
      <c r="M2845">
        <v>6.8037684020571696</v>
      </c>
      <c r="N2845" t="s">
        <v>28</v>
      </c>
      <c r="O2845" t="s">
        <v>58</v>
      </c>
      <c r="P2845">
        <f>VLOOKUP(O2845, Coordinates!$A$2:$C$6, 2, FALSE)</f>
        <v>34.052199999999999</v>
      </c>
      <c r="Q2845">
        <f>VLOOKUP(O2845, Coordinates!$A$2:$C$6, 3, FALSE)</f>
        <v>-118.2437</v>
      </c>
      <c r="R2845">
        <v>6</v>
      </c>
      <c r="S2845">
        <v>517</v>
      </c>
      <c r="T2845">
        <v>26</v>
      </c>
      <c r="U2845">
        <v>81.524777793823802</v>
      </c>
      <c r="V2845" t="s">
        <v>30</v>
      </c>
      <c r="W2845">
        <v>3.8136471313696201</v>
      </c>
      <c r="X2845" t="s">
        <v>31</v>
      </c>
      <c r="Y2845" t="s">
        <v>60</v>
      </c>
      <c r="Z2845">
        <v>687.28320161550801</v>
      </c>
    </row>
    <row r="2846" spans="1:26" x14ac:dyDescent="0.3">
      <c r="A2846" t="s">
        <v>72</v>
      </c>
      <c r="B2846" t="s">
        <v>2902</v>
      </c>
      <c r="C2846">
        <v>35.779810777641899</v>
      </c>
      <c r="D2846">
        <v>29</v>
      </c>
      <c r="E2846">
        <v>787</v>
      </c>
      <c r="F2846">
        <v>25342.839973803799</v>
      </c>
      <c r="G2846" t="s">
        <v>26</v>
      </c>
      <c r="H2846">
        <v>14</v>
      </c>
      <c r="I2846">
        <v>18</v>
      </c>
      <c r="J2846">
        <v>55</v>
      </c>
      <c r="K2846">
        <v>7</v>
      </c>
      <c r="L2846" t="s">
        <v>36</v>
      </c>
      <c r="M2846">
        <v>9.6126590292254299</v>
      </c>
      <c r="N2846" t="s">
        <v>37</v>
      </c>
      <c r="O2846" t="s">
        <v>29</v>
      </c>
      <c r="P2846">
        <f>VLOOKUP(O2846, Coordinates!$A$2:$C$6, 2, FALSE)</f>
        <v>29.760400000000001</v>
      </c>
      <c r="Q2846">
        <f>VLOOKUP(O2846, Coordinates!$A$2:$C$6, 3, FALSE)</f>
        <v>-95.369799999999998</v>
      </c>
      <c r="R2846">
        <v>8</v>
      </c>
      <c r="S2846">
        <v>853</v>
      </c>
      <c r="T2846">
        <v>3</v>
      </c>
      <c r="U2846">
        <v>76.611138346130701</v>
      </c>
      <c r="V2846" t="s">
        <v>30</v>
      </c>
      <c r="W2846">
        <v>1.1395535861330699</v>
      </c>
      <c r="X2846" t="s">
        <v>52</v>
      </c>
      <c r="Y2846" t="s">
        <v>60</v>
      </c>
      <c r="Z2846">
        <v>504.03099841549601</v>
      </c>
    </row>
    <row r="2847" spans="1:26" x14ac:dyDescent="0.3">
      <c r="A2847" t="s">
        <v>72</v>
      </c>
      <c r="B2847" t="s">
        <v>2903</v>
      </c>
      <c r="C2847">
        <v>32.063128310256801</v>
      </c>
      <c r="D2847">
        <v>66</v>
      </c>
      <c r="E2847">
        <v>46</v>
      </c>
      <c r="F2847">
        <v>1327.4135120446299</v>
      </c>
      <c r="G2847" t="s">
        <v>48</v>
      </c>
      <c r="H2847">
        <v>36</v>
      </c>
      <c r="I2847">
        <v>29</v>
      </c>
      <c r="J2847">
        <v>68</v>
      </c>
      <c r="K2847">
        <v>2</v>
      </c>
      <c r="L2847" t="s">
        <v>36</v>
      </c>
      <c r="M2847">
        <v>11.0089237698957</v>
      </c>
      <c r="N2847" t="s">
        <v>57</v>
      </c>
      <c r="O2847" t="s">
        <v>38</v>
      </c>
      <c r="P2847">
        <f>VLOOKUP(O2847, Coordinates!$A$2:$C$6, 2, FALSE)</f>
        <v>25.761700000000001</v>
      </c>
      <c r="Q2847">
        <f>VLOOKUP(O2847, Coordinates!$A$2:$C$6, 3, FALSE)</f>
        <v>-80.191800000000001</v>
      </c>
      <c r="R2847">
        <v>7</v>
      </c>
      <c r="S2847">
        <v>609</v>
      </c>
      <c r="T2847">
        <v>12</v>
      </c>
      <c r="U2847">
        <v>94.674783823866093</v>
      </c>
      <c r="V2847" t="s">
        <v>30</v>
      </c>
      <c r="W2847">
        <v>3.0682773496934099</v>
      </c>
      <c r="X2847" t="s">
        <v>52</v>
      </c>
      <c r="Y2847" t="s">
        <v>32</v>
      </c>
      <c r="Z2847">
        <v>401.36815691782999</v>
      </c>
    </row>
    <row r="2848" spans="1:26" x14ac:dyDescent="0.3">
      <c r="A2848" t="s">
        <v>61</v>
      </c>
      <c r="B2848" t="s">
        <v>2904</v>
      </c>
      <c r="C2848">
        <v>34.336216158213396</v>
      </c>
      <c r="D2848">
        <v>16</v>
      </c>
      <c r="E2848">
        <v>97</v>
      </c>
      <c r="F2848">
        <v>9537.90541935908</v>
      </c>
      <c r="G2848" t="s">
        <v>35</v>
      </c>
      <c r="H2848">
        <v>14</v>
      </c>
      <c r="I2848">
        <v>6</v>
      </c>
      <c r="J2848">
        <v>47</v>
      </c>
      <c r="K2848">
        <v>10</v>
      </c>
      <c r="L2848" t="s">
        <v>27</v>
      </c>
      <c r="M2848">
        <v>1.73839541869152</v>
      </c>
      <c r="N2848" t="s">
        <v>51</v>
      </c>
      <c r="O2848" t="s">
        <v>29</v>
      </c>
      <c r="P2848">
        <f>VLOOKUP(O2848, Coordinates!$A$2:$C$6, 2, FALSE)</f>
        <v>29.760400000000001</v>
      </c>
      <c r="Q2848">
        <f>VLOOKUP(O2848, Coordinates!$A$2:$C$6, 3, FALSE)</f>
        <v>-95.369799999999998</v>
      </c>
      <c r="R2848">
        <v>7</v>
      </c>
      <c r="S2848">
        <v>761</v>
      </c>
      <c r="T2848">
        <v>27</v>
      </c>
      <c r="U2848">
        <v>51.053758612863902</v>
      </c>
      <c r="V2848" t="s">
        <v>55</v>
      </c>
      <c r="W2848">
        <v>1.27514401706105</v>
      </c>
      <c r="X2848" t="s">
        <v>46</v>
      </c>
      <c r="Y2848" t="s">
        <v>41</v>
      </c>
      <c r="Z2848">
        <v>934.81812071991999</v>
      </c>
    </row>
    <row r="2849" spans="1:26" x14ac:dyDescent="0.3">
      <c r="A2849" t="s">
        <v>24</v>
      </c>
      <c r="B2849" t="s">
        <v>2905</v>
      </c>
      <c r="C2849">
        <v>35.839372118600402</v>
      </c>
      <c r="D2849">
        <v>39</v>
      </c>
      <c r="E2849">
        <v>701</v>
      </c>
      <c r="F2849">
        <v>22611.0598696249</v>
      </c>
      <c r="G2849" t="s">
        <v>35</v>
      </c>
      <c r="H2849">
        <v>59</v>
      </c>
      <c r="I2849">
        <v>21</v>
      </c>
      <c r="J2849">
        <v>27</v>
      </c>
      <c r="K2849">
        <v>9</v>
      </c>
      <c r="L2849" t="s">
        <v>27</v>
      </c>
      <c r="M2849">
        <v>10.298531505233001</v>
      </c>
      <c r="N2849" t="s">
        <v>37</v>
      </c>
      <c r="O2849" t="s">
        <v>38</v>
      </c>
      <c r="P2849">
        <f>VLOOKUP(O2849, Coordinates!$A$2:$C$6, 2, FALSE)</f>
        <v>25.761700000000001</v>
      </c>
      <c r="Q2849">
        <f>VLOOKUP(O2849, Coordinates!$A$2:$C$6, 3, FALSE)</f>
        <v>-80.191800000000001</v>
      </c>
      <c r="R2849">
        <v>12</v>
      </c>
      <c r="S2849">
        <v>422</v>
      </c>
      <c r="T2849">
        <v>17</v>
      </c>
      <c r="U2849">
        <v>80.875415490040794</v>
      </c>
      <c r="V2849" t="s">
        <v>30</v>
      </c>
      <c r="W2849">
        <v>3.9494302596795499</v>
      </c>
      <c r="X2849" t="s">
        <v>40</v>
      </c>
      <c r="Y2849" t="s">
        <v>32</v>
      </c>
      <c r="Z2849">
        <v>800.13640640000006</v>
      </c>
    </row>
    <row r="2850" spans="1:26" x14ac:dyDescent="0.3">
      <c r="A2850" t="s">
        <v>33</v>
      </c>
      <c r="B2850" t="s">
        <v>2906</v>
      </c>
      <c r="C2850">
        <v>30.269780843802501</v>
      </c>
      <c r="D2850">
        <v>77</v>
      </c>
      <c r="E2850">
        <v>731</v>
      </c>
      <c r="F2850">
        <v>8892.2703868376193</v>
      </c>
      <c r="G2850" t="s">
        <v>35</v>
      </c>
      <c r="H2850">
        <v>95</v>
      </c>
      <c r="I2850">
        <v>18</v>
      </c>
      <c r="J2850">
        <v>21</v>
      </c>
      <c r="K2850">
        <v>4</v>
      </c>
      <c r="L2850" t="s">
        <v>44</v>
      </c>
      <c r="M2850">
        <v>1.7933423242880699</v>
      </c>
      <c r="N2850" t="s">
        <v>28</v>
      </c>
      <c r="O2850" t="s">
        <v>38</v>
      </c>
      <c r="P2850">
        <f>VLOOKUP(O2850, Coordinates!$A$2:$C$6, 2, FALSE)</f>
        <v>25.761700000000001</v>
      </c>
      <c r="Q2850">
        <f>VLOOKUP(O2850, Coordinates!$A$2:$C$6, 3, FALSE)</f>
        <v>-80.191800000000001</v>
      </c>
      <c r="R2850">
        <v>29</v>
      </c>
      <c r="S2850">
        <v>277</v>
      </c>
      <c r="T2850">
        <v>22</v>
      </c>
      <c r="U2850">
        <v>91.272526641483395</v>
      </c>
      <c r="V2850" t="s">
        <v>30</v>
      </c>
      <c r="W2850">
        <v>0.76904851241456995</v>
      </c>
      <c r="X2850" t="s">
        <v>46</v>
      </c>
      <c r="Y2850" t="s">
        <v>60</v>
      </c>
      <c r="Z2850">
        <v>297.33287366235601</v>
      </c>
    </row>
    <row r="2851" spans="1:26" x14ac:dyDescent="0.3">
      <c r="A2851" t="s">
        <v>61</v>
      </c>
      <c r="B2851" t="s">
        <v>2907</v>
      </c>
      <c r="C2851">
        <v>36.614182551275498</v>
      </c>
      <c r="D2851">
        <v>37</v>
      </c>
      <c r="E2851">
        <v>511</v>
      </c>
      <c r="F2851">
        <v>7084.5040451192699</v>
      </c>
      <c r="G2851" t="s">
        <v>54</v>
      </c>
      <c r="H2851">
        <v>84</v>
      </c>
      <c r="I2851">
        <v>28</v>
      </c>
      <c r="J2851">
        <v>63</v>
      </c>
      <c r="K2851">
        <v>10</v>
      </c>
      <c r="L2851" t="s">
        <v>36</v>
      </c>
      <c r="M2851">
        <v>1.3945969350308101</v>
      </c>
      <c r="N2851" t="s">
        <v>28</v>
      </c>
      <c r="O2851" t="s">
        <v>38</v>
      </c>
      <c r="P2851">
        <f>VLOOKUP(O2851, Coordinates!$A$2:$C$6, 2, FALSE)</f>
        <v>25.761700000000001</v>
      </c>
      <c r="Q2851">
        <f>VLOOKUP(O2851, Coordinates!$A$2:$C$6, 3, FALSE)</f>
        <v>-80.191800000000001</v>
      </c>
      <c r="R2851">
        <v>7</v>
      </c>
      <c r="S2851">
        <v>787</v>
      </c>
      <c r="T2851">
        <v>22</v>
      </c>
      <c r="U2851">
        <v>14.567706201112999</v>
      </c>
      <c r="V2851" t="s">
        <v>30</v>
      </c>
      <c r="W2851">
        <v>3.3445299934363799</v>
      </c>
      <c r="X2851" t="s">
        <v>46</v>
      </c>
      <c r="Y2851" t="s">
        <v>32</v>
      </c>
      <c r="Z2851">
        <v>687.10279304501898</v>
      </c>
    </row>
    <row r="2852" spans="1:26" x14ac:dyDescent="0.3">
      <c r="A2852" t="s">
        <v>72</v>
      </c>
      <c r="B2852" t="s">
        <v>2908</v>
      </c>
      <c r="C2852">
        <v>24.572360851048501</v>
      </c>
      <c r="D2852">
        <v>81</v>
      </c>
      <c r="E2852">
        <v>533</v>
      </c>
      <c r="F2852">
        <v>11787.3615002479</v>
      </c>
      <c r="G2852" t="s">
        <v>48</v>
      </c>
      <c r="H2852">
        <v>63</v>
      </c>
      <c r="I2852">
        <v>10</v>
      </c>
      <c r="J2852">
        <v>100</v>
      </c>
      <c r="K2852">
        <v>10</v>
      </c>
      <c r="L2852" t="s">
        <v>27</v>
      </c>
      <c r="M2852">
        <v>3.1337683627470798</v>
      </c>
      <c r="N2852" t="s">
        <v>45</v>
      </c>
      <c r="O2852" t="s">
        <v>38</v>
      </c>
      <c r="P2852">
        <f>VLOOKUP(O2852, Coordinates!$A$2:$C$6, 2, FALSE)</f>
        <v>25.761700000000001</v>
      </c>
      <c r="Q2852">
        <f>VLOOKUP(O2852, Coordinates!$A$2:$C$6, 3, FALSE)</f>
        <v>-80.191800000000001</v>
      </c>
      <c r="R2852">
        <v>30</v>
      </c>
      <c r="S2852">
        <v>203</v>
      </c>
      <c r="T2852">
        <v>7</v>
      </c>
      <c r="U2852">
        <v>80.447589260564897</v>
      </c>
      <c r="V2852" t="s">
        <v>55</v>
      </c>
      <c r="W2852">
        <v>4.5648970691492297</v>
      </c>
      <c r="X2852" t="s">
        <v>31</v>
      </c>
      <c r="Y2852" t="s">
        <v>60</v>
      </c>
      <c r="Z2852">
        <v>840.05784232904398</v>
      </c>
    </row>
    <row r="2853" spans="1:26" x14ac:dyDescent="0.3">
      <c r="A2853" t="s">
        <v>82</v>
      </c>
      <c r="B2853" t="s">
        <v>2909</v>
      </c>
      <c r="C2853">
        <v>72.166452955896105</v>
      </c>
      <c r="D2853">
        <v>21</v>
      </c>
      <c r="E2853">
        <v>960</v>
      </c>
      <c r="F2853">
        <v>5614.1926509593004</v>
      </c>
      <c r="G2853" t="s">
        <v>48</v>
      </c>
      <c r="H2853">
        <v>80</v>
      </c>
      <c r="I2853">
        <v>15</v>
      </c>
      <c r="J2853">
        <v>56</v>
      </c>
      <c r="K2853">
        <v>1</v>
      </c>
      <c r="L2853" t="s">
        <v>44</v>
      </c>
      <c r="M2853">
        <v>10.1510168009619</v>
      </c>
      <c r="N2853" t="s">
        <v>37</v>
      </c>
      <c r="O2853" t="s">
        <v>67</v>
      </c>
      <c r="P2853">
        <f>VLOOKUP(O2853, Coordinates!$A$2:$C$6, 2, FALSE)</f>
        <v>40.712800000000001</v>
      </c>
      <c r="Q2853">
        <f>VLOOKUP(O2853, Coordinates!$A$2:$C$6, 3, FALSE)</f>
        <v>-74.006</v>
      </c>
      <c r="R2853">
        <v>27</v>
      </c>
      <c r="S2853">
        <v>218</v>
      </c>
      <c r="T2853">
        <v>7</v>
      </c>
      <c r="U2853">
        <v>64.380645653456696</v>
      </c>
      <c r="V2853" t="s">
        <v>30</v>
      </c>
      <c r="W2853">
        <v>0.18091028767634201</v>
      </c>
      <c r="X2853" t="s">
        <v>31</v>
      </c>
      <c r="Y2853" t="s">
        <v>32</v>
      </c>
      <c r="Z2853">
        <v>990.405608967327</v>
      </c>
    </row>
    <row r="2854" spans="1:26" x14ac:dyDescent="0.3">
      <c r="A2854" t="s">
        <v>49</v>
      </c>
      <c r="B2854" t="s">
        <v>2910</v>
      </c>
      <c r="C2854">
        <v>67.9439521851845</v>
      </c>
      <c r="D2854">
        <v>44</v>
      </c>
      <c r="E2854">
        <v>269</v>
      </c>
      <c r="F2854">
        <v>7081.7208431245899</v>
      </c>
      <c r="H2854">
        <v>97</v>
      </c>
      <c r="I2854">
        <v>30</v>
      </c>
      <c r="J2854">
        <v>10</v>
      </c>
      <c r="K2854">
        <v>8</v>
      </c>
      <c r="L2854" t="s">
        <v>27</v>
      </c>
      <c r="M2854">
        <v>1.7395002003823901</v>
      </c>
      <c r="N2854" t="s">
        <v>57</v>
      </c>
      <c r="O2854" t="s">
        <v>58</v>
      </c>
      <c r="P2854">
        <f>VLOOKUP(O2854, Coordinates!$A$2:$C$6, 2, FALSE)</f>
        <v>34.052199999999999</v>
      </c>
      <c r="Q2854">
        <f>VLOOKUP(O2854, Coordinates!$A$2:$C$6, 3, FALSE)</f>
        <v>-118.2437</v>
      </c>
      <c r="R2854">
        <v>16</v>
      </c>
      <c r="S2854">
        <v>811</v>
      </c>
      <c r="T2854">
        <v>26</v>
      </c>
      <c r="U2854">
        <v>15.9423334767502</v>
      </c>
      <c r="V2854" t="s">
        <v>39</v>
      </c>
      <c r="W2854">
        <v>0.618523221054465</v>
      </c>
      <c r="X2854" t="s">
        <v>40</v>
      </c>
      <c r="Y2854" t="s">
        <v>32</v>
      </c>
      <c r="Z2854">
        <v>728.582494733815</v>
      </c>
    </row>
    <row r="2855" spans="1:26" x14ac:dyDescent="0.3">
      <c r="A2855" t="s">
        <v>61</v>
      </c>
      <c r="B2855" t="s">
        <v>2911</v>
      </c>
      <c r="C2855">
        <v>81.733192898240503</v>
      </c>
      <c r="D2855">
        <v>19</v>
      </c>
      <c r="E2855">
        <v>630</v>
      </c>
      <c r="F2855">
        <v>9642.2709268129292</v>
      </c>
      <c r="G2855" t="s">
        <v>26</v>
      </c>
      <c r="H2855">
        <v>95</v>
      </c>
      <c r="I2855">
        <v>24</v>
      </c>
      <c r="J2855">
        <v>24</v>
      </c>
      <c r="K2855">
        <v>4</v>
      </c>
      <c r="L2855" t="s">
        <v>27</v>
      </c>
      <c r="M2855">
        <v>1.2925469708780299</v>
      </c>
      <c r="N2855" t="s">
        <v>28</v>
      </c>
      <c r="O2855" t="s">
        <v>38</v>
      </c>
      <c r="P2855">
        <f>VLOOKUP(O2855, Coordinates!$A$2:$C$6, 2, FALSE)</f>
        <v>25.761700000000001</v>
      </c>
      <c r="Q2855">
        <f>VLOOKUP(O2855, Coordinates!$A$2:$C$6, 3, FALSE)</f>
        <v>-80.191800000000001</v>
      </c>
      <c r="R2855">
        <v>27</v>
      </c>
      <c r="S2855">
        <v>681</v>
      </c>
      <c r="T2855">
        <v>11</v>
      </c>
      <c r="U2855">
        <v>75.930779338380205</v>
      </c>
      <c r="V2855" t="s">
        <v>55</v>
      </c>
      <c r="W2855">
        <v>3.2744956909999998</v>
      </c>
      <c r="X2855" t="s">
        <v>31</v>
      </c>
      <c r="Y2855" t="s">
        <v>32</v>
      </c>
      <c r="Z2855">
        <v>721.62185353966697</v>
      </c>
    </row>
    <row r="2856" spans="1:26" x14ac:dyDescent="0.3">
      <c r="A2856" t="s">
        <v>24</v>
      </c>
      <c r="B2856" t="s">
        <v>2912</v>
      </c>
      <c r="C2856">
        <v>26.6222875290558</v>
      </c>
      <c r="D2856">
        <v>71</v>
      </c>
      <c r="E2856">
        <v>296</v>
      </c>
      <c r="F2856">
        <v>7092.17739774048</v>
      </c>
      <c r="G2856" t="s">
        <v>35</v>
      </c>
      <c r="H2856">
        <v>51</v>
      </c>
      <c r="I2856">
        <v>22</v>
      </c>
      <c r="J2856">
        <v>100</v>
      </c>
      <c r="K2856">
        <v>7</v>
      </c>
      <c r="L2856" t="s">
        <v>36</v>
      </c>
      <c r="M2856">
        <v>2.6514331588657498</v>
      </c>
      <c r="N2856" t="s">
        <v>57</v>
      </c>
      <c r="O2856" t="s">
        <v>65</v>
      </c>
      <c r="P2856">
        <f>VLOOKUP(O2856, Coordinates!$A$2:$C$6, 2, FALSE)</f>
        <v>41.878100000000003</v>
      </c>
      <c r="Q2856">
        <f>VLOOKUP(O2856, Coordinates!$A$2:$C$6, 3, FALSE)</f>
        <v>-87.629800000000003</v>
      </c>
      <c r="R2856">
        <v>7</v>
      </c>
      <c r="S2856">
        <v>156</v>
      </c>
      <c r="T2856">
        <v>16</v>
      </c>
      <c r="U2856">
        <v>83.398610516169995</v>
      </c>
      <c r="V2856" t="s">
        <v>30</v>
      </c>
      <c r="W2856">
        <v>1.1995715161099101</v>
      </c>
      <c r="X2856" t="s">
        <v>46</v>
      </c>
      <c r="Y2856" t="s">
        <v>41</v>
      </c>
      <c r="Z2856">
        <v>651.96279514503897</v>
      </c>
    </row>
    <row r="2857" spans="1:26" x14ac:dyDescent="0.3">
      <c r="A2857" t="s">
        <v>72</v>
      </c>
      <c r="B2857" t="s">
        <v>2913</v>
      </c>
      <c r="C2857">
        <v>22.032462524015401</v>
      </c>
      <c r="D2857">
        <v>8</v>
      </c>
      <c r="E2857">
        <v>973</v>
      </c>
      <c r="F2857">
        <v>19293.827432280199</v>
      </c>
      <c r="G2857" t="s">
        <v>54</v>
      </c>
      <c r="H2857">
        <v>22</v>
      </c>
      <c r="I2857">
        <v>11</v>
      </c>
      <c r="J2857">
        <v>89</v>
      </c>
      <c r="K2857">
        <v>3</v>
      </c>
      <c r="L2857" t="s">
        <v>44</v>
      </c>
      <c r="M2857">
        <v>14.296093869947899</v>
      </c>
      <c r="N2857" t="s">
        <v>57</v>
      </c>
      <c r="O2857" t="s">
        <v>38</v>
      </c>
      <c r="P2857">
        <f>VLOOKUP(O2857, Coordinates!$A$2:$C$6, 2, FALSE)</f>
        <v>25.761700000000001</v>
      </c>
      <c r="Q2857">
        <f>VLOOKUP(O2857, Coordinates!$A$2:$C$6, 3, FALSE)</f>
        <v>-80.191800000000001</v>
      </c>
      <c r="R2857">
        <v>8</v>
      </c>
      <c r="S2857">
        <v>508</v>
      </c>
      <c r="T2857">
        <v>4</v>
      </c>
      <c r="U2857">
        <v>83.296434836506506</v>
      </c>
      <c r="V2857" t="s">
        <v>30</v>
      </c>
      <c r="W2857">
        <v>3.1551768629233501</v>
      </c>
      <c r="X2857" t="s">
        <v>46</v>
      </c>
      <c r="Y2857" t="s">
        <v>32</v>
      </c>
      <c r="Z2857">
        <v>136.00235021044199</v>
      </c>
    </row>
    <row r="2858" spans="1:26" x14ac:dyDescent="0.3">
      <c r="A2858" t="s">
        <v>33</v>
      </c>
      <c r="B2858" t="s">
        <v>2914</v>
      </c>
      <c r="C2858">
        <v>6.7998133205636799</v>
      </c>
      <c r="D2858">
        <v>77</v>
      </c>
      <c r="E2858">
        <v>468</v>
      </c>
      <c r="F2858">
        <v>9316.7002476484195</v>
      </c>
      <c r="G2858" t="s">
        <v>35</v>
      </c>
      <c r="H2858">
        <v>98</v>
      </c>
      <c r="I2858">
        <v>26</v>
      </c>
      <c r="J2858">
        <v>30</v>
      </c>
      <c r="K2858">
        <v>9</v>
      </c>
      <c r="L2858" t="s">
        <v>27</v>
      </c>
      <c r="M2858">
        <v>13.701888498981001</v>
      </c>
      <c r="N2858" t="s">
        <v>51</v>
      </c>
      <c r="O2858" t="s">
        <v>29</v>
      </c>
      <c r="P2858">
        <f>VLOOKUP(O2858, Coordinates!$A$2:$C$6, 2, FALSE)</f>
        <v>29.760400000000001</v>
      </c>
      <c r="Q2858">
        <f>VLOOKUP(O2858, Coordinates!$A$2:$C$6, 3, FALSE)</f>
        <v>-95.369799999999998</v>
      </c>
      <c r="R2858">
        <v>1</v>
      </c>
      <c r="S2858">
        <v>677</v>
      </c>
      <c r="T2858">
        <v>16</v>
      </c>
      <c r="U2858">
        <v>84.423248734156203</v>
      </c>
      <c r="V2858" t="s">
        <v>30</v>
      </c>
      <c r="W2858">
        <v>2.0741108300064299</v>
      </c>
      <c r="X2858" t="s">
        <v>31</v>
      </c>
      <c r="Y2858" t="s">
        <v>32</v>
      </c>
      <c r="Z2858">
        <v>626.55081925416903</v>
      </c>
    </row>
    <row r="2859" spans="1:26" x14ac:dyDescent="0.3">
      <c r="A2859" t="s">
        <v>72</v>
      </c>
      <c r="B2859" t="s">
        <v>2915</v>
      </c>
      <c r="C2859">
        <v>39.696288639880102</v>
      </c>
      <c r="D2859">
        <v>66</v>
      </c>
      <c r="E2859">
        <v>808</v>
      </c>
      <c r="F2859">
        <v>28867.141098920802</v>
      </c>
      <c r="G2859" t="s">
        <v>48</v>
      </c>
      <c r="H2859">
        <v>36</v>
      </c>
      <c r="I2859">
        <v>28</v>
      </c>
      <c r="J2859">
        <v>10</v>
      </c>
      <c r="K2859">
        <v>5</v>
      </c>
      <c r="L2859" t="s">
        <v>44</v>
      </c>
      <c r="M2859">
        <v>2.2105236513951501</v>
      </c>
      <c r="N2859" t="s">
        <v>57</v>
      </c>
      <c r="O2859" t="s">
        <v>38</v>
      </c>
      <c r="P2859">
        <f>VLOOKUP(O2859, Coordinates!$A$2:$C$6, 2, FALSE)</f>
        <v>25.761700000000001</v>
      </c>
      <c r="Q2859">
        <f>VLOOKUP(O2859, Coordinates!$A$2:$C$6, 3, FALSE)</f>
        <v>-80.191800000000001</v>
      </c>
      <c r="R2859">
        <v>13</v>
      </c>
      <c r="S2859">
        <v>157</v>
      </c>
      <c r="T2859">
        <v>5</v>
      </c>
      <c r="U2859">
        <v>83.676551066009296</v>
      </c>
      <c r="V2859" t="s">
        <v>30</v>
      </c>
      <c r="W2859">
        <v>3.4635673193812302</v>
      </c>
      <c r="X2859" t="s">
        <v>31</v>
      </c>
      <c r="Y2859" t="s">
        <v>41</v>
      </c>
      <c r="Z2859">
        <v>824.54289029071504</v>
      </c>
    </row>
    <row r="2860" spans="1:26" x14ac:dyDescent="0.3">
      <c r="A2860" t="s">
        <v>33</v>
      </c>
      <c r="B2860" t="s">
        <v>2916</v>
      </c>
      <c r="C2860">
        <v>24.79795949</v>
      </c>
      <c r="D2860">
        <v>41</v>
      </c>
      <c r="E2860">
        <v>564</v>
      </c>
      <c r="F2860">
        <v>9381.3996470000002</v>
      </c>
      <c r="G2860" t="s">
        <v>35</v>
      </c>
      <c r="H2860">
        <v>40</v>
      </c>
      <c r="I2860">
        <v>27</v>
      </c>
      <c r="J2860">
        <v>76</v>
      </c>
      <c r="K2860">
        <v>5</v>
      </c>
      <c r="L2860" t="s">
        <v>44</v>
      </c>
      <c r="M2860">
        <v>5.2561845692318796</v>
      </c>
      <c r="N2860" t="s">
        <v>45</v>
      </c>
      <c r="O2860" t="s">
        <v>38</v>
      </c>
      <c r="P2860">
        <f>VLOOKUP(O2860, Coordinates!$A$2:$C$6, 2, FALSE)</f>
        <v>25.761700000000001</v>
      </c>
      <c r="Q2860">
        <f>VLOOKUP(O2860, Coordinates!$A$2:$C$6, 3, FALSE)</f>
        <v>-80.191800000000001</v>
      </c>
      <c r="R2860">
        <v>28</v>
      </c>
      <c r="S2860">
        <v>216</v>
      </c>
      <c r="T2860">
        <v>19</v>
      </c>
      <c r="U2860">
        <v>53.603729464193798</v>
      </c>
      <c r="V2860" t="s">
        <v>55</v>
      </c>
      <c r="W2860">
        <v>3.5488680216937998</v>
      </c>
      <c r="X2860" t="s">
        <v>52</v>
      </c>
      <c r="Y2860" t="s">
        <v>32</v>
      </c>
      <c r="Z2860">
        <v>455.87659974168997</v>
      </c>
    </row>
    <row r="2861" spans="1:26" x14ac:dyDescent="0.3">
      <c r="A2861" t="s">
        <v>61</v>
      </c>
      <c r="B2861" t="s">
        <v>2917</v>
      </c>
      <c r="C2861">
        <v>17.628164057258299</v>
      </c>
      <c r="D2861">
        <v>75</v>
      </c>
      <c r="E2861">
        <v>823</v>
      </c>
      <c r="F2861">
        <v>4580.9072872963097</v>
      </c>
      <c r="G2861" t="s">
        <v>26</v>
      </c>
      <c r="H2861">
        <v>100</v>
      </c>
      <c r="I2861">
        <v>19</v>
      </c>
      <c r="J2861">
        <v>21</v>
      </c>
      <c r="K2861">
        <v>3</v>
      </c>
      <c r="L2861" t="s">
        <v>36</v>
      </c>
      <c r="M2861">
        <v>14.262094146661701</v>
      </c>
      <c r="N2861" t="s">
        <v>37</v>
      </c>
      <c r="O2861" t="s">
        <v>67</v>
      </c>
      <c r="P2861">
        <f>VLOOKUP(O2861, Coordinates!$A$2:$C$6, 2, FALSE)</f>
        <v>40.712800000000001</v>
      </c>
      <c r="Q2861">
        <f>VLOOKUP(O2861, Coordinates!$A$2:$C$6, 3, FALSE)</f>
        <v>-74.006</v>
      </c>
      <c r="R2861">
        <v>1</v>
      </c>
      <c r="S2861">
        <v>524</v>
      </c>
      <c r="T2861">
        <v>22</v>
      </c>
      <c r="U2861">
        <v>33.468470179120999</v>
      </c>
      <c r="V2861" t="s">
        <v>30</v>
      </c>
      <c r="W2861">
        <v>1.54273548580585</v>
      </c>
      <c r="X2861" t="s">
        <v>46</v>
      </c>
      <c r="Y2861" t="s">
        <v>41</v>
      </c>
      <c r="Z2861">
        <v>628.28132419999997</v>
      </c>
    </row>
    <row r="2862" spans="1:26" x14ac:dyDescent="0.3">
      <c r="A2862" t="s">
        <v>33</v>
      </c>
      <c r="B2862" t="s">
        <v>2918</v>
      </c>
      <c r="D2862">
        <v>88</v>
      </c>
      <c r="E2862">
        <v>101</v>
      </c>
      <c r="F2862">
        <v>9577.1455843639797</v>
      </c>
      <c r="G2862" t="s">
        <v>48</v>
      </c>
      <c r="H2862">
        <v>56</v>
      </c>
      <c r="I2862">
        <v>25</v>
      </c>
      <c r="J2862">
        <v>37</v>
      </c>
      <c r="K2862">
        <v>9</v>
      </c>
      <c r="L2862" t="s">
        <v>44</v>
      </c>
      <c r="M2862">
        <v>2.3676274283910099</v>
      </c>
      <c r="N2862" t="s">
        <v>37</v>
      </c>
      <c r="O2862" t="s">
        <v>29</v>
      </c>
      <c r="P2862">
        <f>VLOOKUP(O2862, Coordinates!$A$2:$C$6, 2, FALSE)</f>
        <v>29.760400000000001</v>
      </c>
      <c r="Q2862">
        <f>VLOOKUP(O2862, Coordinates!$A$2:$C$6, 3, FALSE)</f>
        <v>-95.369799999999998</v>
      </c>
      <c r="R2862">
        <v>24</v>
      </c>
      <c r="S2862">
        <v>918</v>
      </c>
      <c r="T2862">
        <v>29</v>
      </c>
      <c r="U2862">
        <v>28.136211717010099</v>
      </c>
      <c r="V2862" t="s">
        <v>55</v>
      </c>
      <c r="W2862">
        <v>0.729095899288009</v>
      </c>
      <c r="X2862" t="s">
        <v>40</v>
      </c>
      <c r="Y2862" t="s">
        <v>41</v>
      </c>
      <c r="Z2862">
        <v>933.83939310753999</v>
      </c>
    </row>
    <row r="2863" spans="1:26" x14ac:dyDescent="0.3">
      <c r="A2863" t="s">
        <v>42</v>
      </c>
      <c r="B2863" t="s">
        <v>2919</v>
      </c>
      <c r="C2863">
        <v>35.375603563730998</v>
      </c>
      <c r="D2863">
        <v>70</v>
      </c>
      <c r="E2863">
        <v>891</v>
      </c>
      <c r="F2863">
        <v>7325.04589449377</v>
      </c>
      <c r="G2863" t="s">
        <v>26</v>
      </c>
      <c r="H2863">
        <v>96</v>
      </c>
      <c r="I2863">
        <v>13</v>
      </c>
      <c r="J2863">
        <v>48</v>
      </c>
      <c r="K2863">
        <v>3</v>
      </c>
      <c r="L2863" t="s">
        <v>36</v>
      </c>
      <c r="M2863">
        <v>2.3243437477344702</v>
      </c>
      <c r="N2863" t="s">
        <v>51</v>
      </c>
      <c r="O2863" t="s">
        <v>29</v>
      </c>
      <c r="P2863">
        <f>VLOOKUP(O2863, Coordinates!$A$2:$C$6, 2, FALSE)</f>
        <v>29.760400000000001</v>
      </c>
      <c r="Q2863">
        <f>VLOOKUP(O2863, Coordinates!$A$2:$C$6, 3, FALSE)</f>
        <v>-95.369799999999998</v>
      </c>
      <c r="R2863">
        <v>18</v>
      </c>
      <c r="S2863">
        <v>120</v>
      </c>
      <c r="T2863">
        <v>14</v>
      </c>
      <c r="U2863">
        <v>10.0535282238391</v>
      </c>
      <c r="V2863" t="s">
        <v>30</v>
      </c>
      <c r="W2863">
        <v>1.7054912621064</v>
      </c>
      <c r="X2863" t="s">
        <v>31</v>
      </c>
      <c r="Y2863" t="s">
        <v>41</v>
      </c>
      <c r="Z2863">
        <v>254.83069513467899</v>
      </c>
    </row>
    <row r="2864" spans="1:26" x14ac:dyDescent="0.3">
      <c r="A2864" t="s">
        <v>42</v>
      </c>
      <c r="B2864" t="s">
        <v>2920</v>
      </c>
      <c r="C2864">
        <v>10.4261305201921</v>
      </c>
      <c r="D2864">
        <v>61</v>
      </c>
      <c r="E2864">
        <v>99</v>
      </c>
      <c r="F2864">
        <v>1378.0519067693001</v>
      </c>
      <c r="G2864" t="s">
        <v>35</v>
      </c>
      <c r="H2864">
        <v>24</v>
      </c>
      <c r="I2864">
        <v>27</v>
      </c>
      <c r="J2864">
        <v>46</v>
      </c>
      <c r="K2864">
        <v>2</v>
      </c>
      <c r="L2864" t="s">
        <v>36</v>
      </c>
      <c r="M2864">
        <v>2.2040545682862001</v>
      </c>
      <c r="N2864" t="s">
        <v>45</v>
      </c>
      <c r="O2864" t="s">
        <v>38</v>
      </c>
      <c r="P2864">
        <f>VLOOKUP(O2864, Coordinates!$A$2:$C$6, 2, FALSE)</f>
        <v>25.761700000000001</v>
      </c>
      <c r="Q2864">
        <f>VLOOKUP(O2864, Coordinates!$A$2:$C$6, 3, FALSE)</f>
        <v>-80.191800000000001</v>
      </c>
      <c r="R2864">
        <v>25</v>
      </c>
      <c r="S2864">
        <v>178</v>
      </c>
      <c r="T2864">
        <v>7</v>
      </c>
      <c r="U2864">
        <v>96.726836087185305</v>
      </c>
      <c r="V2864" t="s">
        <v>55</v>
      </c>
      <c r="W2864">
        <v>4.8796307649999999</v>
      </c>
      <c r="X2864" t="s">
        <v>31</v>
      </c>
      <c r="Y2864" t="s">
        <v>32</v>
      </c>
      <c r="Z2864">
        <v>352.42818990000001</v>
      </c>
    </row>
    <row r="2865" spans="1:26" x14ac:dyDescent="0.3">
      <c r="A2865" t="s">
        <v>42</v>
      </c>
      <c r="B2865" t="s">
        <v>2921</v>
      </c>
      <c r="C2865">
        <v>18.074824767844301</v>
      </c>
      <c r="D2865">
        <v>26</v>
      </c>
      <c r="E2865">
        <v>330</v>
      </c>
      <c r="F2865">
        <v>9161.8554863714708</v>
      </c>
      <c r="G2865" t="s">
        <v>48</v>
      </c>
      <c r="H2865">
        <v>36</v>
      </c>
      <c r="I2865">
        <v>27</v>
      </c>
      <c r="J2865">
        <v>69</v>
      </c>
      <c r="K2865">
        <v>9</v>
      </c>
      <c r="L2865" t="s">
        <v>36</v>
      </c>
      <c r="M2865">
        <v>14.6706673473814</v>
      </c>
      <c r="N2865" t="s">
        <v>45</v>
      </c>
      <c r="O2865" t="s">
        <v>38</v>
      </c>
      <c r="P2865">
        <f>VLOOKUP(O2865, Coordinates!$A$2:$C$6, 2, FALSE)</f>
        <v>25.761700000000001</v>
      </c>
      <c r="Q2865">
        <f>VLOOKUP(O2865, Coordinates!$A$2:$C$6, 3, FALSE)</f>
        <v>-80.191800000000001</v>
      </c>
      <c r="R2865">
        <v>25</v>
      </c>
      <c r="S2865">
        <v>923</v>
      </c>
      <c r="T2865">
        <v>9</v>
      </c>
      <c r="U2865">
        <v>49.683562239668298</v>
      </c>
      <c r="V2865" t="s">
        <v>39</v>
      </c>
      <c r="W2865">
        <v>4.8545139080000004</v>
      </c>
      <c r="X2865" t="s">
        <v>52</v>
      </c>
      <c r="Y2865" t="s">
        <v>60</v>
      </c>
      <c r="Z2865">
        <v>199.285770490413</v>
      </c>
    </row>
    <row r="2866" spans="1:26" x14ac:dyDescent="0.3">
      <c r="A2866" t="s">
        <v>24</v>
      </c>
      <c r="B2866" t="s">
        <v>2922</v>
      </c>
      <c r="C2866">
        <v>36.179805123723703</v>
      </c>
      <c r="D2866">
        <v>71</v>
      </c>
      <c r="E2866">
        <v>78</v>
      </c>
      <c r="F2866">
        <v>2539.8223196854101</v>
      </c>
      <c r="H2866">
        <v>39</v>
      </c>
      <c r="I2866">
        <v>30</v>
      </c>
      <c r="J2866">
        <v>40</v>
      </c>
      <c r="K2866">
        <v>9</v>
      </c>
      <c r="L2866" t="s">
        <v>44</v>
      </c>
      <c r="M2866">
        <v>11.403519185954</v>
      </c>
      <c r="N2866" t="s">
        <v>37</v>
      </c>
      <c r="O2866" t="s">
        <v>29</v>
      </c>
      <c r="P2866">
        <f>VLOOKUP(O2866, Coordinates!$A$2:$C$6, 2, FALSE)</f>
        <v>29.760400000000001</v>
      </c>
      <c r="Q2866">
        <f>VLOOKUP(O2866, Coordinates!$A$2:$C$6, 3, FALSE)</f>
        <v>-95.369799999999998</v>
      </c>
      <c r="R2866">
        <v>27</v>
      </c>
      <c r="S2866">
        <v>965</v>
      </c>
      <c r="T2866">
        <v>25</v>
      </c>
      <c r="U2866">
        <v>93.132599372258795</v>
      </c>
      <c r="V2866" t="s">
        <v>30</v>
      </c>
      <c r="W2866">
        <v>0.80169837419995205</v>
      </c>
      <c r="X2866" t="s">
        <v>52</v>
      </c>
      <c r="Y2866" t="s">
        <v>32</v>
      </c>
      <c r="Z2866">
        <v>550.22014376528205</v>
      </c>
    </row>
    <row r="2867" spans="1:26" x14ac:dyDescent="0.3">
      <c r="A2867" t="s">
        <v>24</v>
      </c>
      <c r="B2867" t="s">
        <v>2923</v>
      </c>
      <c r="C2867">
        <v>34.315761019419199</v>
      </c>
      <c r="D2867">
        <v>83</v>
      </c>
      <c r="E2867">
        <v>340</v>
      </c>
      <c r="F2867">
        <v>10500.6228719422</v>
      </c>
      <c r="G2867" t="s">
        <v>48</v>
      </c>
      <c r="H2867">
        <v>84</v>
      </c>
      <c r="I2867">
        <v>20</v>
      </c>
      <c r="J2867">
        <v>67</v>
      </c>
      <c r="K2867">
        <v>10</v>
      </c>
      <c r="L2867" t="s">
        <v>27</v>
      </c>
      <c r="M2867">
        <v>4.0027811430301696</v>
      </c>
      <c r="N2867" t="s">
        <v>45</v>
      </c>
      <c r="O2867" t="s">
        <v>38</v>
      </c>
      <c r="P2867">
        <f>VLOOKUP(O2867, Coordinates!$A$2:$C$6, 2, FALSE)</f>
        <v>25.761700000000001</v>
      </c>
      <c r="Q2867">
        <f>VLOOKUP(O2867, Coordinates!$A$2:$C$6, 3, FALSE)</f>
        <v>-80.191800000000001</v>
      </c>
      <c r="R2867">
        <v>25</v>
      </c>
      <c r="S2867">
        <v>658</v>
      </c>
      <c r="T2867">
        <v>28</v>
      </c>
      <c r="U2867">
        <v>76.204727886585204</v>
      </c>
      <c r="V2867" t="s">
        <v>39</v>
      </c>
      <c r="W2867">
        <v>4.9240839382710702</v>
      </c>
      <c r="X2867" t="s">
        <v>31</v>
      </c>
      <c r="Y2867" t="s">
        <v>60</v>
      </c>
      <c r="Z2867">
        <v>855.68445281364802</v>
      </c>
    </row>
    <row r="2868" spans="1:26" x14ac:dyDescent="0.3">
      <c r="A2868" t="s">
        <v>82</v>
      </c>
      <c r="B2868" t="s">
        <v>2924</v>
      </c>
      <c r="C2868">
        <v>7.3387084649176604</v>
      </c>
      <c r="D2868">
        <v>70</v>
      </c>
      <c r="E2868">
        <v>72</v>
      </c>
      <c r="F2868">
        <v>6098.1994538167</v>
      </c>
      <c r="G2868" t="s">
        <v>26</v>
      </c>
      <c r="H2868">
        <v>45</v>
      </c>
      <c r="I2868">
        <v>3</v>
      </c>
      <c r="J2868">
        <v>20</v>
      </c>
      <c r="K2868">
        <v>4</v>
      </c>
      <c r="L2868" t="s">
        <v>36</v>
      </c>
      <c r="M2868">
        <v>1.64326165815104</v>
      </c>
      <c r="N2868" t="s">
        <v>28</v>
      </c>
      <c r="O2868" t="s">
        <v>58</v>
      </c>
      <c r="P2868">
        <f>VLOOKUP(O2868, Coordinates!$A$2:$C$6, 2, FALSE)</f>
        <v>34.052199999999999</v>
      </c>
      <c r="Q2868">
        <f>VLOOKUP(O2868, Coordinates!$A$2:$C$6, 3, FALSE)</f>
        <v>-118.2437</v>
      </c>
      <c r="R2868">
        <v>28</v>
      </c>
      <c r="S2868">
        <v>985</v>
      </c>
      <c r="T2868">
        <v>13</v>
      </c>
      <c r="U2868">
        <v>35.951731169607498</v>
      </c>
      <c r="V2868" t="s">
        <v>39</v>
      </c>
      <c r="W2868">
        <v>0.89639754825756102</v>
      </c>
      <c r="X2868" t="s">
        <v>40</v>
      </c>
      <c r="Y2868" t="s">
        <v>60</v>
      </c>
      <c r="Z2868">
        <v>491.695308257313</v>
      </c>
    </row>
    <row r="2869" spans="1:26" x14ac:dyDescent="0.3">
      <c r="A2869" t="s">
        <v>24</v>
      </c>
      <c r="B2869" t="s">
        <v>2925</v>
      </c>
      <c r="C2869">
        <v>23.896249298984799</v>
      </c>
      <c r="D2869">
        <v>29</v>
      </c>
      <c r="E2869">
        <v>762</v>
      </c>
      <c r="F2869">
        <v>16388.047769243702</v>
      </c>
      <c r="G2869" t="s">
        <v>48</v>
      </c>
      <c r="H2869">
        <v>59</v>
      </c>
      <c r="I2869">
        <v>16</v>
      </c>
      <c r="J2869">
        <v>38</v>
      </c>
      <c r="K2869">
        <v>4</v>
      </c>
      <c r="L2869" t="s">
        <v>27</v>
      </c>
      <c r="M2869">
        <v>14.5133811247614</v>
      </c>
      <c r="N2869" t="s">
        <v>57</v>
      </c>
      <c r="O2869" t="s">
        <v>58</v>
      </c>
      <c r="P2869">
        <f>VLOOKUP(O2869, Coordinates!$A$2:$C$6, 2, FALSE)</f>
        <v>34.052199999999999</v>
      </c>
      <c r="Q2869">
        <f>VLOOKUP(O2869, Coordinates!$A$2:$C$6, 3, FALSE)</f>
        <v>-118.2437</v>
      </c>
      <c r="R2869">
        <v>15</v>
      </c>
      <c r="S2869">
        <v>782</v>
      </c>
      <c r="T2869">
        <v>16</v>
      </c>
      <c r="U2869">
        <v>93.832900914281694</v>
      </c>
      <c r="V2869" t="s">
        <v>30</v>
      </c>
      <c r="W2869">
        <v>1.10909671744991</v>
      </c>
      <c r="X2869" t="s">
        <v>40</v>
      </c>
      <c r="Y2869" t="s">
        <v>41</v>
      </c>
      <c r="Z2869">
        <v>162.855871928173</v>
      </c>
    </row>
    <row r="2870" spans="1:26" x14ac:dyDescent="0.3">
      <c r="A2870" t="s">
        <v>61</v>
      </c>
      <c r="B2870" t="s">
        <v>2926</v>
      </c>
      <c r="C2870">
        <v>44.544964165351097</v>
      </c>
      <c r="D2870">
        <v>66</v>
      </c>
      <c r="E2870">
        <v>922</v>
      </c>
      <c r="F2870">
        <v>5222.4944371065803</v>
      </c>
      <c r="G2870" t="s">
        <v>54</v>
      </c>
      <c r="H2870">
        <v>97</v>
      </c>
      <c r="I2870">
        <v>7</v>
      </c>
      <c r="J2870">
        <v>98</v>
      </c>
      <c r="K2870">
        <v>10</v>
      </c>
      <c r="L2870" t="s">
        <v>44</v>
      </c>
      <c r="M2870">
        <v>6.9568465846356702</v>
      </c>
      <c r="N2870" t="s">
        <v>57</v>
      </c>
      <c r="O2870" t="s">
        <v>38</v>
      </c>
      <c r="P2870">
        <f>VLOOKUP(O2870, Coordinates!$A$2:$C$6, 2, FALSE)</f>
        <v>25.761700000000001</v>
      </c>
      <c r="Q2870">
        <f>VLOOKUP(O2870, Coordinates!$A$2:$C$6, 3, FALSE)</f>
        <v>-80.191800000000001</v>
      </c>
      <c r="R2870">
        <v>22</v>
      </c>
      <c r="S2870">
        <v>695</v>
      </c>
      <c r="T2870">
        <v>21</v>
      </c>
      <c r="U2870">
        <v>43.706315589269302</v>
      </c>
      <c r="V2870" t="s">
        <v>55</v>
      </c>
      <c r="W2870">
        <v>2.6565862014000698</v>
      </c>
      <c r="X2870" t="s">
        <v>31</v>
      </c>
      <c r="Y2870" t="s">
        <v>41</v>
      </c>
      <c r="Z2870">
        <v>337.18394369999999</v>
      </c>
    </row>
    <row r="2871" spans="1:26" x14ac:dyDescent="0.3">
      <c r="A2871" t="s">
        <v>72</v>
      </c>
      <c r="B2871" t="s">
        <v>2927</v>
      </c>
      <c r="D2871">
        <v>19</v>
      </c>
      <c r="E2871">
        <v>81</v>
      </c>
      <c r="F2871">
        <v>2476.6810856975799</v>
      </c>
      <c r="G2871" t="s">
        <v>54</v>
      </c>
      <c r="H2871">
        <v>18</v>
      </c>
      <c r="I2871">
        <v>12</v>
      </c>
      <c r="J2871">
        <v>22</v>
      </c>
      <c r="K2871">
        <v>6</v>
      </c>
      <c r="L2871" t="s">
        <v>27</v>
      </c>
      <c r="M2871">
        <v>9.3772554361296407</v>
      </c>
      <c r="N2871" t="s">
        <v>37</v>
      </c>
      <c r="O2871" t="s">
        <v>58</v>
      </c>
      <c r="P2871">
        <f>VLOOKUP(O2871, Coordinates!$A$2:$C$6, 2, FALSE)</f>
        <v>34.052199999999999</v>
      </c>
      <c r="Q2871">
        <f>VLOOKUP(O2871, Coordinates!$A$2:$C$6, 3, FALSE)</f>
        <v>-118.2437</v>
      </c>
      <c r="R2871">
        <v>25</v>
      </c>
      <c r="S2871">
        <v>207</v>
      </c>
      <c r="T2871">
        <v>4</v>
      </c>
      <c r="U2871">
        <v>88.318409606326796</v>
      </c>
      <c r="V2871" t="s">
        <v>30</v>
      </c>
      <c r="W2871">
        <v>1.4460115098803701</v>
      </c>
      <c r="X2871" t="s">
        <v>52</v>
      </c>
      <c r="Y2871" t="s">
        <v>41</v>
      </c>
      <c r="Z2871">
        <v>900.73585863847097</v>
      </c>
    </row>
    <row r="2872" spans="1:26" x14ac:dyDescent="0.3">
      <c r="A2872" t="s">
        <v>72</v>
      </c>
      <c r="B2872" t="s">
        <v>2928</v>
      </c>
      <c r="C2872">
        <v>37.248255641028202</v>
      </c>
      <c r="D2872">
        <v>68</v>
      </c>
      <c r="E2872">
        <v>212</v>
      </c>
      <c r="F2872">
        <v>7106.9671763081897</v>
      </c>
      <c r="G2872" t="s">
        <v>54</v>
      </c>
      <c r="H2872">
        <v>90</v>
      </c>
      <c r="I2872">
        <v>29</v>
      </c>
      <c r="J2872">
        <v>60</v>
      </c>
      <c r="K2872">
        <v>9</v>
      </c>
      <c r="L2872" t="s">
        <v>27</v>
      </c>
      <c r="M2872">
        <v>4.9087472689737499</v>
      </c>
      <c r="N2872" t="s">
        <v>37</v>
      </c>
      <c r="O2872" t="s">
        <v>65</v>
      </c>
      <c r="P2872">
        <f>VLOOKUP(O2872, Coordinates!$A$2:$C$6, 2, FALSE)</f>
        <v>41.878100000000003</v>
      </c>
      <c r="Q2872">
        <f>VLOOKUP(O2872, Coordinates!$A$2:$C$6, 3, FALSE)</f>
        <v>-87.629800000000003</v>
      </c>
      <c r="R2872">
        <v>19</v>
      </c>
      <c r="S2872">
        <v>898</v>
      </c>
      <c r="T2872">
        <v>7</v>
      </c>
      <c r="U2872">
        <v>88.950215267173704</v>
      </c>
      <c r="V2872" t="s">
        <v>39</v>
      </c>
      <c r="W2872">
        <v>3.30797720618243</v>
      </c>
      <c r="X2872" t="s">
        <v>46</v>
      </c>
      <c r="Y2872" t="s">
        <v>41</v>
      </c>
      <c r="Z2872">
        <v>601.77169932376</v>
      </c>
    </row>
    <row r="2873" spans="1:26" x14ac:dyDescent="0.3">
      <c r="A2873" t="s">
        <v>82</v>
      </c>
      <c r="B2873" t="s">
        <v>2929</v>
      </c>
      <c r="C2873">
        <v>8.8274498447814995</v>
      </c>
      <c r="D2873">
        <v>58</v>
      </c>
      <c r="E2873">
        <v>888</v>
      </c>
      <c r="F2873">
        <v>3456.2544429193399</v>
      </c>
      <c r="G2873" t="s">
        <v>54</v>
      </c>
      <c r="H2873">
        <v>8</v>
      </c>
      <c r="I2873">
        <v>15</v>
      </c>
      <c r="J2873">
        <v>63</v>
      </c>
      <c r="K2873">
        <v>8</v>
      </c>
      <c r="L2873" t="s">
        <v>36</v>
      </c>
      <c r="M2873">
        <v>11.617044512073001</v>
      </c>
      <c r="N2873" t="s">
        <v>45</v>
      </c>
      <c r="O2873" t="s">
        <v>38</v>
      </c>
      <c r="P2873">
        <f>VLOOKUP(O2873, Coordinates!$A$2:$C$6, 2, FALSE)</f>
        <v>25.761700000000001</v>
      </c>
      <c r="Q2873">
        <f>VLOOKUP(O2873, Coordinates!$A$2:$C$6, 3, FALSE)</f>
        <v>-80.191800000000001</v>
      </c>
      <c r="R2873">
        <v>26</v>
      </c>
      <c r="S2873">
        <v>370</v>
      </c>
      <c r="T2873">
        <v>30</v>
      </c>
      <c r="U2873">
        <v>70.244325470000007</v>
      </c>
      <c r="V2873" t="s">
        <v>39</v>
      </c>
      <c r="W2873">
        <v>4.7448139967542202</v>
      </c>
      <c r="X2873" t="s">
        <v>46</v>
      </c>
      <c r="Y2873" t="s">
        <v>32</v>
      </c>
      <c r="Z2873">
        <v>922.66410722161902</v>
      </c>
    </row>
    <row r="2874" spans="1:26" x14ac:dyDescent="0.3">
      <c r="A2874" t="s">
        <v>24</v>
      </c>
      <c r="B2874" t="s">
        <v>2930</v>
      </c>
      <c r="C2874">
        <v>36.206978066867002</v>
      </c>
      <c r="D2874">
        <v>70</v>
      </c>
      <c r="E2874">
        <v>770</v>
      </c>
      <c r="F2874">
        <v>25091.435800338801</v>
      </c>
      <c r="G2874" t="s">
        <v>26</v>
      </c>
      <c r="H2874">
        <v>68</v>
      </c>
      <c r="I2874">
        <v>30</v>
      </c>
      <c r="J2874">
        <v>28</v>
      </c>
      <c r="K2874">
        <v>10</v>
      </c>
      <c r="L2874" t="s">
        <v>36</v>
      </c>
      <c r="M2874">
        <v>3.75523284251623</v>
      </c>
      <c r="N2874" t="s">
        <v>51</v>
      </c>
      <c r="O2874" t="s">
        <v>65</v>
      </c>
      <c r="P2874">
        <f>VLOOKUP(O2874, Coordinates!$A$2:$C$6, 2, FALSE)</f>
        <v>41.878100000000003</v>
      </c>
      <c r="Q2874">
        <f>VLOOKUP(O2874, Coordinates!$A$2:$C$6, 3, FALSE)</f>
        <v>-87.629800000000003</v>
      </c>
      <c r="R2874">
        <v>23</v>
      </c>
      <c r="S2874">
        <v>787</v>
      </c>
      <c r="T2874">
        <v>3</v>
      </c>
      <c r="U2874">
        <v>78.157040789934698</v>
      </c>
      <c r="V2874" t="s">
        <v>30</v>
      </c>
      <c r="W2874">
        <v>0.74446100668697102</v>
      </c>
      <c r="X2874" t="s">
        <v>52</v>
      </c>
      <c r="Y2874" t="s">
        <v>32</v>
      </c>
      <c r="Z2874">
        <v>850.994256966786</v>
      </c>
    </row>
    <row r="2875" spans="1:26" x14ac:dyDescent="0.3">
      <c r="A2875" t="s">
        <v>33</v>
      </c>
      <c r="B2875" t="s">
        <v>2931</v>
      </c>
      <c r="C2875">
        <v>69.645548939815498</v>
      </c>
      <c r="D2875">
        <v>57</v>
      </c>
      <c r="E2875">
        <v>225</v>
      </c>
      <c r="F2875">
        <v>4741.4017823486301</v>
      </c>
      <c r="G2875" t="s">
        <v>48</v>
      </c>
      <c r="H2875">
        <v>4</v>
      </c>
      <c r="I2875">
        <v>8</v>
      </c>
      <c r="J2875">
        <v>67</v>
      </c>
      <c r="K2875">
        <v>3</v>
      </c>
      <c r="L2875" t="s">
        <v>36</v>
      </c>
      <c r="M2875">
        <v>12.0167670672572</v>
      </c>
      <c r="N2875" t="s">
        <v>37</v>
      </c>
      <c r="O2875" t="s">
        <v>65</v>
      </c>
      <c r="P2875">
        <f>VLOOKUP(O2875, Coordinates!$A$2:$C$6, 2, FALSE)</f>
        <v>41.878100000000003</v>
      </c>
      <c r="Q2875">
        <f>VLOOKUP(O2875, Coordinates!$A$2:$C$6, 3, FALSE)</f>
        <v>-87.629800000000003</v>
      </c>
      <c r="R2875">
        <v>4</v>
      </c>
      <c r="S2875">
        <v>929</v>
      </c>
      <c r="T2875">
        <v>20</v>
      </c>
      <c r="U2875">
        <v>46.844792497205098</v>
      </c>
      <c r="V2875" t="s">
        <v>30</v>
      </c>
      <c r="W2875">
        <v>2.8525541615470802</v>
      </c>
      <c r="X2875" t="s">
        <v>46</v>
      </c>
      <c r="Y2875" t="s">
        <v>60</v>
      </c>
      <c r="Z2875">
        <v>472.86245177639103</v>
      </c>
    </row>
    <row r="2876" spans="1:26" x14ac:dyDescent="0.3">
      <c r="A2876" t="s">
        <v>82</v>
      </c>
      <c r="B2876" t="s">
        <v>2932</v>
      </c>
      <c r="C2876">
        <v>93.511307499710995</v>
      </c>
      <c r="D2876">
        <v>37</v>
      </c>
      <c r="E2876">
        <v>266</v>
      </c>
      <c r="F2876">
        <v>7554.8395944436097</v>
      </c>
      <c r="G2876" t="s">
        <v>35</v>
      </c>
      <c r="H2876">
        <v>88</v>
      </c>
      <c r="I2876">
        <v>23</v>
      </c>
      <c r="J2876">
        <v>45</v>
      </c>
      <c r="K2876">
        <v>6</v>
      </c>
      <c r="L2876" t="s">
        <v>44</v>
      </c>
      <c r="M2876">
        <v>4.2284426066904803</v>
      </c>
      <c r="N2876" t="s">
        <v>37</v>
      </c>
      <c r="O2876" t="s">
        <v>38</v>
      </c>
      <c r="P2876">
        <f>VLOOKUP(O2876, Coordinates!$A$2:$C$6, 2, FALSE)</f>
        <v>25.761700000000001</v>
      </c>
      <c r="Q2876">
        <f>VLOOKUP(O2876, Coordinates!$A$2:$C$6, 3, FALSE)</f>
        <v>-80.191800000000001</v>
      </c>
      <c r="R2876">
        <v>17</v>
      </c>
      <c r="S2876">
        <v>575</v>
      </c>
      <c r="T2876">
        <v>15</v>
      </c>
      <c r="U2876">
        <v>85.309338724833907</v>
      </c>
      <c r="V2876" t="s">
        <v>30</v>
      </c>
      <c r="W2876">
        <v>4.6164959133659602</v>
      </c>
      <c r="X2876" t="s">
        <v>52</v>
      </c>
      <c r="Y2876" t="s">
        <v>32</v>
      </c>
      <c r="Z2876">
        <v>670.189599916936</v>
      </c>
    </row>
    <row r="2877" spans="1:26" x14ac:dyDescent="0.3">
      <c r="A2877" t="s">
        <v>33</v>
      </c>
      <c r="B2877" t="s">
        <v>2933</v>
      </c>
      <c r="C2877">
        <v>63.935268950000001</v>
      </c>
      <c r="D2877">
        <v>61</v>
      </c>
      <c r="E2877">
        <v>414</v>
      </c>
      <c r="F2877">
        <v>8188.9464620316503</v>
      </c>
      <c r="G2877" t="s">
        <v>54</v>
      </c>
      <c r="H2877">
        <v>25</v>
      </c>
      <c r="I2877">
        <v>17</v>
      </c>
      <c r="J2877">
        <v>37</v>
      </c>
      <c r="K2877">
        <v>7</v>
      </c>
      <c r="L2877" t="s">
        <v>27</v>
      </c>
      <c r="M2877">
        <v>2.3707711595780001</v>
      </c>
      <c r="N2877" t="s">
        <v>37</v>
      </c>
      <c r="O2877" t="s">
        <v>58</v>
      </c>
      <c r="P2877">
        <f>VLOOKUP(O2877, Coordinates!$A$2:$C$6, 2, FALSE)</f>
        <v>34.052199999999999</v>
      </c>
      <c r="Q2877">
        <f>VLOOKUP(O2877, Coordinates!$A$2:$C$6, 3, FALSE)</f>
        <v>-118.2437</v>
      </c>
      <c r="R2877">
        <v>7</v>
      </c>
      <c r="S2877">
        <v>169</v>
      </c>
      <c r="T2877">
        <v>25</v>
      </c>
      <c r="U2877">
        <v>12.6338915022172</v>
      </c>
      <c r="V2877" t="s">
        <v>55</v>
      </c>
      <c r="W2877">
        <v>0.88264488325806101</v>
      </c>
      <c r="X2877" t="s">
        <v>40</v>
      </c>
      <c r="Y2877" t="s">
        <v>32</v>
      </c>
      <c r="Z2877">
        <v>697.98262045001695</v>
      </c>
    </row>
    <row r="2878" spans="1:26" x14ac:dyDescent="0.3">
      <c r="A2878" t="s">
        <v>33</v>
      </c>
      <c r="B2878" t="s">
        <v>2934</v>
      </c>
      <c r="C2878">
        <v>81.356747421117404</v>
      </c>
      <c r="D2878">
        <v>92</v>
      </c>
      <c r="E2878">
        <v>335</v>
      </c>
      <c r="F2878">
        <v>9506.7078501430497</v>
      </c>
      <c r="G2878" t="s">
        <v>35</v>
      </c>
      <c r="H2878">
        <v>18</v>
      </c>
      <c r="I2878">
        <v>1</v>
      </c>
      <c r="J2878">
        <v>77</v>
      </c>
      <c r="K2878">
        <v>6</v>
      </c>
      <c r="L2878" t="s">
        <v>44</v>
      </c>
      <c r="M2878">
        <v>7.7035157630000004</v>
      </c>
      <c r="N2878" t="s">
        <v>45</v>
      </c>
      <c r="O2878" t="s">
        <v>38</v>
      </c>
      <c r="P2878">
        <f>VLOOKUP(O2878, Coordinates!$A$2:$C$6, 2, FALSE)</f>
        <v>25.761700000000001</v>
      </c>
      <c r="Q2878">
        <f>VLOOKUP(O2878, Coordinates!$A$2:$C$6, 3, FALSE)</f>
        <v>-80.191800000000001</v>
      </c>
      <c r="R2878">
        <v>27</v>
      </c>
      <c r="S2878">
        <v>486</v>
      </c>
      <c r="T2878">
        <v>21</v>
      </c>
      <c r="U2878">
        <v>79.992105037316406</v>
      </c>
      <c r="V2878" t="s">
        <v>55</v>
      </c>
      <c r="W2878">
        <v>3.6183159053395801</v>
      </c>
      <c r="X2878" t="s">
        <v>46</v>
      </c>
      <c r="Y2878" t="s">
        <v>60</v>
      </c>
      <c r="Z2878">
        <v>772.117692620806</v>
      </c>
    </row>
    <row r="2879" spans="1:26" x14ac:dyDescent="0.3">
      <c r="A2879" t="s">
        <v>49</v>
      </c>
      <c r="B2879" t="s">
        <v>2935</v>
      </c>
      <c r="C2879">
        <v>12.953869095308001</v>
      </c>
      <c r="D2879">
        <v>30</v>
      </c>
      <c r="E2879">
        <v>348</v>
      </c>
      <c r="F2879">
        <v>6476.5415167370702</v>
      </c>
      <c r="G2879" t="s">
        <v>35</v>
      </c>
      <c r="H2879">
        <v>29</v>
      </c>
      <c r="I2879">
        <v>29</v>
      </c>
      <c r="J2879">
        <v>12</v>
      </c>
      <c r="K2879">
        <v>3</v>
      </c>
      <c r="L2879" t="s">
        <v>44</v>
      </c>
      <c r="M2879">
        <v>12.385035296539099</v>
      </c>
      <c r="N2879" t="s">
        <v>28</v>
      </c>
      <c r="O2879" t="s">
        <v>29</v>
      </c>
      <c r="P2879">
        <f>VLOOKUP(O2879, Coordinates!$A$2:$C$6, 2, FALSE)</f>
        <v>29.760400000000001</v>
      </c>
      <c r="Q2879">
        <f>VLOOKUP(O2879, Coordinates!$A$2:$C$6, 3, FALSE)</f>
        <v>-95.369799999999998</v>
      </c>
      <c r="R2879">
        <v>17</v>
      </c>
      <c r="S2879">
        <v>265</v>
      </c>
      <c r="T2879">
        <v>26</v>
      </c>
      <c r="U2879">
        <v>15.6519993090601</v>
      </c>
      <c r="V2879" t="s">
        <v>30</v>
      </c>
      <c r="W2879">
        <v>0.61808417494893497</v>
      </c>
      <c r="X2879" t="s">
        <v>31</v>
      </c>
      <c r="Y2879" t="s">
        <v>32</v>
      </c>
      <c r="Z2879">
        <v>399.66985581319102</v>
      </c>
    </row>
    <row r="2880" spans="1:26" x14ac:dyDescent="0.3">
      <c r="A2880" t="s">
        <v>72</v>
      </c>
      <c r="B2880" t="s">
        <v>2936</v>
      </c>
      <c r="C2880">
        <v>35.093707389770699</v>
      </c>
      <c r="D2880">
        <v>71</v>
      </c>
      <c r="E2880">
        <v>993</v>
      </c>
      <c r="F2880">
        <v>31363.246294238099</v>
      </c>
      <c r="G2880" t="s">
        <v>48</v>
      </c>
      <c r="H2880">
        <v>99</v>
      </c>
      <c r="I2880">
        <v>21</v>
      </c>
      <c r="J2880">
        <v>98</v>
      </c>
      <c r="K2880">
        <v>9</v>
      </c>
      <c r="L2880" t="s">
        <v>44</v>
      </c>
      <c r="M2880">
        <v>6.3881057500000002</v>
      </c>
      <c r="N2880" t="s">
        <v>37</v>
      </c>
      <c r="O2880" t="s">
        <v>67</v>
      </c>
      <c r="P2880">
        <f>VLOOKUP(O2880, Coordinates!$A$2:$C$6, 2, FALSE)</f>
        <v>40.712800000000001</v>
      </c>
      <c r="Q2880">
        <f>VLOOKUP(O2880, Coordinates!$A$2:$C$6, 3, FALSE)</f>
        <v>-74.006</v>
      </c>
      <c r="R2880">
        <v>27</v>
      </c>
      <c r="S2880">
        <v>954</v>
      </c>
      <c r="T2880">
        <v>14</v>
      </c>
      <c r="U2880">
        <v>81.582511962706107</v>
      </c>
      <c r="V2880" t="s">
        <v>55</v>
      </c>
      <c r="W2880">
        <v>3.2101885915697399</v>
      </c>
      <c r="X2880" t="s">
        <v>31</v>
      </c>
      <c r="Y2880" t="s">
        <v>32</v>
      </c>
      <c r="Z2880">
        <v>360.09050104858898</v>
      </c>
    </row>
    <row r="2881" spans="1:26" x14ac:dyDescent="0.3">
      <c r="A2881" t="s">
        <v>42</v>
      </c>
      <c r="B2881" t="s">
        <v>2937</v>
      </c>
      <c r="C2881">
        <v>40.524977775511402</v>
      </c>
      <c r="D2881">
        <v>73</v>
      </c>
      <c r="E2881">
        <v>775</v>
      </c>
      <c r="F2881">
        <v>9317.3315422302894</v>
      </c>
      <c r="G2881" t="s">
        <v>35</v>
      </c>
      <c r="H2881">
        <v>47</v>
      </c>
      <c r="I2881">
        <v>30</v>
      </c>
      <c r="J2881">
        <v>50</v>
      </c>
      <c r="K2881">
        <v>8</v>
      </c>
      <c r="L2881" t="s">
        <v>44</v>
      </c>
      <c r="M2881">
        <v>1.40423110936992</v>
      </c>
      <c r="N2881" t="s">
        <v>28</v>
      </c>
      <c r="O2881" t="s">
        <v>58</v>
      </c>
      <c r="P2881">
        <f>VLOOKUP(O2881, Coordinates!$A$2:$C$6, 2, FALSE)</f>
        <v>34.052199999999999</v>
      </c>
      <c r="Q2881">
        <f>VLOOKUP(O2881, Coordinates!$A$2:$C$6, 3, FALSE)</f>
        <v>-118.2437</v>
      </c>
      <c r="R2881">
        <v>20</v>
      </c>
      <c r="S2881">
        <v>157</v>
      </c>
      <c r="T2881">
        <v>7</v>
      </c>
      <c r="U2881">
        <v>89.412971038485693</v>
      </c>
      <c r="V2881" t="s">
        <v>55</v>
      </c>
      <c r="W2881">
        <v>3.3457146384734999</v>
      </c>
      <c r="X2881" t="s">
        <v>46</v>
      </c>
      <c r="Y2881" t="s">
        <v>41</v>
      </c>
      <c r="Z2881">
        <v>943.66045113663995</v>
      </c>
    </row>
    <row r="2882" spans="1:26" x14ac:dyDescent="0.3">
      <c r="A2882" t="s">
        <v>24</v>
      </c>
      <c r="B2882" t="s">
        <v>2938</v>
      </c>
      <c r="C2882">
        <v>27.74313948</v>
      </c>
      <c r="D2882">
        <v>25</v>
      </c>
      <c r="E2882">
        <v>824</v>
      </c>
      <c r="F2882">
        <v>20574.312235057201</v>
      </c>
      <c r="G2882" t="s">
        <v>35</v>
      </c>
      <c r="H2882">
        <v>15</v>
      </c>
      <c r="I2882">
        <v>8</v>
      </c>
      <c r="J2882">
        <v>44</v>
      </c>
      <c r="K2882">
        <v>2</v>
      </c>
      <c r="L2882" t="s">
        <v>36</v>
      </c>
      <c r="M2882">
        <v>8.7463359721756895</v>
      </c>
      <c r="N2882" t="s">
        <v>45</v>
      </c>
      <c r="O2882" t="s">
        <v>38</v>
      </c>
      <c r="P2882">
        <f>VLOOKUP(O2882, Coordinates!$A$2:$C$6, 2, FALSE)</f>
        <v>25.761700000000001</v>
      </c>
      <c r="Q2882">
        <f>VLOOKUP(O2882, Coordinates!$A$2:$C$6, 3, FALSE)</f>
        <v>-80.191800000000001</v>
      </c>
      <c r="R2882">
        <v>27</v>
      </c>
      <c r="S2882">
        <v>550</v>
      </c>
      <c r="T2882">
        <v>18</v>
      </c>
      <c r="U2882">
        <v>76.044387733231005</v>
      </c>
      <c r="V2882" t="s">
        <v>39</v>
      </c>
      <c r="W2882">
        <v>4.4341927296346002</v>
      </c>
      <c r="X2882" t="s">
        <v>31</v>
      </c>
      <c r="Y2882" t="s">
        <v>41</v>
      </c>
      <c r="Z2882">
        <v>836.87880838719002</v>
      </c>
    </row>
    <row r="2883" spans="1:26" x14ac:dyDescent="0.3">
      <c r="A2883" t="s">
        <v>33</v>
      </c>
      <c r="B2883" t="s">
        <v>2939</v>
      </c>
      <c r="C2883">
        <v>19.380261270011101</v>
      </c>
      <c r="D2883">
        <v>97</v>
      </c>
      <c r="E2883">
        <v>78</v>
      </c>
      <c r="F2883">
        <v>6169.8563470282998</v>
      </c>
      <c r="G2883" t="s">
        <v>26</v>
      </c>
      <c r="H2883">
        <v>70</v>
      </c>
      <c r="I2883">
        <v>14</v>
      </c>
      <c r="J2883">
        <v>85</v>
      </c>
      <c r="K2883">
        <v>9</v>
      </c>
      <c r="L2883" t="s">
        <v>27</v>
      </c>
      <c r="M2883">
        <v>10.5265994449293</v>
      </c>
      <c r="N2883" t="s">
        <v>51</v>
      </c>
      <c r="O2883" t="s">
        <v>29</v>
      </c>
      <c r="P2883">
        <f>VLOOKUP(O2883, Coordinates!$A$2:$C$6, 2, FALSE)</f>
        <v>29.760400000000001</v>
      </c>
      <c r="Q2883">
        <f>VLOOKUP(O2883, Coordinates!$A$2:$C$6, 3, FALSE)</f>
        <v>-95.369799999999998</v>
      </c>
      <c r="R2883">
        <v>15</v>
      </c>
      <c r="S2883">
        <v>344</v>
      </c>
      <c r="T2883">
        <v>25</v>
      </c>
      <c r="U2883">
        <v>83.867412197015994</v>
      </c>
      <c r="V2883" t="s">
        <v>30</v>
      </c>
      <c r="W2883">
        <v>2.7106352418167199</v>
      </c>
      <c r="X2883" t="s">
        <v>52</v>
      </c>
      <c r="Y2883" t="s">
        <v>60</v>
      </c>
      <c r="Z2883">
        <v>472.82210787336197</v>
      </c>
    </row>
    <row r="2884" spans="1:26" x14ac:dyDescent="0.3">
      <c r="A2884" t="s">
        <v>49</v>
      </c>
      <c r="B2884" t="s">
        <v>2940</v>
      </c>
      <c r="C2884">
        <v>19.429186371979799</v>
      </c>
      <c r="D2884">
        <v>65</v>
      </c>
      <c r="E2884">
        <v>641</v>
      </c>
      <c r="F2884">
        <v>7260.7619414704204</v>
      </c>
      <c r="G2884" t="s">
        <v>35</v>
      </c>
      <c r="H2884">
        <v>17</v>
      </c>
      <c r="I2884">
        <v>10</v>
      </c>
      <c r="J2884">
        <v>93</v>
      </c>
      <c r="K2884">
        <v>3</v>
      </c>
      <c r="L2884" t="s">
        <v>36</v>
      </c>
      <c r="M2884">
        <v>11.369729234704</v>
      </c>
      <c r="N2884" t="s">
        <v>57</v>
      </c>
      <c r="O2884" t="s">
        <v>38</v>
      </c>
      <c r="P2884">
        <f>VLOOKUP(O2884, Coordinates!$A$2:$C$6, 2, FALSE)</f>
        <v>25.761700000000001</v>
      </c>
      <c r="Q2884">
        <f>VLOOKUP(O2884, Coordinates!$A$2:$C$6, 3, FALSE)</f>
        <v>-80.191800000000001</v>
      </c>
      <c r="R2884">
        <v>9</v>
      </c>
      <c r="S2884">
        <v>144</v>
      </c>
      <c r="T2884">
        <v>5</v>
      </c>
      <c r="U2884">
        <v>60.533610969999998</v>
      </c>
      <c r="V2884" t="s">
        <v>55</v>
      </c>
      <c r="W2884">
        <v>3.7313043389888598</v>
      </c>
      <c r="X2884" t="s">
        <v>52</v>
      </c>
      <c r="Y2884" t="s">
        <v>41</v>
      </c>
      <c r="Z2884">
        <v>388.96168998921598</v>
      </c>
    </row>
    <row r="2885" spans="1:26" x14ac:dyDescent="0.3">
      <c r="A2885" t="s">
        <v>72</v>
      </c>
      <c r="B2885" t="s">
        <v>2941</v>
      </c>
      <c r="C2885">
        <v>35.3392845240746</v>
      </c>
      <c r="D2885">
        <v>6</v>
      </c>
      <c r="E2885">
        <v>704</v>
      </c>
      <c r="G2885" t="s">
        <v>48</v>
      </c>
      <c r="H2885">
        <v>55</v>
      </c>
      <c r="I2885">
        <v>27</v>
      </c>
      <c r="J2885">
        <v>90</v>
      </c>
      <c r="K2885">
        <v>6</v>
      </c>
      <c r="L2885" t="s">
        <v>36</v>
      </c>
      <c r="M2885">
        <v>6.6269493603299701</v>
      </c>
      <c r="N2885" t="s">
        <v>57</v>
      </c>
      <c r="O2885" t="s">
        <v>38</v>
      </c>
      <c r="P2885">
        <f>VLOOKUP(O2885, Coordinates!$A$2:$C$6, 2, FALSE)</f>
        <v>25.761700000000001</v>
      </c>
      <c r="Q2885">
        <f>VLOOKUP(O2885, Coordinates!$A$2:$C$6, 3, FALSE)</f>
        <v>-80.191800000000001</v>
      </c>
      <c r="R2885">
        <v>21</v>
      </c>
      <c r="S2885">
        <v>783</v>
      </c>
      <c r="T2885">
        <v>21</v>
      </c>
      <c r="U2885">
        <v>88.061580772591299</v>
      </c>
      <c r="V2885" t="s">
        <v>30</v>
      </c>
      <c r="W2885">
        <v>0.179386481899898</v>
      </c>
      <c r="X2885" t="s">
        <v>31</v>
      </c>
      <c r="Y2885" t="s">
        <v>32</v>
      </c>
      <c r="Z2885">
        <v>842.98297854285295</v>
      </c>
    </row>
    <row r="2886" spans="1:26" x14ac:dyDescent="0.3">
      <c r="A2886" t="s">
        <v>42</v>
      </c>
      <c r="B2886" t="s">
        <v>2942</v>
      </c>
      <c r="C2886">
        <v>10.174274499849499</v>
      </c>
      <c r="D2886">
        <v>18</v>
      </c>
      <c r="E2886">
        <v>947</v>
      </c>
      <c r="F2886">
        <v>7411.5462562562898</v>
      </c>
      <c r="G2886" t="s">
        <v>35</v>
      </c>
      <c r="H2886">
        <v>6</v>
      </c>
      <c r="I2886">
        <v>22</v>
      </c>
      <c r="J2886">
        <v>85</v>
      </c>
      <c r="K2886">
        <v>10</v>
      </c>
      <c r="L2886" t="s">
        <v>44</v>
      </c>
      <c r="M2886">
        <v>2.3582748408935998</v>
      </c>
      <c r="N2886" t="s">
        <v>57</v>
      </c>
      <c r="O2886" t="s">
        <v>67</v>
      </c>
      <c r="P2886">
        <f>VLOOKUP(O2886, Coordinates!$A$2:$C$6, 2, FALSE)</f>
        <v>40.712800000000001</v>
      </c>
      <c r="Q2886">
        <f>VLOOKUP(O2886, Coordinates!$A$2:$C$6, 3, FALSE)</f>
        <v>-74.006</v>
      </c>
      <c r="R2886">
        <v>23</v>
      </c>
      <c r="S2886">
        <v>875</v>
      </c>
      <c r="T2886">
        <v>20</v>
      </c>
      <c r="U2886">
        <v>67.890790240000001</v>
      </c>
      <c r="V2886" t="s">
        <v>55</v>
      </c>
      <c r="W2886">
        <v>4.7875674372265298</v>
      </c>
      <c r="X2886" t="s">
        <v>46</v>
      </c>
      <c r="Y2886" t="s">
        <v>41</v>
      </c>
      <c r="Z2886">
        <v>982.31814574160501</v>
      </c>
    </row>
    <row r="2887" spans="1:26" x14ac:dyDescent="0.3">
      <c r="A2887" t="s">
        <v>33</v>
      </c>
      <c r="B2887" t="s">
        <v>2943</v>
      </c>
      <c r="C2887">
        <v>22.3335138619865</v>
      </c>
      <c r="D2887">
        <v>10</v>
      </c>
      <c r="E2887">
        <v>825</v>
      </c>
      <c r="F2887">
        <v>4315.3705682625996</v>
      </c>
      <c r="G2887" t="s">
        <v>48</v>
      </c>
      <c r="H2887">
        <v>3</v>
      </c>
      <c r="I2887">
        <v>30</v>
      </c>
      <c r="J2887">
        <v>59</v>
      </c>
      <c r="K2887">
        <v>2</v>
      </c>
      <c r="L2887" t="s">
        <v>36</v>
      </c>
      <c r="M2887">
        <v>9.1805700819999991</v>
      </c>
      <c r="N2887" t="s">
        <v>57</v>
      </c>
      <c r="O2887" t="s">
        <v>67</v>
      </c>
      <c r="P2887">
        <f>VLOOKUP(O2887, Coordinates!$A$2:$C$6, 2, FALSE)</f>
        <v>40.712800000000001</v>
      </c>
      <c r="Q2887">
        <f>VLOOKUP(O2887, Coordinates!$A$2:$C$6, 3, FALSE)</f>
        <v>-74.006</v>
      </c>
      <c r="R2887">
        <v>13</v>
      </c>
      <c r="S2887">
        <v>482</v>
      </c>
      <c r="T2887">
        <v>8</v>
      </c>
      <c r="U2887">
        <v>49.558748416872497</v>
      </c>
      <c r="V2887" t="s">
        <v>30</v>
      </c>
      <c r="W2887">
        <v>1.1104810396467599</v>
      </c>
      <c r="X2887" t="s">
        <v>46</v>
      </c>
      <c r="Y2887" t="s">
        <v>41</v>
      </c>
      <c r="Z2887">
        <v>409.19501747703299</v>
      </c>
    </row>
    <row r="2888" spans="1:26" x14ac:dyDescent="0.3">
      <c r="A2888" t="s">
        <v>33</v>
      </c>
      <c r="B2888" t="s">
        <v>2944</v>
      </c>
      <c r="C2888">
        <v>96.694915661844803</v>
      </c>
      <c r="D2888">
        <v>92</v>
      </c>
      <c r="E2888">
        <v>837</v>
      </c>
      <c r="F2888">
        <v>7417.2538210000002</v>
      </c>
      <c r="G2888" t="s">
        <v>54</v>
      </c>
      <c r="H2888">
        <v>0</v>
      </c>
      <c r="I2888">
        <v>19</v>
      </c>
      <c r="J2888">
        <v>83</v>
      </c>
      <c r="K2888">
        <v>1</v>
      </c>
      <c r="L2888" t="s">
        <v>27</v>
      </c>
      <c r="M2888">
        <v>5.61367039333454</v>
      </c>
      <c r="N2888" t="s">
        <v>45</v>
      </c>
      <c r="O2888" t="s">
        <v>38</v>
      </c>
      <c r="P2888">
        <f>VLOOKUP(O2888, Coordinates!$A$2:$C$6, 2, FALSE)</f>
        <v>25.761700000000001</v>
      </c>
      <c r="Q2888">
        <f>VLOOKUP(O2888, Coordinates!$A$2:$C$6, 3, FALSE)</f>
        <v>-80.191800000000001</v>
      </c>
      <c r="R2888">
        <v>30</v>
      </c>
      <c r="S2888">
        <v>677</v>
      </c>
      <c r="T2888">
        <v>27</v>
      </c>
      <c r="U2888">
        <v>10.4802904827141</v>
      </c>
      <c r="V2888" t="s">
        <v>39</v>
      </c>
      <c r="W2888">
        <v>3.62463193759144</v>
      </c>
      <c r="X2888" t="s">
        <v>46</v>
      </c>
      <c r="Y2888" t="s">
        <v>60</v>
      </c>
      <c r="Z2888">
        <v>576.69942345357094</v>
      </c>
    </row>
    <row r="2889" spans="1:26" x14ac:dyDescent="0.3">
      <c r="A2889" t="s">
        <v>82</v>
      </c>
      <c r="B2889" t="s">
        <v>2945</v>
      </c>
      <c r="C2889">
        <v>45.677474287381401</v>
      </c>
      <c r="D2889">
        <v>11</v>
      </c>
      <c r="E2889">
        <v>824</v>
      </c>
      <c r="F2889">
        <v>1362.5034646184899</v>
      </c>
      <c r="G2889" t="s">
        <v>35</v>
      </c>
      <c r="H2889">
        <v>2</v>
      </c>
      <c r="I2889">
        <v>4</v>
      </c>
      <c r="J2889">
        <v>91</v>
      </c>
      <c r="K2889">
        <v>9</v>
      </c>
      <c r="L2889" t="s">
        <v>44</v>
      </c>
      <c r="M2889">
        <v>14.2564247518479</v>
      </c>
      <c r="N2889" t="s">
        <v>57</v>
      </c>
      <c r="O2889" t="s">
        <v>67</v>
      </c>
      <c r="P2889">
        <f>VLOOKUP(O2889, Coordinates!$A$2:$C$6, 2, FALSE)</f>
        <v>40.712800000000001</v>
      </c>
      <c r="Q2889">
        <f>VLOOKUP(O2889, Coordinates!$A$2:$C$6, 3, FALSE)</f>
        <v>-74.006</v>
      </c>
      <c r="R2889">
        <v>28</v>
      </c>
      <c r="S2889">
        <v>938</v>
      </c>
      <c r="T2889">
        <v>20</v>
      </c>
      <c r="U2889">
        <v>52.914313579135097</v>
      </c>
      <c r="V2889" t="s">
        <v>55</v>
      </c>
      <c r="W2889">
        <v>4.7056802147096501</v>
      </c>
      <c r="X2889" t="s">
        <v>40</v>
      </c>
      <c r="Y2889" t="s">
        <v>32</v>
      </c>
      <c r="Z2889">
        <v>964.776243606609</v>
      </c>
    </row>
    <row r="2890" spans="1:26" x14ac:dyDescent="0.3">
      <c r="A2890" t="s">
        <v>82</v>
      </c>
      <c r="B2890" t="s">
        <v>2946</v>
      </c>
      <c r="C2890">
        <v>65.041824800131394</v>
      </c>
      <c r="D2890">
        <v>97</v>
      </c>
      <c r="E2890">
        <v>751</v>
      </c>
      <c r="F2890">
        <v>4477.7400564752297</v>
      </c>
      <c r="G2890" t="s">
        <v>35</v>
      </c>
      <c r="H2890">
        <v>94</v>
      </c>
      <c r="I2890">
        <v>10</v>
      </c>
      <c r="J2890">
        <v>39</v>
      </c>
      <c r="K2890">
        <v>3</v>
      </c>
      <c r="L2890" t="s">
        <v>36</v>
      </c>
      <c r="M2890">
        <v>8.0379695128585809</v>
      </c>
      <c r="N2890" t="s">
        <v>45</v>
      </c>
      <c r="O2890" t="s">
        <v>38</v>
      </c>
      <c r="P2890">
        <f>VLOOKUP(O2890, Coordinates!$A$2:$C$6, 2, FALSE)</f>
        <v>25.761700000000001</v>
      </c>
      <c r="Q2890">
        <f>VLOOKUP(O2890, Coordinates!$A$2:$C$6, 3, FALSE)</f>
        <v>-80.191800000000001</v>
      </c>
      <c r="R2890">
        <v>27</v>
      </c>
      <c r="S2890">
        <v>800</v>
      </c>
      <c r="T2890">
        <v>18</v>
      </c>
      <c r="U2890">
        <v>68.606913210000002</v>
      </c>
      <c r="V2890" t="s">
        <v>39</v>
      </c>
      <c r="W2890">
        <v>4.5700944976268802</v>
      </c>
      <c r="X2890" t="s">
        <v>46</v>
      </c>
      <c r="Y2890" t="s">
        <v>60</v>
      </c>
      <c r="Z2890">
        <v>774.88420441486505</v>
      </c>
    </row>
    <row r="2891" spans="1:26" x14ac:dyDescent="0.3">
      <c r="A2891" t="s">
        <v>72</v>
      </c>
      <c r="B2891" t="s">
        <v>2947</v>
      </c>
      <c r="C2891">
        <v>29.691452448785601</v>
      </c>
      <c r="D2891">
        <v>65</v>
      </c>
      <c r="E2891">
        <v>990</v>
      </c>
      <c r="F2891">
        <v>26455.084131867901</v>
      </c>
      <c r="G2891" t="s">
        <v>35</v>
      </c>
      <c r="H2891">
        <v>24</v>
      </c>
      <c r="I2891">
        <v>23</v>
      </c>
      <c r="J2891">
        <v>81</v>
      </c>
      <c r="K2891">
        <v>7</v>
      </c>
      <c r="L2891" t="s">
        <v>44</v>
      </c>
      <c r="M2891">
        <v>7.6117246551857001</v>
      </c>
      <c r="N2891" t="s">
        <v>51</v>
      </c>
      <c r="O2891" t="s">
        <v>65</v>
      </c>
      <c r="P2891">
        <f>VLOOKUP(O2891, Coordinates!$A$2:$C$6, 2, FALSE)</f>
        <v>41.878100000000003</v>
      </c>
      <c r="Q2891">
        <f>VLOOKUP(O2891, Coordinates!$A$2:$C$6, 3, FALSE)</f>
        <v>-87.629800000000003</v>
      </c>
      <c r="R2891">
        <v>29</v>
      </c>
      <c r="S2891">
        <v>884</v>
      </c>
      <c r="T2891">
        <v>21</v>
      </c>
      <c r="U2891">
        <v>81.796982709198502</v>
      </c>
      <c r="V2891" t="s">
        <v>30</v>
      </c>
      <c r="W2891">
        <v>3.8243520964584001</v>
      </c>
      <c r="X2891" t="s">
        <v>46</v>
      </c>
      <c r="Y2891" t="s">
        <v>32</v>
      </c>
      <c r="Z2891">
        <v>299.49832767785199</v>
      </c>
    </row>
    <row r="2892" spans="1:26" x14ac:dyDescent="0.3">
      <c r="A2892" t="s">
        <v>42</v>
      </c>
      <c r="B2892" t="s">
        <v>2948</v>
      </c>
      <c r="C2892">
        <v>39.861333665684</v>
      </c>
      <c r="D2892">
        <v>77</v>
      </c>
      <c r="E2892">
        <v>766</v>
      </c>
      <c r="F2892">
        <v>2501.54410978751</v>
      </c>
      <c r="G2892" t="s">
        <v>54</v>
      </c>
      <c r="H2892">
        <v>7</v>
      </c>
      <c r="I2892">
        <v>3</v>
      </c>
      <c r="J2892">
        <v>86</v>
      </c>
      <c r="K2892">
        <v>9</v>
      </c>
      <c r="L2892" t="s">
        <v>27</v>
      </c>
      <c r="M2892">
        <v>5.3289334524569902</v>
      </c>
      <c r="N2892" t="s">
        <v>37</v>
      </c>
      <c r="O2892" t="s">
        <v>38</v>
      </c>
      <c r="P2892">
        <f>VLOOKUP(O2892, Coordinates!$A$2:$C$6, 2, FALSE)</f>
        <v>25.761700000000001</v>
      </c>
      <c r="Q2892">
        <f>VLOOKUP(O2892, Coordinates!$A$2:$C$6, 3, FALSE)</f>
        <v>-80.191800000000001</v>
      </c>
      <c r="R2892">
        <v>11</v>
      </c>
      <c r="S2892">
        <v>170</v>
      </c>
      <c r="T2892">
        <v>19</v>
      </c>
      <c r="U2892">
        <v>65.922430249734106</v>
      </c>
      <c r="V2892" t="s">
        <v>39</v>
      </c>
      <c r="W2892">
        <v>0.52372854499999999</v>
      </c>
      <c r="X2892" t="s">
        <v>52</v>
      </c>
      <c r="Y2892" t="s">
        <v>32</v>
      </c>
      <c r="Z2892">
        <v>365.52803166210998</v>
      </c>
    </row>
    <row r="2893" spans="1:26" x14ac:dyDescent="0.3">
      <c r="A2893" t="s">
        <v>33</v>
      </c>
      <c r="B2893" t="s">
        <v>2949</v>
      </c>
      <c r="C2893">
        <v>18.986572068999099</v>
      </c>
      <c r="D2893">
        <v>84</v>
      </c>
      <c r="E2893">
        <v>336</v>
      </c>
      <c r="F2893">
        <v>1207.7693249659301</v>
      </c>
      <c r="G2893" t="s">
        <v>26</v>
      </c>
      <c r="H2893">
        <v>64</v>
      </c>
      <c r="I2893">
        <v>4</v>
      </c>
      <c r="J2893">
        <v>79</v>
      </c>
      <c r="K2893">
        <v>9</v>
      </c>
      <c r="L2893" t="s">
        <v>44</v>
      </c>
      <c r="M2893">
        <v>5.7430110753696697</v>
      </c>
      <c r="N2893" t="s">
        <v>37</v>
      </c>
      <c r="O2893" t="s">
        <v>65</v>
      </c>
      <c r="P2893">
        <f>VLOOKUP(O2893, Coordinates!$A$2:$C$6, 2, FALSE)</f>
        <v>41.878100000000003</v>
      </c>
      <c r="Q2893">
        <f>VLOOKUP(O2893, Coordinates!$A$2:$C$6, 3, FALSE)</f>
        <v>-87.629800000000003</v>
      </c>
      <c r="R2893">
        <v>8</v>
      </c>
      <c r="S2893">
        <v>964</v>
      </c>
      <c r="T2893">
        <v>20</v>
      </c>
      <c r="U2893">
        <v>68.727871559516998</v>
      </c>
      <c r="V2893" t="s">
        <v>30</v>
      </c>
      <c r="W2893">
        <v>4.0376460683808197</v>
      </c>
      <c r="X2893" t="s">
        <v>40</v>
      </c>
      <c r="Y2893" t="s">
        <v>32</v>
      </c>
      <c r="Z2893">
        <v>338.69859069137402</v>
      </c>
    </row>
    <row r="2894" spans="1:26" x14ac:dyDescent="0.3">
      <c r="A2894" t="s">
        <v>72</v>
      </c>
      <c r="B2894" t="s">
        <v>2950</v>
      </c>
      <c r="C2894">
        <v>28.0905111429736</v>
      </c>
      <c r="D2894">
        <v>65</v>
      </c>
      <c r="E2894">
        <v>402</v>
      </c>
      <c r="G2894" t="s">
        <v>35</v>
      </c>
      <c r="H2894">
        <v>61</v>
      </c>
      <c r="I2894">
        <v>16</v>
      </c>
      <c r="J2894">
        <v>63</v>
      </c>
      <c r="K2894">
        <v>10</v>
      </c>
      <c r="L2894" t="s">
        <v>36</v>
      </c>
      <c r="M2894">
        <v>8.1785669771187592</v>
      </c>
      <c r="N2894" t="s">
        <v>37</v>
      </c>
      <c r="O2894" t="s">
        <v>38</v>
      </c>
      <c r="P2894">
        <f>VLOOKUP(O2894, Coordinates!$A$2:$C$6, 2, FALSE)</f>
        <v>25.761700000000001</v>
      </c>
      <c r="Q2894">
        <f>VLOOKUP(O2894, Coordinates!$A$2:$C$6, 3, FALSE)</f>
        <v>-80.191800000000001</v>
      </c>
      <c r="R2894">
        <v>17</v>
      </c>
      <c r="S2894">
        <v>647</v>
      </c>
      <c r="T2894">
        <v>3</v>
      </c>
      <c r="U2894">
        <v>86.025069771333605</v>
      </c>
      <c r="V2894" t="s">
        <v>30</v>
      </c>
      <c r="W2894">
        <v>3.0451176150489099</v>
      </c>
      <c r="X2894" t="s">
        <v>52</v>
      </c>
      <c r="Y2894" t="s">
        <v>41</v>
      </c>
      <c r="Z2894">
        <v>863.51406878832302</v>
      </c>
    </row>
    <row r="2895" spans="1:26" x14ac:dyDescent="0.3">
      <c r="A2895" t="s">
        <v>72</v>
      </c>
      <c r="B2895" t="s">
        <v>2951</v>
      </c>
      <c r="C2895">
        <v>39.295646395830097</v>
      </c>
      <c r="D2895">
        <v>52</v>
      </c>
      <c r="E2895">
        <v>349</v>
      </c>
      <c r="F2895">
        <v>12342.762532930201</v>
      </c>
      <c r="G2895" t="s">
        <v>48</v>
      </c>
      <c r="H2895">
        <v>6</v>
      </c>
      <c r="I2895">
        <v>24</v>
      </c>
      <c r="J2895">
        <v>80</v>
      </c>
      <c r="K2895">
        <v>6</v>
      </c>
      <c r="L2895" t="s">
        <v>36</v>
      </c>
      <c r="M2895">
        <v>5.2933071344099201</v>
      </c>
      <c r="N2895" t="s">
        <v>45</v>
      </c>
      <c r="O2895" t="s">
        <v>38</v>
      </c>
      <c r="P2895">
        <f>VLOOKUP(O2895, Coordinates!$A$2:$C$6, 2, FALSE)</f>
        <v>25.761700000000001</v>
      </c>
      <c r="Q2895">
        <f>VLOOKUP(O2895, Coordinates!$A$2:$C$6, 3, FALSE)</f>
        <v>-80.191800000000001</v>
      </c>
      <c r="R2895">
        <v>25</v>
      </c>
      <c r="S2895">
        <v>338</v>
      </c>
      <c r="T2895">
        <v>23</v>
      </c>
      <c r="U2895">
        <v>90.054566181791998</v>
      </c>
      <c r="V2895" t="s">
        <v>55</v>
      </c>
      <c r="W2895">
        <v>3.7955135162690898</v>
      </c>
      <c r="X2895" t="s">
        <v>31</v>
      </c>
      <c r="Y2895" t="s">
        <v>60</v>
      </c>
      <c r="Z2895">
        <v>677.27730645152099</v>
      </c>
    </row>
    <row r="2896" spans="1:26" x14ac:dyDescent="0.3">
      <c r="A2896" t="s">
        <v>61</v>
      </c>
      <c r="B2896" t="s">
        <v>2952</v>
      </c>
      <c r="C2896">
        <v>65.4264999334614</v>
      </c>
      <c r="D2896">
        <v>67</v>
      </c>
      <c r="E2896">
        <v>588</v>
      </c>
      <c r="F2896">
        <v>8220.5993472731807</v>
      </c>
      <c r="G2896" t="s">
        <v>26</v>
      </c>
      <c r="H2896">
        <v>6</v>
      </c>
      <c r="I2896">
        <v>4</v>
      </c>
      <c r="J2896">
        <v>94</v>
      </c>
      <c r="K2896">
        <v>8</v>
      </c>
      <c r="L2896" t="s">
        <v>27</v>
      </c>
      <c r="M2896">
        <v>13.4922683811577</v>
      </c>
      <c r="N2896" t="s">
        <v>45</v>
      </c>
      <c r="O2896" t="s">
        <v>38</v>
      </c>
      <c r="P2896">
        <f>VLOOKUP(O2896, Coordinates!$A$2:$C$6, 2, FALSE)</f>
        <v>25.761700000000001</v>
      </c>
      <c r="Q2896">
        <f>VLOOKUP(O2896, Coordinates!$A$2:$C$6, 3, FALSE)</f>
        <v>-80.191800000000001</v>
      </c>
      <c r="R2896">
        <v>28</v>
      </c>
      <c r="S2896">
        <v>679</v>
      </c>
      <c r="T2896">
        <v>30</v>
      </c>
      <c r="U2896">
        <v>96.789934080021894</v>
      </c>
      <c r="V2896" t="s">
        <v>39</v>
      </c>
      <c r="W2896">
        <v>4.9037185045458198</v>
      </c>
      <c r="X2896" t="s">
        <v>31</v>
      </c>
      <c r="Y2896" t="s">
        <v>32</v>
      </c>
      <c r="Z2896">
        <v>945.99765009001101</v>
      </c>
    </row>
    <row r="2897" spans="1:26" x14ac:dyDescent="0.3">
      <c r="A2897" t="s">
        <v>24</v>
      </c>
      <c r="B2897" t="s">
        <v>2953</v>
      </c>
      <c r="C2897">
        <v>22.9333978059115</v>
      </c>
      <c r="D2897">
        <v>82</v>
      </c>
      <c r="E2897">
        <v>751</v>
      </c>
      <c r="F2897">
        <v>15500.683577015499</v>
      </c>
      <c r="G2897" t="s">
        <v>26</v>
      </c>
      <c r="H2897">
        <v>7</v>
      </c>
      <c r="I2897">
        <v>25</v>
      </c>
      <c r="J2897">
        <v>60</v>
      </c>
      <c r="K2897">
        <v>9</v>
      </c>
      <c r="L2897" t="s">
        <v>27</v>
      </c>
      <c r="M2897">
        <v>7.1462510540075197</v>
      </c>
      <c r="N2897" t="s">
        <v>45</v>
      </c>
      <c r="O2897" t="s">
        <v>38</v>
      </c>
      <c r="P2897">
        <f>VLOOKUP(O2897, Coordinates!$A$2:$C$6, 2, FALSE)</f>
        <v>25.761700000000001</v>
      </c>
      <c r="Q2897">
        <f>VLOOKUP(O2897, Coordinates!$A$2:$C$6, 3, FALSE)</f>
        <v>-80.191800000000001</v>
      </c>
      <c r="R2897">
        <v>26</v>
      </c>
      <c r="S2897">
        <v>207</v>
      </c>
      <c r="T2897">
        <v>6</v>
      </c>
      <c r="U2897">
        <v>86.070682070000004</v>
      </c>
      <c r="V2897" t="s">
        <v>55</v>
      </c>
      <c r="W2897">
        <v>4.9012565953236003</v>
      </c>
      <c r="X2897" t="s">
        <v>46</v>
      </c>
      <c r="Y2897" t="s">
        <v>41</v>
      </c>
      <c r="Z2897">
        <v>181.84075391707</v>
      </c>
    </row>
    <row r="2898" spans="1:26" x14ac:dyDescent="0.3">
      <c r="A2898" t="s">
        <v>82</v>
      </c>
      <c r="B2898" t="s">
        <v>2954</v>
      </c>
      <c r="C2898">
        <v>5.6473963005121703</v>
      </c>
      <c r="D2898">
        <v>78</v>
      </c>
      <c r="E2898">
        <v>840</v>
      </c>
      <c r="F2898">
        <v>4117.2715279764398</v>
      </c>
      <c r="G2898" t="s">
        <v>26</v>
      </c>
      <c r="H2898">
        <v>18</v>
      </c>
      <c r="I2898">
        <v>20</v>
      </c>
      <c r="J2898">
        <v>37</v>
      </c>
      <c r="K2898">
        <v>3</v>
      </c>
      <c r="L2898" t="s">
        <v>44</v>
      </c>
      <c r="M2898">
        <v>5.0883091761823396</v>
      </c>
      <c r="N2898" t="s">
        <v>51</v>
      </c>
      <c r="O2898" t="s">
        <v>29</v>
      </c>
      <c r="P2898">
        <f>VLOOKUP(O2898, Coordinates!$A$2:$C$6, 2, FALSE)</f>
        <v>29.760400000000001</v>
      </c>
      <c r="Q2898">
        <f>VLOOKUP(O2898, Coordinates!$A$2:$C$6, 3, FALSE)</f>
        <v>-95.369799999999998</v>
      </c>
      <c r="R2898">
        <v>18</v>
      </c>
      <c r="S2898">
        <v>307</v>
      </c>
      <c r="T2898">
        <v>18</v>
      </c>
      <c r="U2898">
        <v>46.973928057242702</v>
      </c>
      <c r="V2898" t="s">
        <v>30</v>
      </c>
      <c r="W2898">
        <v>2.5219098040926502</v>
      </c>
      <c r="X2898" t="s">
        <v>40</v>
      </c>
      <c r="Y2898" t="s">
        <v>60</v>
      </c>
      <c r="Z2898">
        <v>146.803416392885</v>
      </c>
    </row>
    <row r="2899" spans="1:26" x14ac:dyDescent="0.3">
      <c r="A2899" t="s">
        <v>42</v>
      </c>
      <c r="B2899" t="s">
        <v>2955</v>
      </c>
      <c r="C2899">
        <v>54.723682581409797</v>
      </c>
      <c r="D2899">
        <v>31</v>
      </c>
      <c r="E2899">
        <v>672</v>
      </c>
      <c r="F2899">
        <v>6394.4130003499104</v>
      </c>
      <c r="G2899" t="s">
        <v>35</v>
      </c>
      <c r="H2899">
        <v>16</v>
      </c>
      <c r="I2899">
        <v>29</v>
      </c>
      <c r="J2899">
        <v>73</v>
      </c>
      <c r="K2899">
        <v>6</v>
      </c>
      <c r="L2899" t="s">
        <v>36</v>
      </c>
      <c r="M2899">
        <v>3.1755276695760899</v>
      </c>
      <c r="N2899" t="s">
        <v>28</v>
      </c>
      <c r="O2899" t="s">
        <v>29</v>
      </c>
      <c r="P2899">
        <f>VLOOKUP(O2899, Coordinates!$A$2:$C$6, 2, FALSE)</f>
        <v>29.760400000000001</v>
      </c>
      <c r="Q2899">
        <f>VLOOKUP(O2899, Coordinates!$A$2:$C$6, 3, FALSE)</f>
        <v>-95.369799999999998</v>
      </c>
      <c r="R2899">
        <v>22</v>
      </c>
      <c r="S2899">
        <v>888</v>
      </c>
      <c r="T2899">
        <v>27</v>
      </c>
      <c r="U2899">
        <v>41.486164122173903</v>
      </c>
      <c r="V2899" t="s">
        <v>30</v>
      </c>
      <c r="W2899">
        <v>3.7667597322955699</v>
      </c>
      <c r="X2899" t="s">
        <v>31</v>
      </c>
      <c r="Y2899" t="s">
        <v>41</v>
      </c>
      <c r="Z2899">
        <v>708.58164306605397</v>
      </c>
    </row>
    <row r="2900" spans="1:26" x14ac:dyDescent="0.3">
      <c r="A2900" t="s">
        <v>33</v>
      </c>
      <c r="B2900" t="s">
        <v>2956</v>
      </c>
      <c r="C2900">
        <v>92.543772230000002</v>
      </c>
      <c r="D2900">
        <v>91</v>
      </c>
      <c r="E2900">
        <v>459</v>
      </c>
      <c r="F2900">
        <v>9434.3047013360901</v>
      </c>
      <c r="G2900" t="s">
        <v>54</v>
      </c>
      <c r="H2900">
        <v>10</v>
      </c>
      <c r="I2900">
        <v>30</v>
      </c>
      <c r="J2900">
        <v>94</v>
      </c>
      <c r="K2900">
        <v>5</v>
      </c>
      <c r="L2900" t="s">
        <v>27</v>
      </c>
      <c r="M2900">
        <v>10.412910168205</v>
      </c>
      <c r="N2900" t="s">
        <v>45</v>
      </c>
      <c r="O2900" t="s">
        <v>38</v>
      </c>
      <c r="P2900">
        <f>VLOOKUP(O2900, Coordinates!$A$2:$C$6, 2, FALSE)</f>
        <v>25.761700000000001</v>
      </c>
      <c r="Q2900">
        <f>VLOOKUP(O2900, Coordinates!$A$2:$C$6, 3, FALSE)</f>
        <v>-80.191800000000001</v>
      </c>
      <c r="R2900">
        <v>26</v>
      </c>
      <c r="S2900">
        <v>821</v>
      </c>
      <c r="T2900">
        <v>15</v>
      </c>
      <c r="U2900">
        <v>21.167261287917</v>
      </c>
      <c r="V2900" t="s">
        <v>55</v>
      </c>
      <c r="W2900">
        <v>4.3919039644896101</v>
      </c>
      <c r="X2900" t="s">
        <v>46</v>
      </c>
      <c r="Y2900" t="s">
        <v>41</v>
      </c>
      <c r="Z2900">
        <v>339.96152315692802</v>
      </c>
    </row>
    <row r="2901" spans="1:26" x14ac:dyDescent="0.3">
      <c r="A2901" t="s">
        <v>72</v>
      </c>
      <c r="B2901" t="s">
        <v>2957</v>
      </c>
      <c r="C2901">
        <v>37.294379056702901</v>
      </c>
      <c r="D2901">
        <v>17</v>
      </c>
      <c r="E2901">
        <v>910</v>
      </c>
      <c r="F2901">
        <v>30544.096447439701</v>
      </c>
      <c r="G2901" t="s">
        <v>54</v>
      </c>
      <c r="H2901">
        <v>48</v>
      </c>
      <c r="I2901">
        <v>20</v>
      </c>
      <c r="J2901">
        <v>30</v>
      </c>
      <c r="K2901">
        <v>7</v>
      </c>
      <c r="L2901" t="s">
        <v>27</v>
      </c>
      <c r="M2901">
        <v>1.36101720599817</v>
      </c>
      <c r="N2901" t="s">
        <v>45</v>
      </c>
      <c r="O2901" t="s">
        <v>38</v>
      </c>
      <c r="P2901">
        <f>VLOOKUP(O2901, Coordinates!$A$2:$C$6, 2, FALSE)</f>
        <v>25.761700000000001</v>
      </c>
      <c r="Q2901">
        <f>VLOOKUP(O2901, Coordinates!$A$2:$C$6, 3, FALSE)</f>
        <v>-80.191800000000001</v>
      </c>
      <c r="R2901">
        <v>28</v>
      </c>
      <c r="S2901">
        <v>401</v>
      </c>
      <c r="T2901">
        <v>14</v>
      </c>
      <c r="U2901">
        <v>76.429899143990298</v>
      </c>
      <c r="V2901" t="s">
        <v>39</v>
      </c>
      <c r="W2901">
        <v>4.6290138709427398</v>
      </c>
      <c r="X2901" t="s">
        <v>40</v>
      </c>
      <c r="Y2901" t="s">
        <v>32</v>
      </c>
      <c r="Z2901">
        <v>711.25446943653003</v>
      </c>
    </row>
    <row r="2902" spans="1:26" x14ac:dyDescent="0.3">
      <c r="A2902" t="s">
        <v>33</v>
      </c>
      <c r="B2902" t="s">
        <v>2958</v>
      </c>
      <c r="C2902">
        <v>83.395080269664902</v>
      </c>
      <c r="D2902">
        <v>55</v>
      </c>
      <c r="E2902">
        <v>119</v>
      </c>
      <c r="F2902">
        <v>7458.8102770846799</v>
      </c>
      <c r="G2902" t="s">
        <v>35</v>
      </c>
      <c r="H2902">
        <v>10</v>
      </c>
      <c r="I2902">
        <v>13</v>
      </c>
      <c r="J2902">
        <v>97</v>
      </c>
      <c r="K2902">
        <v>7</v>
      </c>
      <c r="L2902" t="s">
        <v>36</v>
      </c>
      <c r="M2902">
        <v>7.2999410203791602</v>
      </c>
      <c r="N2902" t="s">
        <v>37</v>
      </c>
      <c r="O2902" t="s">
        <v>29</v>
      </c>
      <c r="P2902">
        <f>VLOOKUP(O2902, Coordinates!$A$2:$C$6, 2, FALSE)</f>
        <v>29.760400000000001</v>
      </c>
      <c r="Q2902">
        <f>VLOOKUP(O2902, Coordinates!$A$2:$C$6, 3, FALSE)</f>
        <v>-95.369799999999998</v>
      </c>
      <c r="R2902">
        <v>9</v>
      </c>
      <c r="S2902">
        <v>529</v>
      </c>
      <c r="T2902">
        <v>24</v>
      </c>
      <c r="U2902">
        <v>36.771649969786999</v>
      </c>
      <c r="V2902" t="s">
        <v>39</v>
      </c>
      <c r="W2902">
        <v>0.55719449437760504</v>
      </c>
      <c r="X2902" t="s">
        <v>31</v>
      </c>
      <c r="Y2902" t="s">
        <v>60</v>
      </c>
      <c r="Z2902">
        <v>751.12315598129805</v>
      </c>
    </row>
    <row r="2903" spans="1:26" x14ac:dyDescent="0.3">
      <c r="A2903" t="s">
        <v>61</v>
      </c>
      <c r="B2903" t="s">
        <v>2959</v>
      </c>
      <c r="C2903">
        <v>80.530511672582406</v>
      </c>
      <c r="D2903">
        <v>93</v>
      </c>
      <c r="E2903">
        <v>317</v>
      </c>
      <c r="F2903">
        <v>7794.8085983424598</v>
      </c>
      <c r="G2903" t="s">
        <v>48</v>
      </c>
      <c r="H2903">
        <v>40</v>
      </c>
      <c r="I2903">
        <v>21</v>
      </c>
      <c r="J2903">
        <v>36</v>
      </c>
      <c r="K2903">
        <v>9</v>
      </c>
      <c r="L2903" t="s">
        <v>27</v>
      </c>
      <c r="M2903">
        <v>8.7017054851411295</v>
      </c>
      <c r="N2903" t="s">
        <v>57</v>
      </c>
      <c r="O2903" t="s">
        <v>38</v>
      </c>
      <c r="P2903">
        <f>VLOOKUP(O2903, Coordinates!$A$2:$C$6, 2, FALSE)</f>
        <v>25.761700000000001</v>
      </c>
      <c r="Q2903">
        <f>VLOOKUP(O2903, Coordinates!$A$2:$C$6, 3, FALSE)</f>
        <v>-80.191800000000001</v>
      </c>
      <c r="R2903">
        <v>28</v>
      </c>
      <c r="S2903">
        <v>447</v>
      </c>
      <c r="T2903">
        <v>21</v>
      </c>
      <c r="U2903">
        <v>94.625501237401394</v>
      </c>
      <c r="V2903" t="s">
        <v>55</v>
      </c>
      <c r="W2903">
        <v>3.0104598627281098</v>
      </c>
      <c r="X2903" t="s">
        <v>31</v>
      </c>
      <c r="Y2903" t="s">
        <v>41</v>
      </c>
      <c r="Z2903">
        <v>374.03302898019899</v>
      </c>
    </row>
    <row r="2904" spans="1:26" x14ac:dyDescent="0.3">
      <c r="A2904" t="s">
        <v>42</v>
      </c>
      <c r="B2904" t="s">
        <v>2960</v>
      </c>
      <c r="D2904">
        <v>36</v>
      </c>
      <c r="E2904">
        <v>826</v>
      </c>
      <c r="F2904">
        <v>1800.7798228240399</v>
      </c>
      <c r="G2904" t="s">
        <v>48</v>
      </c>
      <c r="H2904">
        <v>7</v>
      </c>
      <c r="I2904">
        <v>28</v>
      </c>
      <c r="J2904">
        <v>36</v>
      </c>
      <c r="K2904">
        <v>1</v>
      </c>
      <c r="L2904" t="s">
        <v>27</v>
      </c>
      <c r="M2904">
        <v>5.7569845523246403</v>
      </c>
      <c r="N2904" t="s">
        <v>57</v>
      </c>
      <c r="O2904" t="s">
        <v>67</v>
      </c>
      <c r="P2904">
        <f>VLOOKUP(O2904, Coordinates!$A$2:$C$6, 2, FALSE)</f>
        <v>40.712800000000001</v>
      </c>
      <c r="Q2904">
        <f>VLOOKUP(O2904, Coordinates!$A$2:$C$6, 3, FALSE)</f>
        <v>-74.006</v>
      </c>
      <c r="R2904">
        <v>26</v>
      </c>
      <c r="S2904">
        <v>206</v>
      </c>
      <c r="T2904">
        <v>22</v>
      </c>
      <c r="U2904">
        <v>96.275210620029995</v>
      </c>
      <c r="V2904" t="s">
        <v>30</v>
      </c>
      <c r="W2904">
        <v>1.42502073195378</v>
      </c>
      <c r="X2904" t="s">
        <v>40</v>
      </c>
      <c r="Y2904" t="s">
        <v>41</v>
      </c>
      <c r="Z2904">
        <v>957.40129757652903</v>
      </c>
    </row>
    <row r="2905" spans="1:26" x14ac:dyDescent="0.3">
      <c r="A2905" t="s">
        <v>72</v>
      </c>
      <c r="B2905" t="s">
        <v>2961</v>
      </c>
      <c r="C2905">
        <v>26.4420056884933</v>
      </c>
      <c r="D2905">
        <v>26</v>
      </c>
      <c r="E2905">
        <v>838</v>
      </c>
      <c r="F2905">
        <v>19942.560690261598</v>
      </c>
      <c r="G2905" t="s">
        <v>48</v>
      </c>
      <c r="H2905">
        <v>51</v>
      </c>
      <c r="I2905">
        <v>23</v>
      </c>
      <c r="J2905">
        <v>86</v>
      </c>
      <c r="K2905">
        <v>6</v>
      </c>
      <c r="L2905" t="s">
        <v>36</v>
      </c>
      <c r="M2905">
        <v>11.49744846185</v>
      </c>
      <c r="N2905" t="s">
        <v>51</v>
      </c>
      <c r="O2905" t="s">
        <v>29</v>
      </c>
      <c r="P2905">
        <f>VLOOKUP(O2905, Coordinates!$A$2:$C$6, 2, FALSE)</f>
        <v>29.760400000000001</v>
      </c>
      <c r="Q2905">
        <f>VLOOKUP(O2905, Coordinates!$A$2:$C$6, 3, FALSE)</f>
        <v>-95.369799999999998</v>
      </c>
      <c r="R2905">
        <v>6</v>
      </c>
      <c r="S2905">
        <v>991</v>
      </c>
      <c r="T2905">
        <v>8</v>
      </c>
      <c r="U2905">
        <v>76.232802770000006</v>
      </c>
      <c r="V2905" t="s">
        <v>30</v>
      </c>
      <c r="W2905">
        <v>0.689203236512966</v>
      </c>
      <c r="X2905" t="s">
        <v>40</v>
      </c>
      <c r="Y2905" t="s">
        <v>41</v>
      </c>
      <c r="Z2905">
        <v>797.26679790504602</v>
      </c>
    </row>
    <row r="2906" spans="1:26" x14ac:dyDescent="0.3">
      <c r="A2906" t="s">
        <v>33</v>
      </c>
      <c r="B2906" t="s">
        <v>2962</v>
      </c>
      <c r="C2906">
        <v>18.6003289920633</v>
      </c>
      <c r="D2906">
        <v>53</v>
      </c>
      <c r="E2906">
        <v>950</v>
      </c>
      <c r="F2906">
        <v>8317.9454239975894</v>
      </c>
      <c r="G2906" t="s">
        <v>35</v>
      </c>
      <c r="H2906">
        <v>4</v>
      </c>
      <c r="I2906">
        <v>29</v>
      </c>
      <c r="J2906">
        <v>59</v>
      </c>
      <c r="K2906">
        <v>5</v>
      </c>
      <c r="L2906" t="s">
        <v>27</v>
      </c>
      <c r="M2906">
        <v>10.4592469557311</v>
      </c>
      <c r="N2906" t="s">
        <v>57</v>
      </c>
      <c r="O2906" t="s">
        <v>67</v>
      </c>
      <c r="P2906">
        <f>VLOOKUP(O2906, Coordinates!$A$2:$C$6, 2, FALSE)</f>
        <v>40.712800000000001</v>
      </c>
      <c r="Q2906">
        <f>VLOOKUP(O2906, Coordinates!$A$2:$C$6, 3, FALSE)</f>
        <v>-74.006</v>
      </c>
      <c r="R2906">
        <v>2</v>
      </c>
      <c r="S2906">
        <v>627</v>
      </c>
      <c r="T2906">
        <v>11</v>
      </c>
      <c r="U2906">
        <v>41.574233216787299</v>
      </c>
      <c r="V2906" t="s">
        <v>39</v>
      </c>
      <c r="W2906">
        <v>1.69945998762291</v>
      </c>
      <c r="X2906" t="s">
        <v>40</v>
      </c>
      <c r="Y2906" t="s">
        <v>41</v>
      </c>
      <c r="Z2906">
        <v>430.619593110604</v>
      </c>
    </row>
    <row r="2907" spans="1:26" x14ac:dyDescent="0.3">
      <c r="A2907" t="s">
        <v>82</v>
      </c>
      <c r="B2907" t="s">
        <v>2963</v>
      </c>
      <c r="C2907">
        <v>67.483033991215507</v>
      </c>
      <c r="D2907">
        <v>17</v>
      </c>
      <c r="E2907">
        <v>249</v>
      </c>
      <c r="F2907">
        <v>1300.6270589999999</v>
      </c>
      <c r="G2907" t="s">
        <v>54</v>
      </c>
      <c r="H2907">
        <v>67</v>
      </c>
      <c r="I2907">
        <v>16</v>
      </c>
      <c r="J2907">
        <v>38</v>
      </c>
      <c r="K2907">
        <v>4</v>
      </c>
      <c r="L2907" t="s">
        <v>36</v>
      </c>
      <c r="M2907">
        <v>14.5995858259794</v>
      </c>
      <c r="N2907" t="s">
        <v>28</v>
      </c>
      <c r="O2907" t="s">
        <v>38</v>
      </c>
      <c r="P2907">
        <f>VLOOKUP(O2907, Coordinates!$A$2:$C$6, 2, FALSE)</f>
        <v>25.761700000000001</v>
      </c>
      <c r="Q2907">
        <f>VLOOKUP(O2907, Coordinates!$A$2:$C$6, 3, FALSE)</f>
        <v>-80.191800000000001</v>
      </c>
      <c r="R2907">
        <v>28</v>
      </c>
      <c r="S2907">
        <v>850</v>
      </c>
      <c r="T2907">
        <v>11</v>
      </c>
      <c r="U2907">
        <v>22.92637895939</v>
      </c>
      <c r="V2907" t="s">
        <v>39</v>
      </c>
      <c r="W2907">
        <v>1.00490466022392</v>
      </c>
      <c r="X2907" t="s">
        <v>40</v>
      </c>
      <c r="Y2907" t="s">
        <v>32</v>
      </c>
      <c r="Z2907">
        <v>470.90679512705702</v>
      </c>
    </row>
    <row r="2908" spans="1:26" x14ac:dyDescent="0.3">
      <c r="A2908" t="s">
        <v>24</v>
      </c>
      <c r="B2908" t="s">
        <v>2964</v>
      </c>
      <c r="C2908">
        <v>30.328254940138599</v>
      </c>
      <c r="D2908">
        <v>86</v>
      </c>
      <c r="E2908">
        <v>822</v>
      </c>
      <c r="F2908">
        <v>22436.843004714501</v>
      </c>
      <c r="G2908" t="s">
        <v>35</v>
      </c>
      <c r="H2908">
        <v>91</v>
      </c>
      <c r="I2908">
        <v>28</v>
      </c>
      <c r="J2908">
        <v>48</v>
      </c>
      <c r="K2908">
        <v>10</v>
      </c>
      <c r="L2908" t="s">
        <v>36</v>
      </c>
      <c r="M2908">
        <v>8.1227351900555398</v>
      </c>
      <c r="N2908" t="s">
        <v>37</v>
      </c>
      <c r="O2908" t="s">
        <v>67</v>
      </c>
      <c r="P2908">
        <f>VLOOKUP(O2908, Coordinates!$A$2:$C$6, 2, FALSE)</f>
        <v>40.712800000000001</v>
      </c>
      <c r="Q2908">
        <f>VLOOKUP(O2908, Coordinates!$A$2:$C$6, 3, FALSE)</f>
        <v>-74.006</v>
      </c>
      <c r="R2908">
        <v>12</v>
      </c>
      <c r="S2908">
        <v>505</v>
      </c>
      <c r="T2908">
        <v>12</v>
      </c>
      <c r="U2908">
        <v>92.343155170786403</v>
      </c>
      <c r="V2908" t="s">
        <v>39</v>
      </c>
      <c r="W2908">
        <v>0.11969733287387201</v>
      </c>
      <c r="X2908" t="s">
        <v>31</v>
      </c>
      <c r="Y2908" t="s">
        <v>32</v>
      </c>
      <c r="Z2908">
        <v>744.28430515685204</v>
      </c>
    </row>
    <row r="2909" spans="1:26" x14ac:dyDescent="0.3">
      <c r="A2909" t="s">
        <v>61</v>
      </c>
      <c r="B2909" t="s">
        <v>2965</v>
      </c>
      <c r="C2909">
        <v>7.4291309135247898</v>
      </c>
      <c r="D2909">
        <v>25</v>
      </c>
      <c r="E2909">
        <v>530</v>
      </c>
      <c r="F2909">
        <v>1442.1420450266701</v>
      </c>
      <c r="G2909" t="s">
        <v>54</v>
      </c>
      <c r="H2909">
        <v>96</v>
      </c>
      <c r="I2909">
        <v>25</v>
      </c>
      <c r="J2909">
        <v>66</v>
      </c>
      <c r="K2909">
        <v>1</v>
      </c>
      <c r="L2909" t="s">
        <v>44</v>
      </c>
      <c r="M2909">
        <v>8.5293731048113592</v>
      </c>
      <c r="N2909" t="s">
        <v>51</v>
      </c>
      <c r="O2909" t="s">
        <v>29</v>
      </c>
      <c r="P2909">
        <f>VLOOKUP(O2909, Coordinates!$A$2:$C$6, 2, FALSE)</f>
        <v>29.760400000000001</v>
      </c>
      <c r="Q2909">
        <f>VLOOKUP(O2909, Coordinates!$A$2:$C$6, 3, FALSE)</f>
        <v>-95.369799999999998</v>
      </c>
      <c r="R2909">
        <v>15</v>
      </c>
      <c r="S2909">
        <v>833</v>
      </c>
      <c r="T2909">
        <v>16</v>
      </c>
      <c r="U2909">
        <v>68.185450648556298</v>
      </c>
      <c r="V2909" t="s">
        <v>39</v>
      </c>
      <c r="W2909">
        <v>0.75906994283582996</v>
      </c>
      <c r="X2909" t="s">
        <v>40</v>
      </c>
      <c r="Y2909" t="s">
        <v>60</v>
      </c>
      <c r="Z2909">
        <v>373.63307370000001</v>
      </c>
    </row>
    <row r="2910" spans="1:26" x14ac:dyDescent="0.3">
      <c r="A2910" t="s">
        <v>42</v>
      </c>
      <c r="B2910" t="s">
        <v>2966</v>
      </c>
      <c r="C2910">
        <v>79.857162689999996</v>
      </c>
      <c r="D2910">
        <v>2</v>
      </c>
      <c r="E2910">
        <v>998</v>
      </c>
      <c r="F2910">
        <v>4012.6917859999999</v>
      </c>
      <c r="G2910" t="s">
        <v>26</v>
      </c>
      <c r="H2910">
        <v>4</v>
      </c>
      <c r="I2910">
        <v>23</v>
      </c>
      <c r="J2910">
        <v>46</v>
      </c>
      <c r="K2910">
        <v>4</v>
      </c>
      <c r="L2910" t="s">
        <v>36</v>
      </c>
      <c r="M2910">
        <v>4.4417504687135096</v>
      </c>
      <c r="N2910" t="s">
        <v>57</v>
      </c>
      <c r="O2910" t="s">
        <v>67</v>
      </c>
      <c r="P2910">
        <f>VLOOKUP(O2910, Coordinates!$A$2:$C$6, 2, FALSE)</f>
        <v>40.712800000000001</v>
      </c>
      <c r="Q2910">
        <f>VLOOKUP(O2910, Coordinates!$A$2:$C$6, 3, FALSE)</f>
        <v>-74.006</v>
      </c>
      <c r="R2910">
        <v>9</v>
      </c>
      <c r="S2910">
        <v>355</v>
      </c>
      <c r="T2910">
        <v>7</v>
      </c>
      <c r="U2910">
        <v>48.211621232104299</v>
      </c>
      <c r="V2910" t="s">
        <v>55</v>
      </c>
      <c r="W2910">
        <v>4.4153898045883597</v>
      </c>
      <c r="X2910" t="s">
        <v>52</v>
      </c>
      <c r="Y2910" t="s">
        <v>41</v>
      </c>
      <c r="Z2910">
        <v>365.83766109999999</v>
      </c>
    </row>
    <row r="2911" spans="1:26" x14ac:dyDescent="0.3">
      <c r="A2911" t="s">
        <v>61</v>
      </c>
      <c r="B2911" t="s">
        <v>2967</v>
      </c>
      <c r="C2911">
        <v>90.808569980000001</v>
      </c>
      <c r="D2911">
        <v>86</v>
      </c>
      <c r="E2911">
        <v>954</v>
      </c>
      <c r="F2911">
        <v>5583.6009161193297</v>
      </c>
      <c r="G2911" t="s">
        <v>35</v>
      </c>
      <c r="H2911">
        <v>66</v>
      </c>
      <c r="I2911">
        <v>6</v>
      </c>
      <c r="J2911">
        <v>73</v>
      </c>
      <c r="K2911">
        <v>10</v>
      </c>
      <c r="L2911" t="s">
        <v>27</v>
      </c>
      <c r="M2911">
        <v>6.3967744702300804</v>
      </c>
      <c r="N2911" t="s">
        <v>57</v>
      </c>
      <c r="O2911" t="s">
        <v>58</v>
      </c>
      <c r="P2911">
        <f>VLOOKUP(O2911, Coordinates!$A$2:$C$6, 2, FALSE)</f>
        <v>34.052199999999999</v>
      </c>
      <c r="Q2911">
        <f>VLOOKUP(O2911, Coordinates!$A$2:$C$6, 3, FALSE)</f>
        <v>-118.2437</v>
      </c>
      <c r="R2911">
        <v>29</v>
      </c>
      <c r="S2911">
        <v>400</v>
      </c>
      <c r="T2911">
        <v>27</v>
      </c>
      <c r="U2911">
        <v>72.2482116002776</v>
      </c>
      <c r="V2911" t="s">
        <v>30</v>
      </c>
      <c r="W2911">
        <v>6.0186413000000001E-2</v>
      </c>
      <c r="X2911" t="s">
        <v>52</v>
      </c>
      <c r="Y2911" t="s">
        <v>32</v>
      </c>
      <c r="Z2911">
        <v>662.41858494873497</v>
      </c>
    </row>
    <row r="2912" spans="1:26" x14ac:dyDescent="0.3">
      <c r="A2912" t="s">
        <v>82</v>
      </c>
      <c r="B2912" t="s">
        <v>2968</v>
      </c>
      <c r="C2912">
        <v>30.4044514548502</v>
      </c>
      <c r="D2912">
        <v>5</v>
      </c>
      <c r="E2912">
        <v>431</v>
      </c>
      <c r="F2912">
        <v>5791.1295515916499</v>
      </c>
      <c r="G2912" t="s">
        <v>54</v>
      </c>
      <c r="H2912">
        <v>39</v>
      </c>
      <c r="I2912">
        <v>3</v>
      </c>
      <c r="J2912">
        <v>57</v>
      </c>
      <c r="K2912">
        <v>7</v>
      </c>
      <c r="L2912" t="s">
        <v>44</v>
      </c>
      <c r="M2912">
        <v>1.37604827621625</v>
      </c>
      <c r="N2912" t="s">
        <v>37</v>
      </c>
      <c r="O2912" t="s">
        <v>29</v>
      </c>
      <c r="P2912">
        <f>VLOOKUP(O2912, Coordinates!$A$2:$C$6, 2, FALSE)</f>
        <v>29.760400000000001</v>
      </c>
      <c r="Q2912">
        <f>VLOOKUP(O2912, Coordinates!$A$2:$C$6, 3, FALSE)</f>
        <v>-95.369799999999998</v>
      </c>
      <c r="R2912">
        <v>2</v>
      </c>
      <c r="S2912">
        <v>244</v>
      </c>
      <c r="T2912">
        <v>3</v>
      </c>
      <c r="U2912">
        <v>77.201369708656102</v>
      </c>
      <c r="V2912" t="s">
        <v>55</v>
      </c>
      <c r="W2912">
        <v>3.8692515179704698</v>
      </c>
      <c r="X2912" t="s">
        <v>31</v>
      </c>
      <c r="Y2912" t="s">
        <v>60</v>
      </c>
      <c r="Z2912">
        <v>221.31485189445399</v>
      </c>
    </row>
    <row r="2913" spans="1:26" x14ac:dyDescent="0.3">
      <c r="A2913" t="s">
        <v>42</v>
      </c>
      <c r="B2913" t="s">
        <v>2969</v>
      </c>
      <c r="C2913">
        <v>82.177118797684301</v>
      </c>
      <c r="D2913">
        <v>4</v>
      </c>
      <c r="E2913">
        <v>46</v>
      </c>
      <c r="F2913">
        <v>3409.0008379249798</v>
      </c>
      <c r="G2913" t="s">
        <v>26</v>
      </c>
      <c r="H2913">
        <v>4</v>
      </c>
      <c r="I2913">
        <v>20</v>
      </c>
      <c r="J2913">
        <v>31</v>
      </c>
      <c r="K2913">
        <v>4</v>
      </c>
      <c r="L2913" t="s">
        <v>44</v>
      </c>
      <c r="M2913">
        <v>10.6498470403676</v>
      </c>
      <c r="N2913" t="s">
        <v>51</v>
      </c>
      <c r="O2913" t="s">
        <v>38</v>
      </c>
      <c r="P2913">
        <f>VLOOKUP(O2913, Coordinates!$A$2:$C$6, 2, FALSE)</f>
        <v>25.761700000000001</v>
      </c>
      <c r="Q2913">
        <f>VLOOKUP(O2913, Coordinates!$A$2:$C$6, 3, FALSE)</f>
        <v>-80.191800000000001</v>
      </c>
      <c r="R2913">
        <v>12</v>
      </c>
      <c r="S2913">
        <v>775</v>
      </c>
      <c r="T2913">
        <v>2</v>
      </c>
      <c r="U2913">
        <v>80.475549720000004</v>
      </c>
      <c r="V2913" t="s">
        <v>30</v>
      </c>
      <c r="W2913">
        <v>3.7673055293579099</v>
      </c>
      <c r="X2913" t="s">
        <v>31</v>
      </c>
      <c r="Y2913" t="s">
        <v>60</v>
      </c>
      <c r="Z2913">
        <v>994.00842757100702</v>
      </c>
    </row>
    <row r="2914" spans="1:26" x14ac:dyDescent="0.3">
      <c r="A2914" t="s">
        <v>61</v>
      </c>
      <c r="B2914" t="s">
        <v>2970</v>
      </c>
      <c r="C2914">
        <v>12.828567326885</v>
      </c>
      <c r="D2914">
        <v>36</v>
      </c>
      <c r="E2914">
        <v>469</v>
      </c>
      <c r="F2914">
        <v>9204.3719790424602</v>
      </c>
      <c r="G2914" t="s">
        <v>26</v>
      </c>
      <c r="H2914">
        <v>84</v>
      </c>
      <c r="I2914">
        <v>24</v>
      </c>
      <c r="J2914">
        <v>39</v>
      </c>
      <c r="K2914">
        <v>1</v>
      </c>
      <c r="L2914" t="s">
        <v>27</v>
      </c>
      <c r="M2914">
        <v>5.3627191959999996</v>
      </c>
      <c r="N2914" t="s">
        <v>37</v>
      </c>
      <c r="O2914" t="s">
        <v>65</v>
      </c>
      <c r="P2914">
        <f>VLOOKUP(O2914, Coordinates!$A$2:$C$6, 2, FALSE)</f>
        <v>41.878100000000003</v>
      </c>
      <c r="Q2914">
        <f>VLOOKUP(O2914, Coordinates!$A$2:$C$6, 3, FALSE)</f>
        <v>-87.629800000000003</v>
      </c>
      <c r="R2914">
        <v>16</v>
      </c>
      <c r="S2914">
        <v>623</v>
      </c>
      <c r="T2914">
        <v>3</v>
      </c>
      <c r="U2914">
        <v>55.206830022175602</v>
      </c>
      <c r="V2914" t="s">
        <v>30</v>
      </c>
      <c r="W2914">
        <v>2.82118844179494</v>
      </c>
      <c r="X2914" t="s">
        <v>46</v>
      </c>
      <c r="Y2914" t="s">
        <v>32</v>
      </c>
      <c r="Z2914">
        <v>358.513589475939</v>
      </c>
    </row>
    <row r="2915" spans="1:26" x14ac:dyDescent="0.3">
      <c r="A2915" t="s">
        <v>49</v>
      </c>
      <c r="B2915" t="s">
        <v>2971</v>
      </c>
      <c r="C2915">
        <v>61.996946534801197</v>
      </c>
      <c r="D2915">
        <v>6</v>
      </c>
      <c r="E2915">
        <v>626</v>
      </c>
      <c r="F2915">
        <v>4314.3651088472097</v>
      </c>
      <c r="G2915" t="s">
        <v>35</v>
      </c>
      <c r="H2915">
        <v>21</v>
      </c>
      <c r="I2915">
        <v>4</v>
      </c>
      <c r="J2915">
        <v>37</v>
      </c>
      <c r="K2915">
        <v>10</v>
      </c>
      <c r="L2915" t="s">
        <v>44</v>
      </c>
      <c r="M2915">
        <v>8.5651381353337701</v>
      </c>
      <c r="N2915" t="s">
        <v>51</v>
      </c>
      <c r="O2915" t="s">
        <v>67</v>
      </c>
      <c r="P2915">
        <f>VLOOKUP(O2915, Coordinates!$A$2:$C$6, 2, FALSE)</f>
        <v>40.712800000000001</v>
      </c>
      <c r="Q2915">
        <f>VLOOKUP(O2915, Coordinates!$A$2:$C$6, 3, FALSE)</f>
        <v>-74.006</v>
      </c>
      <c r="R2915">
        <v>7</v>
      </c>
      <c r="S2915">
        <v>661</v>
      </c>
      <c r="T2915">
        <v>8</v>
      </c>
      <c r="U2915">
        <v>81.247669979999998</v>
      </c>
      <c r="V2915" t="s">
        <v>30</v>
      </c>
      <c r="W2915">
        <v>1.04223882854185</v>
      </c>
      <c r="X2915" t="s">
        <v>31</v>
      </c>
      <c r="Y2915" t="s">
        <v>32</v>
      </c>
      <c r="Z2915">
        <v>444.44301981725903</v>
      </c>
    </row>
    <row r="2916" spans="1:26" x14ac:dyDescent="0.3">
      <c r="A2916" t="s">
        <v>82</v>
      </c>
      <c r="B2916" t="s">
        <v>2972</v>
      </c>
      <c r="C2916">
        <v>51.136452206756303</v>
      </c>
      <c r="D2916">
        <v>21</v>
      </c>
      <c r="E2916">
        <v>282</v>
      </c>
      <c r="F2916">
        <v>1409.9514036881701</v>
      </c>
      <c r="G2916" t="s">
        <v>54</v>
      </c>
      <c r="H2916">
        <v>36</v>
      </c>
      <c r="I2916">
        <v>8</v>
      </c>
      <c r="J2916">
        <v>32</v>
      </c>
      <c r="K2916">
        <v>1</v>
      </c>
      <c r="L2916" t="s">
        <v>27</v>
      </c>
      <c r="M2916">
        <v>4.5698935497532798</v>
      </c>
      <c r="N2916" t="s">
        <v>57</v>
      </c>
      <c r="O2916" t="s">
        <v>67</v>
      </c>
      <c r="P2916">
        <f>VLOOKUP(O2916, Coordinates!$A$2:$C$6, 2, FALSE)</f>
        <v>40.712800000000001</v>
      </c>
      <c r="Q2916">
        <f>VLOOKUP(O2916, Coordinates!$A$2:$C$6, 3, FALSE)</f>
        <v>-74.006</v>
      </c>
      <c r="R2916">
        <v>1</v>
      </c>
      <c r="S2916">
        <v>926</v>
      </c>
      <c r="T2916">
        <v>20</v>
      </c>
      <c r="U2916">
        <v>12.2928783642511</v>
      </c>
      <c r="V2916" t="s">
        <v>30</v>
      </c>
      <c r="W2916">
        <v>4.3902961215011498</v>
      </c>
      <c r="X2916" t="s">
        <v>40</v>
      </c>
      <c r="Y2916" t="s">
        <v>41</v>
      </c>
      <c r="Z2916">
        <v>301.83852407309399</v>
      </c>
    </row>
    <row r="2917" spans="1:26" x14ac:dyDescent="0.3">
      <c r="A2917" t="s">
        <v>82</v>
      </c>
      <c r="B2917" t="s">
        <v>2973</v>
      </c>
      <c r="C2917">
        <v>56.862735659999998</v>
      </c>
      <c r="D2917">
        <v>77</v>
      </c>
      <c r="E2917">
        <v>840</v>
      </c>
      <c r="F2917">
        <v>3702.0440038724701</v>
      </c>
      <c r="G2917" t="s">
        <v>26</v>
      </c>
      <c r="H2917">
        <v>10</v>
      </c>
      <c r="I2917">
        <v>20</v>
      </c>
      <c r="J2917">
        <v>13</v>
      </c>
      <c r="K2917">
        <v>1</v>
      </c>
      <c r="L2917" t="s">
        <v>44</v>
      </c>
      <c r="M2917">
        <v>9.6945068047552194</v>
      </c>
      <c r="N2917" t="s">
        <v>37</v>
      </c>
      <c r="O2917" t="s">
        <v>29</v>
      </c>
      <c r="P2917">
        <f>VLOOKUP(O2917, Coordinates!$A$2:$C$6, 2, FALSE)</f>
        <v>29.760400000000001</v>
      </c>
      <c r="Q2917">
        <f>VLOOKUP(O2917, Coordinates!$A$2:$C$6, 3, FALSE)</f>
        <v>-95.369799999999998</v>
      </c>
      <c r="R2917">
        <v>21</v>
      </c>
      <c r="S2917">
        <v>459</v>
      </c>
      <c r="T2917">
        <v>8</v>
      </c>
      <c r="U2917">
        <v>71.236393006498204</v>
      </c>
      <c r="V2917" t="s">
        <v>55</v>
      </c>
      <c r="W2917">
        <v>2.37537784396971</v>
      </c>
      <c r="X2917" t="s">
        <v>40</v>
      </c>
      <c r="Y2917" t="s">
        <v>32</v>
      </c>
      <c r="Z2917">
        <v>679.14643209263204</v>
      </c>
    </row>
    <row r="2918" spans="1:26" x14ac:dyDescent="0.3">
      <c r="A2918" t="s">
        <v>82</v>
      </c>
      <c r="B2918" t="s">
        <v>2974</v>
      </c>
      <c r="C2918">
        <v>92.989494179012695</v>
      </c>
      <c r="D2918">
        <v>89</v>
      </c>
      <c r="E2918">
        <v>23</v>
      </c>
      <c r="F2918">
        <v>5779.9848028973902</v>
      </c>
      <c r="G2918" t="s">
        <v>35</v>
      </c>
      <c r="H2918">
        <v>43</v>
      </c>
      <c r="I2918">
        <v>9</v>
      </c>
      <c r="J2918">
        <v>12</v>
      </c>
      <c r="K2918">
        <v>10</v>
      </c>
      <c r="L2918" t="s">
        <v>27</v>
      </c>
      <c r="M2918">
        <v>7.2661549013566198</v>
      </c>
      <c r="N2918" t="s">
        <v>37</v>
      </c>
      <c r="O2918" t="s">
        <v>29</v>
      </c>
      <c r="P2918">
        <f>VLOOKUP(O2918, Coordinates!$A$2:$C$6, 2, FALSE)</f>
        <v>29.760400000000001</v>
      </c>
      <c r="Q2918">
        <f>VLOOKUP(O2918, Coordinates!$A$2:$C$6, 3, FALSE)</f>
        <v>-95.369799999999998</v>
      </c>
      <c r="R2918">
        <v>7</v>
      </c>
      <c r="S2918">
        <v>623</v>
      </c>
      <c r="T2918">
        <v>4</v>
      </c>
      <c r="U2918">
        <v>31.207056134543102</v>
      </c>
      <c r="V2918" t="s">
        <v>30</v>
      </c>
      <c r="W2918">
        <v>0.86603114523867697</v>
      </c>
      <c r="X2918" t="s">
        <v>31</v>
      </c>
      <c r="Y2918" t="s">
        <v>32</v>
      </c>
      <c r="Z2918">
        <v>154.43976656503401</v>
      </c>
    </row>
    <row r="2919" spans="1:26" x14ac:dyDescent="0.3">
      <c r="A2919" t="s">
        <v>49</v>
      </c>
      <c r="B2919" t="s">
        <v>2975</v>
      </c>
      <c r="C2919">
        <v>87.774948488451003</v>
      </c>
      <c r="D2919">
        <v>26</v>
      </c>
      <c r="E2919">
        <v>70</v>
      </c>
      <c r="F2919">
        <v>4673.9964032940798</v>
      </c>
      <c r="G2919" t="s">
        <v>26</v>
      </c>
      <c r="H2919">
        <v>85</v>
      </c>
      <c r="I2919">
        <v>22</v>
      </c>
      <c r="J2919">
        <v>70</v>
      </c>
      <c r="K2919">
        <v>5</v>
      </c>
      <c r="L2919" t="s">
        <v>36</v>
      </c>
      <c r="M2919">
        <v>7.7460491334081096</v>
      </c>
      <c r="N2919" t="s">
        <v>28</v>
      </c>
      <c r="O2919" t="s">
        <v>58</v>
      </c>
      <c r="P2919">
        <f>VLOOKUP(O2919, Coordinates!$A$2:$C$6, 2, FALSE)</f>
        <v>34.052199999999999</v>
      </c>
      <c r="Q2919">
        <f>VLOOKUP(O2919, Coordinates!$A$2:$C$6, 3, FALSE)</f>
        <v>-118.2437</v>
      </c>
      <c r="R2919">
        <v>3</v>
      </c>
      <c r="S2919">
        <v>583</v>
      </c>
      <c r="T2919">
        <v>23</v>
      </c>
      <c r="U2919">
        <v>34.3468262518887</v>
      </c>
      <c r="V2919" t="s">
        <v>30</v>
      </c>
      <c r="W2919">
        <v>2.14511296244613</v>
      </c>
      <c r="X2919" t="s">
        <v>52</v>
      </c>
      <c r="Y2919" t="s">
        <v>32</v>
      </c>
      <c r="Z2919">
        <v>935.02779126041196</v>
      </c>
    </row>
    <row r="2920" spans="1:26" x14ac:dyDescent="0.3">
      <c r="A2920" t="s">
        <v>49</v>
      </c>
      <c r="B2920" t="s">
        <v>2976</v>
      </c>
      <c r="C2920">
        <v>79.582947437776895</v>
      </c>
      <c r="D2920">
        <v>55</v>
      </c>
      <c r="E2920">
        <v>171</v>
      </c>
      <c r="F2920">
        <v>3464.5826718933299</v>
      </c>
      <c r="G2920" t="s">
        <v>48</v>
      </c>
      <c r="H2920">
        <v>52</v>
      </c>
      <c r="I2920">
        <v>1</v>
      </c>
      <c r="J2920">
        <v>13</v>
      </c>
      <c r="K2920">
        <v>7</v>
      </c>
      <c r="L2920" t="s">
        <v>36</v>
      </c>
      <c r="M2920">
        <v>14.196499957414501</v>
      </c>
      <c r="N2920" t="s">
        <v>37</v>
      </c>
      <c r="O2920" t="s">
        <v>38</v>
      </c>
      <c r="P2920">
        <f>VLOOKUP(O2920, Coordinates!$A$2:$C$6, 2, FALSE)</f>
        <v>25.761700000000001</v>
      </c>
      <c r="Q2920">
        <f>VLOOKUP(O2920, Coordinates!$A$2:$C$6, 3, FALSE)</f>
        <v>-80.191800000000001</v>
      </c>
      <c r="R2920">
        <v>20</v>
      </c>
      <c r="S2920">
        <v>289</v>
      </c>
      <c r="T2920">
        <v>13</v>
      </c>
      <c r="U2920">
        <v>18.2171535946059</v>
      </c>
      <c r="V2920" t="s">
        <v>30</v>
      </c>
      <c r="W2920">
        <v>0.97458613872126298</v>
      </c>
      <c r="X2920" t="s">
        <v>46</v>
      </c>
      <c r="Y2920" t="s">
        <v>60</v>
      </c>
      <c r="Z2920">
        <v>373.58683824145402</v>
      </c>
    </row>
    <row r="2921" spans="1:26" x14ac:dyDescent="0.3">
      <c r="A2921" t="s">
        <v>33</v>
      </c>
      <c r="B2921" t="s">
        <v>2977</v>
      </c>
      <c r="C2921">
        <v>31.0013534794452</v>
      </c>
      <c r="D2921">
        <v>39</v>
      </c>
      <c r="E2921">
        <v>821</v>
      </c>
      <c r="F2921">
        <v>2181.9092478788498</v>
      </c>
      <c r="G2921" t="s">
        <v>35</v>
      </c>
      <c r="H2921">
        <v>5</v>
      </c>
      <c r="I2921">
        <v>26</v>
      </c>
      <c r="J2921">
        <v>74</v>
      </c>
      <c r="K2921">
        <v>9</v>
      </c>
      <c r="L2921" t="s">
        <v>44</v>
      </c>
      <c r="M2921">
        <v>10.886244523734</v>
      </c>
      <c r="N2921" t="s">
        <v>51</v>
      </c>
      <c r="O2921" t="s">
        <v>67</v>
      </c>
      <c r="P2921">
        <f>VLOOKUP(O2921, Coordinates!$A$2:$C$6, 2, FALSE)</f>
        <v>40.712800000000001</v>
      </c>
      <c r="Q2921">
        <f>VLOOKUP(O2921, Coordinates!$A$2:$C$6, 3, FALSE)</f>
        <v>-74.006</v>
      </c>
      <c r="R2921">
        <v>5</v>
      </c>
      <c r="S2921">
        <v>395</v>
      </c>
      <c r="T2921">
        <v>22</v>
      </c>
      <c r="U2921">
        <v>27.315303723386101</v>
      </c>
      <c r="V2921" t="s">
        <v>30</v>
      </c>
      <c r="W2921">
        <v>1.88003920564962</v>
      </c>
      <c r="X2921" t="s">
        <v>31</v>
      </c>
      <c r="Y2921" t="s">
        <v>32</v>
      </c>
      <c r="Z2921">
        <v>934.63773709231702</v>
      </c>
    </row>
    <row r="2922" spans="1:26" x14ac:dyDescent="0.3">
      <c r="A2922" t="s">
        <v>72</v>
      </c>
      <c r="B2922" t="s">
        <v>2978</v>
      </c>
      <c r="C2922">
        <v>27.258719729189199</v>
      </c>
      <c r="D2922">
        <v>84</v>
      </c>
      <c r="E2922">
        <v>407</v>
      </c>
      <c r="F2922">
        <v>9984.8690368019998</v>
      </c>
      <c r="G2922" t="s">
        <v>26</v>
      </c>
      <c r="H2922">
        <v>60</v>
      </c>
      <c r="I2922">
        <v>26</v>
      </c>
      <c r="J2922">
        <v>21</v>
      </c>
      <c r="K2922">
        <v>8</v>
      </c>
      <c r="L2922" t="s">
        <v>44</v>
      </c>
      <c r="M2922">
        <v>4.6665962984010303</v>
      </c>
      <c r="N2922" t="s">
        <v>28</v>
      </c>
      <c r="O2922" t="s">
        <v>67</v>
      </c>
      <c r="P2922">
        <f>VLOOKUP(O2922, Coordinates!$A$2:$C$6, 2, FALSE)</f>
        <v>40.712800000000001</v>
      </c>
      <c r="Q2922">
        <f>VLOOKUP(O2922, Coordinates!$A$2:$C$6, 3, FALSE)</f>
        <v>-74.006</v>
      </c>
      <c r="R2922">
        <v>3</v>
      </c>
      <c r="S2922">
        <v>192</v>
      </c>
      <c r="T2922">
        <v>26</v>
      </c>
      <c r="U2922">
        <v>80.242989304873106</v>
      </c>
      <c r="V2922" t="s">
        <v>55</v>
      </c>
      <c r="W2922">
        <v>2.4834388550506001</v>
      </c>
      <c r="X2922" t="s">
        <v>31</v>
      </c>
      <c r="Y2922" t="s">
        <v>60</v>
      </c>
      <c r="Z2922">
        <v>328.18527766943703</v>
      </c>
    </row>
    <row r="2923" spans="1:26" x14ac:dyDescent="0.3">
      <c r="A2923" t="s">
        <v>24</v>
      </c>
      <c r="B2923" t="s">
        <v>2979</v>
      </c>
      <c r="C2923">
        <v>30.0639502160425</v>
      </c>
      <c r="D2923">
        <v>33</v>
      </c>
      <c r="E2923">
        <v>916</v>
      </c>
      <c r="F2923">
        <v>24784.7205581054</v>
      </c>
      <c r="G2923" t="s">
        <v>35</v>
      </c>
      <c r="H2923">
        <v>66</v>
      </c>
      <c r="I2923">
        <v>2</v>
      </c>
      <c r="J2923">
        <v>22</v>
      </c>
      <c r="K2923">
        <v>2</v>
      </c>
      <c r="L2923" t="s">
        <v>36</v>
      </c>
      <c r="M2923">
        <v>8.0549054483799498</v>
      </c>
      <c r="N2923" t="s">
        <v>37</v>
      </c>
      <c r="O2923" t="s">
        <v>65</v>
      </c>
      <c r="P2923">
        <f>VLOOKUP(O2923, Coordinates!$A$2:$C$6, 2, FALSE)</f>
        <v>41.878100000000003</v>
      </c>
      <c r="Q2923">
        <f>VLOOKUP(O2923, Coordinates!$A$2:$C$6, 3, FALSE)</f>
        <v>-87.629800000000003</v>
      </c>
      <c r="R2923">
        <v>15</v>
      </c>
      <c r="S2923">
        <v>229</v>
      </c>
      <c r="T2923">
        <v>17</v>
      </c>
      <c r="U2923">
        <v>82.244214665455502</v>
      </c>
      <c r="V2923" t="s">
        <v>55</v>
      </c>
      <c r="W2923">
        <v>1.7995044485102401</v>
      </c>
      <c r="X2923" t="s">
        <v>46</v>
      </c>
      <c r="Y2923" t="s">
        <v>60</v>
      </c>
      <c r="Z2923">
        <v>562.40935020705501</v>
      </c>
    </row>
    <row r="2924" spans="1:26" x14ac:dyDescent="0.3">
      <c r="A2924" t="s">
        <v>61</v>
      </c>
      <c r="B2924" t="s">
        <v>2980</v>
      </c>
      <c r="C2924">
        <v>86.066275573084795</v>
      </c>
      <c r="D2924">
        <v>14</v>
      </c>
      <c r="E2924">
        <v>826</v>
      </c>
      <c r="F2924">
        <v>3965.8792017149299</v>
      </c>
      <c r="G2924" t="s">
        <v>35</v>
      </c>
      <c r="H2924">
        <v>12</v>
      </c>
      <c r="I2924">
        <v>23</v>
      </c>
      <c r="J2924">
        <v>43</v>
      </c>
      <c r="K2924">
        <v>9</v>
      </c>
      <c r="L2924" t="s">
        <v>27</v>
      </c>
      <c r="M2924">
        <v>7.5334194667276897</v>
      </c>
      <c r="N2924" t="s">
        <v>37</v>
      </c>
      <c r="O2924" t="s">
        <v>67</v>
      </c>
      <c r="P2924">
        <f>VLOOKUP(O2924, Coordinates!$A$2:$C$6, 2, FALSE)</f>
        <v>40.712800000000001</v>
      </c>
      <c r="Q2924">
        <f>VLOOKUP(O2924, Coordinates!$A$2:$C$6, 3, FALSE)</f>
        <v>-74.006</v>
      </c>
      <c r="R2924">
        <v>6</v>
      </c>
      <c r="S2924">
        <v>960</v>
      </c>
      <c r="T2924">
        <v>29</v>
      </c>
      <c r="U2924">
        <v>93.498885881981593</v>
      </c>
      <c r="V2924" t="s">
        <v>55</v>
      </c>
      <c r="W2924">
        <v>3.2852213703634998</v>
      </c>
      <c r="X2924" t="s">
        <v>52</v>
      </c>
      <c r="Y2924" t="s">
        <v>32</v>
      </c>
      <c r="Z2924">
        <v>725.654513614145</v>
      </c>
    </row>
    <row r="2925" spans="1:26" x14ac:dyDescent="0.3">
      <c r="A2925" t="s">
        <v>33</v>
      </c>
      <c r="B2925" t="s">
        <v>2981</v>
      </c>
      <c r="C2925">
        <v>36.1752068735927</v>
      </c>
      <c r="D2925">
        <v>56</v>
      </c>
      <c r="E2925">
        <v>974</v>
      </c>
      <c r="F2925">
        <v>4434.5893975894296</v>
      </c>
      <c r="G2925" t="s">
        <v>54</v>
      </c>
      <c r="H2925">
        <v>0</v>
      </c>
      <c r="I2925">
        <v>29</v>
      </c>
      <c r="J2925">
        <v>68</v>
      </c>
      <c r="K2925">
        <v>4</v>
      </c>
      <c r="L2925" t="s">
        <v>44</v>
      </c>
      <c r="M2925">
        <v>12.130736496297001</v>
      </c>
      <c r="N2925" t="s">
        <v>28</v>
      </c>
      <c r="O2925" t="s">
        <v>67</v>
      </c>
      <c r="P2925">
        <f>VLOOKUP(O2925, Coordinates!$A$2:$C$6, 2, FALSE)</f>
        <v>40.712800000000001</v>
      </c>
      <c r="Q2925">
        <f>VLOOKUP(O2925, Coordinates!$A$2:$C$6, 3, FALSE)</f>
        <v>-74.006</v>
      </c>
      <c r="R2925">
        <v>15</v>
      </c>
      <c r="S2925">
        <v>583</v>
      </c>
      <c r="T2925">
        <v>27</v>
      </c>
      <c r="U2925">
        <v>24.660957537351798</v>
      </c>
      <c r="V2925" t="s">
        <v>39</v>
      </c>
      <c r="W2925">
        <v>4.6795890204421902</v>
      </c>
      <c r="X2925" t="s">
        <v>31</v>
      </c>
      <c r="Y2925" t="s">
        <v>60</v>
      </c>
      <c r="Z2925">
        <v>651.36419145172795</v>
      </c>
    </row>
    <row r="2926" spans="1:26" x14ac:dyDescent="0.3">
      <c r="A2926" t="s">
        <v>61</v>
      </c>
      <c r="B2926" t="s">
        <v>2982</v>
      </c>
      <c r="C2926">
        <v>10.108369607888401</v>
      </c>
      <c r="D2926">
        <v>100</v>
      </c>
      <c r="E2926">
        <v>116</v>
      </c>
      <c r="F2926">
        <v>6562.3377220926104</v>
      </c>
      <c r="G2926" t="s">
        <v>54</v>
      </c>
      <c r="H2926">
        <v>10</v>
      </c>
      <c r="I2926">
        <v>23</v>
      </c>
      <c r="J2926">
        <v>82</v>
      </c>
      <c r="K2926">
        <v>10</v>
      </c>
      <c r="L2926" t="s">
        <v>36</v>
      </c>
      <c r="M2926">
        <v>12.6669715973468</v>
      </c>
      <c r="N2926" t="s">
        <v>57</v>
      </c>
      <c r="O2926" t="s">
        <v>58</v>
      </c>
      <c r="P2926">
        <f>VLOOKUP(O2926, Coordinates!$A$2:$C$6, 2, FALSE)</f>
        <v>34.052199999999999</v>
      </c>
      <c r="Q2926">
        <f>VLOOKUP(O2926, Coordinates!$A$2:$C$6, 3, FALSE)</f>
        <v>-118.2437</v>
      </c>
      <c r="R2926">
        <v>3</v>
      </c>
      <c r="S2926">
        <v>975</v>
      </c>
      <c r="T2926">
        <v>24</v>
      </c>
      <c r="U2926">
        <v>28.3652957888667</v>
      </c>
      <c r="V2926" t="s">
        <v>39</v>
      </c>
      <c r="W2926">
        <v>1.7407467382348101</v>
      </c>
      <c r="X2926" t="s">
        <v>52</v>
      </c>
      <c r="Y2926" t="s">
        <v>41</v>
      </c>
      <c r="Z2926">
        <v>561.24330795310095</v>
      </c>
    </row>
    <row r="2927" spans="1:26" x14ac:dyDescent="0.3">
      <c r="A2927" t="s">
        <v>24</v>
      </c>
      <c r="B2927" t="s">
        <v>2983</v>
      </c>
      <c r="C2927">
        <v>36.3680512699272</v>
      </c>
      <c r="D2927">
        <v>81</v>
      </c>
      <c r="E2927">
        <v>278</v>
      </c>
      <c r="F2927">
        <v>9099.2864279999994</v>
      </c>
      <c r="G2927" t="s">
        <v>26</v>
      </c>
      <c r="H2927">
        <v>10</v>
      </c>
      <c r="I2927">
        <v>19</v>
      </c>
      <c r="J2927">
        <v>40</v>
      </c>
      <c r="K2927">
        <v>5</v>
      </c>
      <c r="L2927" t="s">
        <v>44</v>
      </c>
      <c r="M2927">
        <v>4.9681995183841501</v>
      </c>
      <c r="N2927" t="s">
        <v>37</v>
      </c>
      <c r="O2927" t="s">
        <v>65</v>
      </c>
      <c r="P2927">
        <f>VLOOKUP(O2927, Coordinates!$A$2:$C$6, 2, FALSE)</f>
        <v>41.878100000000003</v>
      </c>
      <c r="Q2927">
        <f>VLOOKUP(O2927, Coordinates!$A$2:$C$6, 3, FALSE)</f>
        <v>-87.629800000000003</v>
      </c>
      <c r="R2927">
        <v>24</v>
      </c>
      <c r="S2927">
        <v>508</v>
      </c>
      <c r="T2927">
        <v>22</v>
      </c>
      <c r="U2927">
        <v>79.367927844519997</v>
      </c>
      <c r="V2927" t="s">
        <v>30</v>
      </c>
      <c r="W2927">
        <v>1.7786975691824201</v>
      </c>
      <c r="X2927" t="s">
        <v>40</v>
      </c>
      <c r="Y2927" t="s">
        <v>41</v>
      </c>
      <c r="Z2927">
        <v>809.67944157075704</v>
      </c>
    </row>
    <row r="2928" spans="1:26" x14ac:dyDescent="0.3">
      <c r="A2928" t="s">
        <v>72</v>
      </c>
      <c r="B2928" t="s">
        <v>2984</v>
      </c>
      <c r="C2928">
        <v>23.660264182594499</v>
      </c>
      <c r="D2928">
        <v>21</v>
      </c>
      <c r="E2928">
        <v>411</v>
      </c>
      <c r="F2928">
        <v>8751.9317211417292</v>
      </c>
      <c r="G2928" t="s">
        <v>35</v>
      </c>
      <c r="H2928">
        <v>84</v>
      </c>
      <c r="I2928">
        <v>17</v>
      </c>
      <c r="J2928">
        <v>80</v>
      </c>
      <c r="K2928">
        <v>5</v>
      </c>
      <c r="L2928" t="s">
        <v>36</v>
      </c>
      <c r="M2928">
        <v>12.496120354687299</v>
      </c>
      <c r="N2928" t="s">
        <v>45</v>
      </c>
      <c r="O2928" t="s">
        <v>38</v>
      </c>
      <c r="P2928">
        <f>VLOOKUP(O2928, Coordinates!$A$2:$C$6, 2, FALSE)</f>
        <v>25.761700000000001</v>
      </c>
      <c r="Q2928">
        <f>VLOOKUP(O2928, Coordinates!$A$2:$C$6, 3, FALSE)</f>
        <v>-80.191800000000001</v>
      </c>
      <c r="R2928">
        <v>27</v>
      </c>
      <c r="S2928">
        <v>440</v>
      </c>
      <c r="T2928">
        <v>18</v>
      </c>
      <c r="U2928">
        <v>88.977619143304096</v>
      </c>
      <c r="V2928" t="s">
        <v>39</v>
      </c>
      <c r="W2928">
        <v>4.7872302795862396</v>
      </c>
      <c r="X2928" t="s">
        <v>52</v>
      </c>
      <c r="Y2928" t="s">
        <v>60</v>
      </c>
      <c r="Z2928">
        <v>523.44463465522699</v>
      </c>
    </row>
    <row r="2929" spans="1:26" x14ac:dyDescent="0.3">
      <c r="A2929" t="s">
        <v>49</v>
      </c>
      <c r="B2929" t="s">
        <v>2985</v>
      </c>
      <c r="C2929">
        <v>28.139256957139999</v>
      </c>
      <c r="D2929">
        <v>46</v>
      </c>
      <c r="E2929">
        <v>377</v>
      </c>
      <c r="F2929">
        <v>9144.3656528363299</v>
      </c>
      <c r="G2929" t="s">
        <v>35</v>
      </c>
      <c r="H2929">
        <v>84</v>
      </c>
      <c r="I2929">
        <v>24</v>
      </c>
      <c r="J2929">
        <v>22</v>
      </c>
      <c r="K2929">
        <v>4</v>
      </c>
      <c r="L2929" t="s">
        <v>36</v>
      </c>
      <c r="M2929">
        <v>3.51301967407402</v>
      </c>
      <c r="N2929" t="s">
        <v>57</v>
      </c>
      <c r="O2929" t="s">
        <v>67</v>
      </c>
      <c r="P2929">
        <f>VLOOKUP(O2929, Coordinates!$A$2:$C$6, 2, FALSE)</f>
        <v>40.712800000000001</v>
      </c>
      <c r="Q2929">
        <f>VLOOKUP(O2929, Coordinates!$A$2:$C$6, 3, FALSE)</f>
        <v>-74.006</v>
      </c>
      <c r="R2929">
        <v>1</v>
      </c>
      <c r="S2929">
        <v>313</v>
      </c>
      <c r="T2929">
        <v>5</v>
      </c>
      <c r="U2929">
        <v>67.952368771731599</v>
      </c>
      <c r="V2929" t="s">
        <v>30</v>
      </c>
      <c r="W2929">
        <v>2.6529546576054202</v>
      </c>
      <c r="X2929" t="s">
        <v>40</v>
      </c>
      <c r="Y2929" t="s">
        <v>32</v>
      </c>
      <c r="Z2929">
        <v>399.85699741044499</v>
      </c>
    </row>
    <row r="2930" spans="1:26" x14ac:dyDescent="0.3">
      <c r="A2930" t="s">
        <v>72</v>
      </c>
      <c r="B2930" t="s">
        <v>2986</v>
      </c>
      <c r="C2930">
        <v>35.095861154032399</v>
      </c>
      <c r="D2930">
        <v>16</v>
      </c>
      <c r="E2930">
        <v>601</v>
      </c>
      <c r="F2930">
        <v>18983.351298216101</v>
      </c>
      <c r="G2930" t="s">
        <v>48</v>
      </c>
      <c r="H2930">
        <v>6</v>
      </c>
      <c r="I2930">
        <v>13</v>
      </c>
      <c r="J2930">
        <v>63</v>
      </c>
      <c r="K2930">
        <v>6</v>
      </c>
      <c r="L2930" t="s">
        <v>36</v>
      </c>
      <c r="M2930">
        <v>11.6787877635277</v>
      </c>
      <c r="N2930" t="s">
        <v>37</v>
      </c>
      <c r="O2930" t="s">
        <v>38</v>
      </c>
      <c r="P2930">
        <f>VLOOKUP(O2930, Coordinates!$A$2:$C$6, 2, FALSE)</f>
        <v>25.761700000000001</v>
      </c>
      <c r="Q2930">
        <f>VLOOKUP(O2930, Coordinates!$A$2:$C$6, 3, FALSE)</f>
        <v>-80.191800000000001</v>
      </c>
      <c r="R2930">
        <v>2</v>
      </c>
      <c r="S2930">
        <v>429</v>
      </c>
      <c r="T2930">
        <v>12</v>
      </c>
      <c r="U2930">
        <v>82.721972506742603</v>
      </c>
      <c r="V2930" t="s">
        <v>55</v>
      </c>
      <c r="W2930">
        <v>2.1441971981036998</v>
      </c>
      <c r="X2930" t="s">
        <v>46</v>
      </c>
      <c r="Y2930" t="s">
        <v>32</v>
      </c>
      <c r="Z2930">
        <v>746.73363489818803</v>
      </c>
    </row>
    <row r="2931" spans="1:26" x14ac:dyDescent="0.3">
      <c r="A2931" t="s">
        <v>49</v>
      </c>
      <c r="B2931" t="s">
        <v>2987</v>
      </c>
      <c r="C2931">
        <v>11.050052912739</v>
      </c>
      <c r="D2931">
        <v>16</v>
      </c>
      <c r="E2931">
        <v>655</v>
      </c>
      <c r="F2931">
        <v>5053.51068765337</v>
      </c>
      <c r="G2931" t="s">
        <v>35</v>
      </c>
      <c r="H2931">
        <v>16</v>
      </c>
      <c r="I2931">
        <v>29</v>
      </c>
      <c r="J2931">
        <v>11</v>
      </c>
      <c r="K2931">
        <v>1</v>
      </c>
      <c r="L2931" t="s">
        <v>27</v>
      </c>
      <c r="M2931">
        <v>4.482983613</v>
      </c>
      <c r="N2931" t="s">
        <v>57</v>
      </c>
      <c r="O2931" t="s">
        <v>67</v>
      </c>
      <c r="P2931">
        <f>VLOOKUP(O2931, Coordinates!$A$2:$C$6, 2, FALSE)</f>
        <v>40.712800000000001</v>
      </c>
      <c r="Q2931">
        <f>VLOOKUP(O2931, Coordinates!$A$2:$C$6, 3, FALSE)</f>
        <v>-74.006</v>
      </c>
      <c r="R2931">
        <v>4</v>
      </c>
      <c r="S2931">
        <v>994</v>
      </c>
      <c r="T2931">
        <v>2</v>
      </c>
      <c r="U2931">
        <v>83.043751371891503</v>
      </c>
      <c r="V2931" t="s">
        <v>55</v>
      </c>
      <c r="W2931">
        <v>4.06904094228251</v>
      </c>
      <c r="X2931" t="s">
        <v>31</v>
      </c>
      <c r="Y2931" t="s">
        <v>60</v>
      </c>
      <c r="Z2931">
        <v>943.54439167277496</v>
      </c>
    </row>
    <row r="2932" spans="1:26" x14ac:dyDescent="0.3">
      <c r="A2932" t="s">
        <v>24</v>
      </c>
      <c r="B2932" t="s">
        <v>2988</v>
      </c>
      <c r="C2932">
        <v>28.917779438004001</v>
      </c>
      <c r="D2932">
        <v>84</v>
      </c>
      <c r="E2932">
        <v>43</v>
      </c>
      <c r="F2932">
        <v>1119.11806425075</v>
      </c>
      <c r="G2932" t="s">
        <v>54</v>
      </c>
      <c r="H2932">
        <v>47</v>
      </c>
      <c r="I2932">
        <v>26</v>
      </c>
      <c r="J2932">
        <v>42</v>
      </c>
      <c r="K2932">
        <v>2</v>
      </c>
      <c r="L2932" t="s">
        <v>44</v>
      </c>
      <c r="M2932">
        <v>-10</v>
      </c>
      <c r="N2932" t="s">
        <v>51</v>
      </c>
      <c r="O2932" t="s">
        <v>58</v>
      </c>
      <c r="P2932">
        <f>VLOOKUP(O2932, Coordinates!$A$2:$C$6, 2, FALSE)</f>
        <v>34.052199999999999</v>
      </c>
      <c r="Q2932">
        <f>VLOOKUP(O2932, Coordinates!$A$2:$C$6, 3, FALSE)</f>
        <v>-118.2437</v>
      </c>
      <c r="R2932">
        <v>21</v>
      </c>
      <c r="S2932">
        <v>898</v>
      </c>
      <c r="T2932">
        <v>10</v>
      </c>
      <c r="U2932">
        <v>84.126508639999997</v>
      </c>
      <c r="V2932" t="s">
        <v>55</v>
      </c>
      <c r="W2932">
        <v>4.4551803359570501</v>
      </c>
      <c r="X2932" t="s">
        <v>40</v>
      </c>
      <c r="Y2932" t="s">
        <v>32</v>
      </c>
      <c r="Z2932">
        <v>641.24683759397999</v>
      </c>
    </row>
    <row r="2933" spans="1:26" x14ac:dyDescent="0.3">
      <c r="A2933" t="s">
        <v>72</v>
      </c>
      <c r="B2933" t="s">
        <v>2989</v>
      </c>
      <c r="C2933">
        <v>38.6990050450514</v>
      </c>
      <c r="D2933">
        <v>29</v>
      </c>
      <c r="E2933">
        <v>109</v>
      </c>
      <c r="F2933">
        <v>3796.3723949195401</v>
      </c>
      <c r="G2933" t="s">
        <v>35</v>
      </c>
      <c r="H2933">
        <v>13</v>
      </c>
      <c r="I2933">
        <v>14</v>
      </c>
      <c r="J2933">
        <v>59</v>
      </c>
      <c r="K2933">
        <v>4</v>
      </c>
      <c r="L2933" t="s">
        <v>27</v>
      </c>
      <c r="M2933">
        <v>12.934549762645901</v>
      </c>
      <c r="N2933" t="s">
        <v>57</v>
      </c>
      <c r="O2933" t="s">
        <v>67</v>
      </c>
      <c r="P2933">
        <f>VLOOKUP(O2933, Coordinates!$A$2:$C$6, 2, FALSE)</f>
        <v>40.712800000000001</v>
      </c>
      <c r="Q2933">
        <f>VLOOKUP(O2933, Coordinates!$A$2:$C$6, 3, FALSE)</f>
        <v>-74.006</v>
      </c>
      <c r="R2933">
        <v>14</v>
      </c>
      <c r="S2933">
        <v>274</v>
      </c>
      <c r="T2933">
        <v>7</v>
      </c>
      <c r="U2933">
        <v>88.489276165160803</v>
      </c>
      <c r="V2933" t="s">
        <v>30</v>
      </c>
      <c r="W2933">
        <v>2.95293303023591</v>
      </c>
      <c r="X2933" t="s">
        <v>52</v>
      </c>
      <c r="Y2933" t="s">
        <v>60</v>
      </c>
      <c r="Z2933">
        <v>-50</v>
      </c>
    </row>
    <row r="2934" spans="1:26" x14ac:dyDescent="0.3">
      <c r="A2934" t="s">
        <v>33</v>
      </c>
      <c r="B2934" t="s">
        <v>2990</v>
      </c>
      <c r="C2934">
        <v>47.313904505049699</v>
      </c>
      <c r="D2934">
        <v>92</v>
      </c>
      <c r="E2934">
        <v>995</v>
      </c>
      <c r="F2934">
        <v>8150.9706497953403</v>
      </c>
      <c r="G2934" t="s">
        <v>54</v>
      </c>
      <c r="H2934">
        <v>6</v>
      </c>
      <c r="I2934">
        <v>28</v>
      </c>
      <c r="J2934">
        <v>16</v>
      </c>
      <c r="K2934">
        <v>4</v>
      </c>
      <c r="L2934" t="s">
        <v>27</v>
      </c>
      <c r="M2934">
        <v>6.88104811078815</v>
      </c>
      <c r="N2934" t="s">
        <v>28</v>
      </c>
      <c r="O2934" t="s">
        <v>67</v>
      </c>
      <c r="P2934">
        <f>VLOOKUP(O2934, Coordinates!$A$2:$C$6, 2, FALSE)</f>
        <v>40.712800000000001</v>
      </c>
      <c r="Q2934">
        <f>VLOOKUP(O2934, Coordinates!$A$2:$C$6, 3, FALSE)</f>
        <v>-74.006</v>
      </c>
      <c r="R2934">
        <v>14</v>
      </c>
      <c r="S2934">
        <v>543</v>
      </c>
      <c r="T2934">
        <v>15</v>
      </c>
      <c r="U2934">
        <v>38.896588002135502</v>
      </c>
      <c r="V2934" t="s">
        <v>30</v>
      </c>
      <c r="W2934">
        <v>0.92551636377752999</v>
      </c>
      <c r="X2934" t="s">
        <v>31</v>
      </c>
      <c r="Y2934" t="s">
        <v>41</v>
      </c>
      <c r="Z2934">
        <v>786.52792560838895</v>
      </c>
    </row>
    <row r="2935" spans="1:26" x14ac:dyDescent="0.3">
      <c r="A2935" t="s">
        <v>42</v>
      </c>
      <c r="B2935" t="s">
        <v>2991</v>
      </c>
      <c r="C2935">
        <v>13.0042608547072</v>
      </c>
      <c r="D2935">
        <v>8</v>
      </c>
      <c r="E2935">
        <v>797</v>
      </c>
      <c r="F2935">
        <v>1360.11817481611</v>
      </c>
      <c r="G2935" t="s">
        <v>48</v>
      </c>
      <c r="H2935">
        <v>63</v>
      </c>
      <c r="I2935">
        <v>11</v>
      </c>
      <c r="J2935">
        <v>27</v>
      </c>
      <c r="K2935">
        <v>8</v>
      </c>
      <c r="L2935" t="s">
        <v>36</v>
      </c>
      <c r="M2935">
        <v>14.8679215479881</v>
      </c>
      <c r="N2935" t="s">
        <v>37</v>
      </c>
      <c r="O2935" t="s">
        <v>29</v>
      </c>
      <c r="P2935">
        <f>VLOOKUP(O2935, Coordinates!$A$2:$C$6, 2, FALSE)</f>
        <v>29.760400000000001</v>
      </c>
      <c r="Q2935">
        <f>VLOOKUP(O2935, Coordinates!$A$2:$C$6, 3, FALSE)</f>
        <v>-95.369799999999998</v>
      </c>
      <c r="R2935">
        <v>27</v>
      </c>
      <c r="S2935">
        <v>300</v>
      </c>
      <c r="T2935">
        <v>27</v>
      </c>
      <c r="U2935">
        <v>73.363688869478807</v>
      </c>
      <c r="V2935" t="s">
        <v>55</v>
      </c>
      <c r="W2935">
        <v>2.33142944500988</v>
      </c>
      <c r="X2935" t="s">
        <v>40</v>
      </c>
      <c r="Y2935" t="s">
        <v>60</v>
      </c>
      <c r="Z2935">
        <v>785.73230565581298</v>
      </c>
    </row>
    <row r="2936" spans="1:26" x14ac:dyDescent="0.3">
      <c r="A2936" t="s">
        <v>33</v>
      </c>
      <c r="B2936" t="s">
        <v>2992</v>
      </c>
      <c r="C2936">
        <v>69.851997479999994</v>
      </c>
      <c r="D2936">
        <v>88</v>
      </c>
      <c r="E2936">
        <v>900</v>
      </c>
      <c r="F2936">
        <v>3990.7891966596299</v>
      </c>
      <c r="G2936" t="s">
        <v>26</v>
      </c>
      <c r="H2936">
        <v>6</v>
      </c>
      <c r="I2936">
        <v>28</v>
      </c>
      <c r="J2936">
        <v>60</v>
      </c>
      <c r="K2936">
        <v>9</v>
      </c>
      <c r="L2936" t="s">
        <v>27</v>
      </c>
      <c r="M2936">
        <v>3.12720241870417</v>
      </c>
      <c r="N2936" t="s">
        <v>57</v>
      </c>
      <c r="O2936" t="s">
        <v>67</v>
      </c>
      <c r="P2936">
        <f>VLOOKUP(O2936, Coordinates!$A$2:$C$6, 2, FALSE)</f>
        <v>40.712800000000001</v>
      </c>
      <c r="Q2936">
        <f>VLOOKUP(O2936, Coordinates!$A$2:$C$6, 3, FALSE)</f>
        <v>-74.006</v>
      </c>
      <c r="R2936">
        <v>30</v>
      </c>
      <c r="S2936">
        <v>716</v>
      </c>
      <c r="T2936">
        <v>26</v>
      </c>
      <c r="U2936">
        <v>68.926078806914205</v>
      </c>
      <c r="V2936" t="s">
        <v>55</v>
      </c>
      <c r="W2936">
        <v>2.5218533107406702</v>
      </c>
      <c r="X2936" t="s">
        <v>40</v>
      </c>
      <c r="Y2936" t="s">
        <v>60</v>
      </c>
      <c r="Z2936">
        <v>340.17771277656698</v>
      </c>
    </row>
    <row r="2937" spans="1:26" x14ac:dyDescent="0.3">
      <c r="A2937" t="s">
        <v>61</v>
      </c>
      <c r="B2937" t="s">
        <v>2993</v>
      </c>
      <c r="C2937">
        <v>27.384170863206499</v>
      </c>
      <c r="D2937">
        <v>3</v>
      </c>
      <c r="E2937">
        <v>996</v>
      </c>
      <c r="F2937">
        <v>5234.9021645610001</v>
      </c>
      <c r="G2937" t="s">
        <v>54</v>
      </c>
      <c r="H2937">
        <v>74</v>
      </c>
      <c r="I2937">
        <v>7</v>
      </c>
      <c r="J2937">
        <v>17</v>
      </c>
      <c r="K2937">
        <v>4</v>
      </c>
      <c r="L2937" t="s">
        <v>44</v>
      </c>
      <c r="M2937">
        <v>7.4868865325555598</v>
      </c>
      <c r="N2937" t="s">
        <v>45</v>
      </c>
      <c r="O2937" t="s">
        <v>38</v>
      </c>
      <c r="P2937">
        <f>VLOOKUP(O2937, Coordinates!$A$2:$C$6, 2, FALSE)</f>
        <v>25.761700000000001</v>
      </c>
      <c r="Q2937">
        <f>VLOOKUP(O2937, Coordinates!$A$2:$C$6, 3, FALSE)</f>
        <v>-80.191800000000001</v>
      </c>
      <c r="R2937">
        <v>30</v>
      </c>
      <c r="S2937">
        <v>842</v>
      </c>
      <c r="T2937">
        <v>22</v>
      </c>
      <c r="U2937">
        <v>45.73009295</v>
      </c>
      <c r="V2937" t="s">
        <v>39</v>
      </c>
      <c r="W2937">
        <v>4.0837192887299603</v>
      </c>
      <c r="X2937" t="s">
        <v>52</v>
      </c>
      <c r="Y2937" t="s">
        <v>41</v>
      </c>
      <c r="Z2937">
        <v>446.16724468807399</v>
      </c>
    </row>
    <row r="2938" spans="1:26" x14ac:dyDescent="0.3">
      <c r="A2938" t="s">
        <v>33</v>
      </c>
      <c r="B2938" t="s">
        <v>2994</v>
      </c>
      <c r="C2938">
        <v>94.639543683341799</v>
      </c>
      <c r="D2938">
        <v>89</v>
      </c>
      <c r="E2938">
        <v>418</v>
      </c>
      <c r="F2938">
        <v>3830.6581498819401</v>
      </c>
      <c r="G2938" t="s">
        <v>26</v>
      </c>
      <c r="H2938">
        <v>76</v>
      </c>
      <c r="I2938">
        <v>10</v>
      </c>
      <c r="J2938">
        <v>64</v>
      </c>
      <c r="K2938">
        <v>6</v>
      </c>
      <c r="L2938" t="s">
        <v>44</v>
      </c>
      <c r="M2938">
        <v>11.2543046327251</v>
      </c>
      <c r="N2938" t="s">
        <v>51</v>
      </c>
      <c r="O2938" t="s">
        <v>29</v>
      </c>
      <c r="P2938">
        <f>VLOOKUP(O2938, Coordinates!$A$2:$C$6, 2, FALSE)</f>
        <v>29.760400000000001</v>
      </c>
      <c r="Q2938">
        <f>VLOOKUP(O2938, Coordinates!$A$2:$C$6, 3, FALSE)</f>
        <v>-95.369799999999998</v>
      </c>
      <c r="R2938">
        <v>11</v>
      </c>
      <c r="S2938">
        <v>197</v>
      </c>
      <c r="T2938">
        <v>7</v>
      </c>
      <c r="U2938">
        <v>34.842889251153601</v>
      </c>
      <c r="V2938" t="s">
        <v>30</v>
      </c>
      <c r="W2938">
        <v>1.3121593943269201</v>
      </c>
      <c r="X2938" t="s">
        <v>40</v>
      </c>
      <c r="Y2938" t="s">
        <v>41</v>
      </c>
      <c r="Z2938">
        <v>226.850344698263</v>
      </c>
    </row>
    <row r="2939" spans="1:26" x14ac:dyDescent="0.3">
      <c r="A2939" t="s">
        <v>24</v>
      </c>
      <c r="B2939" t="s">
        <v>2995</v>
      </c>
      <c r="C2939">
        <v>30.939746959261299</v>
      </c>
      <c r="D2939">
        <v>19</v>
      </c>
      <c r="E2939">
        <v>433</v>
      </c>
      <c r="F2939">
        <v>12057.2193900241</v>
      </c>
      <c r="G2939" t="s">
        <v>26</v>
      </c>
      <c r="H2939">
        <v>64</v>
      </c>
      <c r="I2939">
        <v>24</v>
      </c>
      <c r="J2939">
        <v>85</v>
      </c>
      <c r="K2939">
        <v>4</v>
      </c>
      <c r="L2939" t="s">
        <v>36</v>
      </c>
      <c r="M2939">
        <v>1.0751388116991001</v>
      </c>
      <c r="N2939" t="s">
        <v>51</v>
      </c>
      <c r="O2939" t="s">
        <v>65</v>
      </c>
      <c r="P2939">
        <f>VLOOKUP(O2939, Coordinates!$A$2:$C$6, 2, FALSE)</f>
        <v>41.878100000000003</v>
      </c>
      <c r="Q2939">
        <f>VLOOKUP(O2939, Coordinates!$A$2:$C$6, 3, FALSE)</f>
        <v>-87.629800000000003</v>
      </c>
      <c r="R2939">
        <v>4</v>
      </c>
      <c r="S2939">
        <v>202</v>
      </c>
      <c r="T2939">
        <v>15</v>
      </c>
      <c r="U2939">
        <v>87.461289308195603</v>
      </c>
      <c r="V2939" t="s">
        <v>55</v>
      </c>
      <c r="W2939">
        <v>2.3616090386192701</v>
      </c>
      <c r="X2939" t="s">
        <v>46</v>
      </c>
      <c r="Y2939" t="s">
        <v>60</v>
      </c>
      <c r="Z2939">
        <v>171.700819586005</v>
      </c>
    </row>
    <row r="2940" spans="1:26" x14ac:dyDescent="0.3">
      <c r="A2940" t="s">
        <v>82</v>
      </c>
      <c r="B2940" t="s">
        <v>2996</v>
      </c>
      <c r="C2940">
        <v>32.496885021979701</v>
      </c>
      <c r="D2940">
        <v>97</v>
      </c>
      <c r="E2940">
        <v>639</v>
      </c>
      <c r="F2940">
        <v>8436.4223490000004</v>
      </c>
      <c r="G2940" t="s">
        <v>26</v>
      </c>
      <c r="H2940">
        <v>33</v>
      </c>
      <c r="I2940">
        <v>1</v>
      </c>
      <c r="J2940">
        <v>52</v>
      </c>
      <c r="K2940">
        <v>4</v>
      </c>
      <c r="L2940" t="s">
        <v>36</v>
      </c>
      <c r="M2940">
        <v>3.12597389470224</v>
      </c>
      <c r="N2940" t="s">
        <v>57</v>
      </c>
      <c r="O2940" t="s">
        <v>65</v>
      </c>
      <c r="P2940">
        <f>VLOOKUP(O2940, Coordinates!$A$2:$C$6, 2, FALSE)</f>
        <v>41.878100000000003</v>
      </c>
      <c r="Q2940">
        <f>VLOOKUP(O2940, Coordinates!$A$2:$C$6, 3, FALSE)</f>
        <v>-87.629800000000003</v>
      </c>
      <c r="R2940">
        <v>15</v>
      </c>
      <c r="S2940">
        <v>652</v>
      </c>
      <c r="T2940">
        <v>16</v>
      </c>
      <c r="U2940">
        <v>94.883648429999994</v>
      </c>
      <c r="V2940" t="s">
        <v>39</v>
      </c>
      <c r="W2940">
        <v>2.2327307604884399</v>
      </c>
      <c r="X2940" t="s">
        <v>40</v>
      </c>
      <c r="Y2940" t="s">
        <v>41</v>
      </c>
      <c r="Z2940">
        <v>826.62644984326005</v>
      </c>
    </row>
    <row r="2941" spans="1:26" x14ac:dyDescent="0.3">
      <c r="A2941" t="s">
        <v>61</v>
      </c>
      <c r="B2941" t="s">
        <v>2997</v>
      </c>
      <c r="C2941">
        <v>79.405468192384404</v>
      </c>
      <c r="D2941">
        <v>66</v>
      </c>
      <c r="E2941">
        <v>734</v>
      </c>
      <c r="F2941">
        <v>7582.1058566674401</v>
      </c>
      <c r="G2941" t="s">
        <v>26</v>
      </c>
      <c r="H2941">
        <v>8</v>
      </c>
      <c r="I2941">
        <v>14</v>
      </c>
      <c r="J2941">
        <v>68</v>
      </c>
      <c r="K2941">
        <v>9</v>
      </c>
      <c r="L2941" t="s">
        <v>44</v>
      </c>
      <c r="M2941">
        <v>1.2849944917537199</v>
      </c>
      <c r="N2941" t="s">
        <v>28</v>
      </c>
      <c r="O2941" t="s">
        <v>58</v>
      </c>
      <c r="P2941">
        <f>VLOOKUP(O2941, Coordinates!$A$2:$C$6, 2, FALSE)</f>
        <v>34.052199999999999</v>
      </c>
      <c r="Q2941">
        <f>VLOOKUP(O2941, Coordinates!$A$2:$C$6, 3, FALSE)</f>
        <v>-118.2437</v>
      </c>
      <c r="R2941">
        <v>20</v>
      </c>
      <c r="S2941">
        <v>250</v>
      </c>
      <c r="T2941">
        <v>22</v>
      </c>
      <c r="U2941">
        <v>21.9378721623941</v>
      </c>
      <c r="V2941" t="s">
        <v>30</v>
      </c>
      <c r="W2941">
        <v>1.0474676197596899</v>
      </c>
      <c r="X2941" t="s">
        <v>52</v>
      </c>
      <c r="Y2941" t="s">
        <v>41</v>
      </c>
      <c r="Z2941">
        <v>435.318628340305</v>
      </c>
    </row>
    <row r="2942" spans="1:26" x14ac:dyDescent="0.3">
      <c r="A2942" t="s">
        <v>72</v>
      </c>
      <c r="B2942" t="s">
        <v>2998</v>
      </c>
      <c r="C2942">
        <v>20.8275080196779</v>
      </c>
      <c r="D2942">
        <v>79</v>
      </c>
      <c r="E2942">
        <v>893</v>
      </c>
      <c r="F2942">
        <v>16739.0681954151</v>
      </c>
      <c r="G2942" t="s">
        <v>54</v>
      </c>
      <c r="H2942">
        <v>76</v>
      </c>
      <c r="I2942">
        <v>3</v>
      </c>
      <c r="J2942">
        <v>39</v>
      </c>
      <c r="K2942">
        <v>4</v>
      </c>
      <c r="L2942" t="s">
        <v>44</v>
      </c>
      <c r="M2942">
        <v>14.9002901153585</v>
      </c>
      <c r="N2942" t="s">
        <v>51</v>
      </c>
      <c r="O2942" t="s">
        <v>67</v>
      </c>
      <c r="P2942">
        <f>VLOOKUP(O2942, Coordinates!$A$2:$C$6, 2, FALSE)</f>
        <v>40.712800000000001</v>
      </c>
      <c r="Q2942">
        <f>VLOOKUP(O2942, Coordinates!$A$2:$C$6, 3, FALSE)</f>
        <v>-74.006</v>
      </c>
      <c r="R2942">
        <v>30</v>
      </c>
      <c r="S2942">
        <v>367</v>
      </c>
      <c r="T2942">
        <v>26</v>
      </c>
      <c r="U2942">
        <v>90.486881661364094</v>
      </c>
      <c r="V2942" t="s">
        <v>55</v>
      </c>
      <c r="W2942">
        <v>4.5171532616803196</v>
      </c>
      <c r="X2942" t="s">
        <v>31</v>
      </c>
      <c r="Y2942" t="s">
        <v>32</v>
      </c>
      <c r="Z2942">
        <v>353.18076342179802</v>
      </c>
    </row>
    <row r="2943" spans="1:26" x14ac:dyDescent="0.3">
      <c r="A2943" t="s">
        <v>61</v>
      </c>
      <c r="B2943" t="s">
        <v>2999</v>
      </c>
      <c r="C2943">
        <v>98.723495840868907</v>
      </c>
      <c r="D2943">
        <v>86</v>
      </c>
      <c r="E2943">
        <v>65</v>
      </c>
      <c r="F2943">
        <v>3452.9288310372599</v>
      </c>
      <c r="G2943" t="s">
        <v>48</v>
      </c>
      <c r="H2943">
        <v>36</v>
      </c>
      <c r="I2943">
        <v>13</v>
      </c>
      <c r="J2943">
        <v>68</v>
      </c>
      <c r="K2943">
        <v>6</v>
      </c>
      <c r="L2943" t="s">
        <v>36</v>
      </c>
      <c r="M2943">
        <v>11.6487452739005</v>
      </c>
      <c r="N2943" t="s">
        <v>57</v>
      </c>
      <c r="O2943" t="s">
        <v>65</v>
      </c>
      <c r="P2943">
        <f>VLOOKUP(O2943, Coordinates!$A$2:$C$6, 2, FALSE)</f>
        <v>41.878100000000003</v>
      </c>
      <c r="Q2943">
        <f>VLOOKUP(O2943, Coordinates!$A$2:$C$6, 3, FALSE)</f>
        <v>-87.629800000000003</v>
      </c>
      <c r="R2943">
        <v>25</v>
      </c>
      <c r="S2943">
        <v>938</v>
      </c>
      <c r="T2943">
        <v>1</v>
      </c>
      <c r="U2943">
        <v>58.869259552728103</v>
      </c>
      <c r="V2943" t="s">
        <v>30</v>
      </c>
      <c r="W2943">
        <v>4.4267047540000002</v>
      </c>
      <c r="X2943" t="s">
        <v>52</v>
      </c>
      <c r="Y2943" t="s">
        <v>41</v>
      </c>
      <c r="Z2943">
        <v>330.482188217182</v>
      </c>
    </row>
    <row r="2944" spans="1:26" x14ac:dyDescent="0.3">
      <c r="A2944" t="s">
        <v>42</v>
      </c>
      <c r="B2944" t="s">
        <v>3000</v>
      </c>
      <c r="C2944">
        <v>61.79479875034</v>
      </c>
      <c r="D2944">
        <v>74</v>
      </c>
      <c r="E2944">
        <v>866</v>
      </c>
      <c r="F2944">
        <v>8874.9054552197904</v>
      </c>
      <c r="G2944" t="s">
        <v>35</v>
      </c>
      <c r="H2944">
        <v>6</v>
      </c>
      <c r="I2944">
        <v>25</v>
      </c>
      <c r="J2944">
        <v>18</v>
      </c>
      <c r="K2944">
        <v>9</v>
      </c>
      <c r="L2944" t="s">
        <v>27</v>
      </c>
      <c r="M2944">
        <v>6.2298273684524004</v>
      </c>
      <c r="N2944" t="s">
        <v>57</v>
      </c>
      <c r="O2944" t="s">
        <v>67</v>
      </c>
      <c r="P2944">
        <f>VLOOKUP(O2944, Coordinates!$A$2:$C$6, 2, FALSE)</f>
        <v>40.712800000000001</v>
      </c>
      <c r="Q2944">
        <f>VLOOKUP(O2944, Coordinates!$A$2:$C$6, 3, FALSE)</f>
        <v>-74.006</v>
      </c>
      <c r="R2944">
        <v>4</v>
      </c>
      <c r="S2944">
        <v>451</v>
      </c>
      <c r="T2944">
        <v>15</v>
      </c>
      <c r="U2944">
        <v>57.300372565647301</v>
      </c>
      <c r="V2944" t="s">
        <v>39</v>
      </c>
      <c r="W2944">
        <v>3.7980821422529401</v>
      </c>
      <c r="X2944" t="s">
        <v>52</v>
      </c>
      <c r="Y2944" t="s">
        <v>41</v>
      </c>
      <c r="Z2944">
        <v>167.32504503372701</v>
      </c>
    </row>
    <row r="2945" spans="1:26" x14ac:dyDescent="0.3">
      <c r="A2945" t="s">
        <v>49</v>
      </c>
      <c r="B2945" t="s">
        <v>3001</v>
      </c>
      <c r="C2945">
        <v>12.7867447911479</v>
      </c>
      <c r="D2945">
        <v>82</v>
      </c>
      <c r="E2945">
        <v>311</v>
      </c>
      <c r="F2945">
        <v>7899.6039865703697</v>
      </c>
      <c r="G2945" t="s">
        <v>54</v>
      </c>
      <c r="H2945">
        <v>40</v>
      </c>
      <c r="I2945">
        <v>17</v>
      </c>
      <c r="J2945">
        <v>77</v>
      </c>
      <c r="K2945">
        <v>3</v>
      </c>
      <c r="L2945" t="s">
        <v>44</v>
      </c>
      <c r="M2945">
        <v>3.187989086</v>
      </c>
      <c r="N2945" t="s">
        <v>51</v>
      </c>
      <c r="O2945" t="s">
        <v>67</v>
      </c>
      <c r="P2945">
        <f>VLOOKUP(O2945, Coordinates!$A$2:$C$6, 2, FALSE)</f>
        <v>40.712800000000001</v>
      </c>
      <c r="Q2945">
        <f>VLOOKUP(O2945, Coordinates!$A$2:$C$6, 3, FALSE)</f>
        <v>-74.006</v>
      </c>
      <c r="R2945">
        <v>20</v>
      </c>
      <c r="S2945">
        <v>566</v>
      </c>
      <c r="T2945">
        <v>3</v>
      </c>
      <c r="U2945">
        <v>96.551573281838103</v>
      </c>
      <c r="V2945" t="s">
        <v>30</v>
      </c>
      <c r="W2945">
        <v>2.0047328880614002</v>
      </c>
      <c r="X2945" t="s">
        <v>31</v>
      </c>
      <c r="Y2945" t="s">
        <v>60</v>
      </c>
      <c r="Z2945">
        <v>986.37646450068303</v>
      </c>
    </row>
    <row r="2946" spans="1:26" x14ac:dyDescent="0.3">
      <c r="A2946" t="s">
        <v>72</v>
      </c>
      <c r="B2946" t="s">
        <v>3002</v>
      </c>
      <c r="C2946">
        <v>38.20412187745</v>
      </c>
      <c r="D2946">
        <v>22</v>
      </c>
      <c r="E2946">
        <v>358</v>
      </c>
      <c r="F2946">
        <v>12309.3680689144</v>
      </c>
      <c r="G2946" t="s">
        <v>48</v>
      </c>
      <c r="H2946">
        <v>44</v>
      </c>
      <c r="I2946">
        <v>21</v>
      </c>
      <c r="J2946">
        <v>48</v>
      </c>
      <c r="K2946">
        <v>7</v>
      </c>
      <c r="L2946" t="s">
        <v>36</v>
      </c>
      <c r="M2946">
        <v>2.2653653992482998</v>
      </c>
      <c r="N2946" t="s">
        <v>57</v>
      </c>
      <c r="O2946" t="s">
        <v>58</v>
      </c>
      <c r="P2946">
        <f>VLOOKUP(O2946, Coordinates!$A$2:$C$6, 2, FALSE)</f>
        <v>34.052199999999999</v>
      </c>
      <c r="Q2946">
        <f>VLOOKUP(O2946, Coordinates!$A$2:$C$6, 3, FALSE)</f>
        <v>-118.2437</v>
      </c>
      <c r="R2946">
        <v>20</v>
      </c>
      <c r="S2946">
        <v>377</v>
      </c>
      <c r="T2946">
        <v>10</v>
      </c>
      <c r="U2946">
        <v>89.976407870000003</v>
      </c>
      <c r="V2946" t="s">
        <v>39</v>
      </c>
      <c r="W2946">
        <v>1.85170953946067</v>
      </c>
      <c r="X2946" t="s">
        <v>40</v>
      </c>
      <c r="Y2946" t="s">
        <v>41</v>
      </c>
      <c r="Z2946">
        <v>430.34101069008</v>
      </c>
    </row>
    <row r="2947" spans="1:26" x14ac:dyDescent="0.3">
      <c r="A2947" t="s">
        <v>61</v>
      </c>
      <c r="B2947" t="s">
        <v>3003</v>
      </c>
      <c r="C2947">
        <v>64.373076095723306</v>
      </c>
      <c r="D2947">
        <v>46</v>
      </c>
      <c r="E2947">
        <v>397</v>
      </c>
      <c r="F2947">
        <v>7607.1208929127097</v>
      </c>
      <c r="G2947" t="s">
        <v>35</v>
      </c>
      <c r="H2947">
        <v>100</v>
      </c>
      <c r="I2947">
        <v>3</v>
      </c>
      <c r="J2947">
        <v>90</v>
      </c>
      <c r="K2947">
        <v>7</v>
      </c>
      <c r="L2947" t="s">
        <v>36</v>
      </c>
      <c r="M2947">
        <v>8.4467008077127606</v>
      </c>
      <c r="N2947" t="s">
        <v>57</v>
      </c>
      <c r="O2947" t="s">
        <v>58</v>
      </c>
      <c r="P2947">
        <f>VLOOKUP(O2947, Coordinates!$A$2:$C$6, 2, FALSE)</f>
        <v>34.052199999999999</v>
      </c>
      <c r="Q2947">
        <f>VLOOKUP(O2947, Coordinates!$A$2:$C$6, 3, FALSE)</f>
        <v>-118.2437</v>
      </c>
      <c r="R2947">
        <v>16</v>
      </c>
      <c r="S2947">
        <v>667</v>
      </c>
      <c r="T2947">
        <v>16</v>
      </c>
      <c r="U2947">
        <v>84.746604497366604</v>
      </c>
      <c r="V2947" t="s">
        <v>30</v>
      </c>
      <c r="W2947">
        <v>3.5823268869798199</v>
      </c>
      <c r="X2947" t="s">
        <v>46</v>
      </c>
      <c r="Y2947" t="s">
        <v>60</v>
      </c>
      <c r="Z2947">
        <v>247.82447122885699</v>
      </c>
    </row>
    <row r="2948" spans="1:26" x14ac:dyDescent="0.3">
      <c r="A2948" t="s">
        <v>72</v>
      </c>
      <c r="B2948" t="s">
        <v>3004</v>
      </c>
      <c r="C2948">
        <v>38.489860424699202</v>
      </c>
      <c r="D2948">
        <v>91</v>
      </c>
      <c r="E2948">
        <v>208</v>
      </c>
      <c r="F2948">
        <v>7205.3018715036997</v>
      </c>
      <c r="G2948" t="s">
        <v>26</v>
      </c>
      <c r="H2948">
        <v>46</v>
      </c>
      <c r="I2948">
        <v>26</v>
      </c>
      <c r="J2948">
        <v>20</v>
      </c>
      <c r="K2948">
        <v>1</v>
      </c>
      <c r="L2948" t="s">
        <v>44</v>
      </c>
      <c r="M2948">
        <v>14.662478454788699</v>
      </c>
      <c r="N2948" t="s">
        <v>45</v>
      </c>
      <c r="O2948" t="s">
        <v>38</v>
      </c>
      <c r="P2948">
        <f>VLOOKUP(O2948, Coordinates!$A$2:$C$6, 2, FALSE)</f>
        <v>25.761700000000001</v>
      </c>
      <c r="Q2948">
        <f>VLOOKUP(O2948, Coordinates!$A$2:$C$6, 3, FALSE)</f>
        <v>-80.191800000000001</v>
      </c>
      <c r="R2948">
        <v>29</v>
      </c>
      <c r="S2948">
        <v>115</v>
      </c>
      <c r="T2948">
        <v>2</v>
      </c>
      <c r="U2948">
        <v>83.797890101291401</v>
      </c>
      <c r="V2948" t="s">
        <v>39</v>
      </c>
      <c r="W2948">
        <v>4.3687864211298404</v>
      </c>
      <c r="X2948" t="s">
        <v>52</v>
      </c>
      <c r="Y2948" t="s">
        <v>32</v>
      </c>
      <c r="Z2948">
        <v>877.72631479999995</v>
      </c>
    </row>
    <row r="2949" spans="1:26" x14ac:dyDescent="0.3">
      <c r="A2949" t="s">
        <v>72</v>
      </c>
      <c r="B2949" t="s">
        <v>3005</v>
      </c>
      <c r="C2949">
        <v>23.5984271273974</v>
      </c>
      <c r="D2949">
        <v>13</v>
      </c>
      <c r="E2949">
        <v>262</v>
      </c>
      <c r="F2949">
        <v>5564.5091166403199</v>
      </c>
      <c r="G2949" t="s">
        <v>35</v>
      </c>
      <c r="H2949">
        <v>6</v>
      </c>
      <c r="I2949">
        <v>15</v>
      </c>
      <c r="J2949">
        <v>11</v>
      </c>
      <c r="K2949">
        <v>2</v>
      </c>
      <c r="L2949" t="s">
        <v>36</v>
      </c>
      <c r="M2949">
        <v>10.444553225208599</v>
      </c>
      <c r="N2949" t="s">
        <v>57</v>
      </c>
      <c r="O2949" t="s">
        <v>65</v>
      </c>
      <c r="P2949">
        <f>VLOOKUP(O2949, Coordinates!$A$2:$C$6, 2, FALSE)</f>
        <v>41.878100000000003</v>
      </c>
      <c r="Q2949">
        <f>VLOOKUP(O2949, Coordinates!$A$2:$C$6, 3, FALSE)</f>
        <v>-87.629800000000003</v>
      </c>
      <c r="R2949">
        <v>13</v>
      </c>
      <c r="S2949">
        <v>555</v>
      </c>
      <c r="T2949">
        <v>17</v>
      </c>
      <c r="U2949">
        <v>78.837094879999995</v>
      </c>
      <c r="V2949" t="s">
        <v>39</v>
      </c>
      <c r="W2949">
        <v>3.00299161973378</v>
      </c>
      <c r="X2949" t="s">
        <v>52</v>
      </c>
      <c r="Y2949" t="s">
        <v>60</v>
      </c>
      <c r="Z2949">
        <v>750.80785873055004</v>
      </c>
    </row>
    <row r="2950" spans="1:26" x14ac:dyDescent="0.3">
      <c r="A2950" t="s">
        <v>72</v>
      </c>
      <c r="B2950" t="s">
        <v>3006</v>
      </c>
      <c r="C2950">
        <v>39.4532482434606</v>
      </c>
      <c r="D2950">
        <v>33</v>
      </c>
      <c r="E2950">
        <v>490</v>
      </c>
      <c r="F2950">
        <v>17398.882475366099</v>
      </c>
      <c r="G2950" t="s">
        <v>35</v>
      </c>
      <c r="H2950">
        <v>13</v>
      </c>
      <c r="I2950">
        <v>8</v>
      </c>
      <c r="J2950">
        <v>32</v>
      </c>
      <c r="K2950">
        <v>5</v>
      </c>
      <c r="L2950" t="s">
        <v>44</v>
      </c>
      <c r="M2950">
        <v>6.1119371556222104</v>
      </c>
      <c r="N2950" t="s">
        <v>57</v>
      </c>
      <c r="O2950" t="s">
        <v>29</v>
      </c>
      <c r="P2950">
        <f>VLOOKUP(O2950, Coordinates!$A$2:$C$6, 2, FALSE)</f>
        <v>29.760400000000001</v>
      </c>
      <c r="Q2950">
        <f>VLOOKUP(O2950, Coordinates!$A$2:$C$6, 3, FALSE)</f>
        <v>-95.369799999999998</v>
      </c>
      <c r="R2950">
        <v>8</v>
      </c>
      <c r="S2950">
        <v>833</v>
      </c>
      <c r="T2950">
        <v>1</v>
      </c>
      <c r="U2950">
        <v>79.464393925093205</v>
      </c>
      <c r="V2950" t="s">
        <v>30</v>
      </c>
      <c r="W2950">
        <v>0.62055763747428305</v>
      </c>
      <c r="X2950" t="s">
        <v>46</v>
      </c>
      <c r="Y2950" t="s">
        <v>60</v>
      </c>
      <c r="Z2950">
        <v>696.35873318435301</v>
      </c>
    </row>
    <row r="2951" spans="1:26" x14ac:dyDescent="0.3">
      <c r="A2951" t="s">
        <v>49</v>
      </c>
      <c r="B2951" t="s">
        <v>3007</v>
      </c>
      <c r="C2951">
        <v>96.149857380764104</v>
      </c>
      <c r="D2951">
        <v>5</v>
      </c>
      <c r="E2951">
        <v>521</v>
      </c>
      <c r="F2951">
        <v>3630.6115543832698</v>
      </c>
      <c r="G2951" t="s">
        <v>48</v>
      </c>
      <c r="H2951">
        <v>47</v>
      </c>
      <c r="I2951">
        <v>6</v>
      </c>
      <c r="J2951">
        <v>72</v>
      </c>
      <c r="K2951">
        <v>8</v>
      </c>
      <c r="L2951" t="s">
        <v>36</v>
      </c>
      <c r="M2951">
        <v>8.01191362532483</v>
      </c>
      <c r="N2951" t="s">
        <v>28</v>
      </c>
      <c r="O2951" t="s">
        <v>67</v>
      </c>
      <c r="P2951">
        <f>VLOOKUP(O2951, Coordinates!$A$2:$C$6, 2, FALSE)</f>
        <v>40.712800000000001</v>
      </c>
      <c r="Q2951">
        <f>VLOOKUP(O2951, Coordinates!$A$2:$C$6, 3, FALSE)</f>
        <v>-74.006</v>
      </c>
      <c r="R2951">
        <v>13</v>
      </c>
      <c r="S2951">
        <v>278</v>
      </c>
      <c r="T2951">
        <v>4</v>
      </c>
      <c r="U2951">
        <v>93.085921399960299</v>
      </c>
      <c r="V2951" t="s">
        <v>55</v>
      </c>
      <c r="W2951">
        <v>3.09141890147724</v>
      </c>
      <c r="X2951" t="s">
        <v>52</v>
      </c>
      <c r="Y2951" t="s">
        <v>32</v>
      </c>
      <c r="Z2951">
        <v>367.49324173630998</v>
      </c>
    </row>
    <row r="2952" spans="1:26" x14ac:dyDescent="0.3">
      <c r="A2952" t="s">
        <v>24</v>
      </c>
      <c r="B2952" t="s">
        <v>3008</v>
      </c>
      <c r="C2952">
        <v>28.915989638426101</v>
      </c>
      <c r="D2952">
        <v>90</v>
      </c>
      <c r="E2952">
        <v>450</v>
      </c>
      <c r="F2952">
        <v>11710.9758035626</v>
      </c>
      <c r="G2952" t="s">
        <v>35</v>
      </c>
      <c r="H2952">
        <v>5</v>
      </c>
      <c r="I2952">
        <v>26</v>
      </c>
      <c r="J2952">
        <v>31</v>
      </c>
      <c r="K2952">
        <v>6</v>
      </c>
      <c r="L2952" t="s">
        <v>36</v>
      </c>
      <c r="M2952">
        <v>14.9846471511523</v>
      </c>
      <c r="N2952" t="s">
        <v>51</v>
      </c>
      <c r="O2952" t="s">
        <v>67</v>
      </c>
      <c r="P2952">
        <f>VLOOKUP(O2952, Coordinates!$A$2:$C$6, 2, FALSE)</f>
        <v>40.712800000000001</v>
      </c>
      <c r="Q2952">
        <f>VLOOKUP(O2952, Coordinates!$A$2:$C$6, 3, FALSE)</f>
        <v>-74.006</v>
      </c>
      <c r="R2952">
        <v>30</v>
      </c>
      <c r="S2952">
        <v>233</v>
      </c>
      <c r="T2952">
        <v>11</v>
      </c>
      <c r="U2952">
        <v>89.134763446677795</v>
      </c>
      <c r="V2952" t="s">
        <v>30</v>
      </c>
      <c r="W2952">
        <v>4.5093150556168196</v>
      </c>
      <c r="X2952" t="s">
        <v>31</v>
      </c>
      <c r="Y2952" t="s">
        <v>32</v>
      </c>
      <c r="Z2952">
        <v>473.913016441899</v>
      </c>
    </row>
    <row r="2953" spans="1:26" x14ac:dyDescent="0.3">
      <c r="A2953" t="s">
        <v>33</v>
      </c>
      <c r="B2953" t="s">
        <v>3009</v>
      </c>
      <c r="C2953">
        <v>13.3744550229812</v>
      </c>
      <c r="D2953">
        <v>77</v>
      </c>
      <c r="E2953">
        <v>713</v>
      </c>
      <c r="F2953">
        <v>6774.5799884296803</v>
      </c>
      <c r="G2953" t="s">
        <v>26</v>
      </c>
      <c r="H2953">
        <v>33</v>
      </c>
      <c r="I2953">
        <v>30</v>
      </c>
      <c r="J2953">
        <v>70</v>
      </c>
      <c r="K2953">
        <v>7</v>
      </c>
      <c r="L2953" t="s">
        <v>27</v>
      </c>
      <c r="M2953">
        <v>8.2627272043822995</v>
      </c>
      <c r="N2953" t="s">
        <v>28</v>
      </c>
      <c r="O2953" t="s">
        <v>58</v>
      </c>
      <c r="P2953">
        <f>VLOOKUP(O2953, Coordinates!$A$2:$C$6, 2, FALSE)</f>
        <v>34.052199999999999</v>
      </c>
      <c r="Q2953">
        <f>VLOOKUP(O2953, Coordinates!$A$2:$C$6, 3, FALSE)</f>
        <v>-118.2437</v>
      </c>
      <c r="R2953">
        <v>20</v>
      </c>
      <c r="S2953">
        <v>357</v>
      </c>
      <c r="T2953">
        <v>17</v>
      </c>
      <c r="U2953">
        <v>27.852724561607602</v>
      </c>
      <c r="V2953" t="s">
        <v>55</v>
      </c>
      <c r="W2953">
        <v>0.42908235335216699</v>
      </c>
      <c r="X2953" t="s">
        <v>40</v>
      </c>
      <c r="Y2953" t="s">
        <v>41</v>
      </c>
      <c r="Z2953">
        <v>856.97860327636397</v>
      </c>
    </row>
    <row r="2954" spans="1:26" x14ac:dyDescent="0.3">
      <c r="A2954" t="s">
        <v>72</v>
      </c>
      <c r="B2954" t="s">
        <v>3010</v>
      </c>
      <c r="C2954">
        <v>38.288394214538897</v>
      </c>
      <c r="D2954">
        <v>27</v>
      </c>
      <c r="E2954">
        <v>184</v>
      </c>
      <c r="F2954">
        <v>6340.5580819276502</v>
      </c>
      <c r="G2954" t="s">
        <v>54</v>
      </c>
      <c r="H2954">
        <v>79</v>
      </c>
      <c r="I2954">
        <v>9</v>
      </c>
      <c r="J2954">
        <v>35</v>
      </c>
      <c r="K2954">
        <v>3</v>
      </c>
      <c r="L2954" t="s">
        <v>36</v>
      </c>
      <c r="M2954">
        <v>14.4988208008689</v>
      </c>
      <c r="N2954" t="s">
        <v>37</v>
      </c>
      <c r="O2954" t="s">
        <v>58</v>
      </c>
      <c r="P2954">
        <f>VLOOKUP(O2954, Coordinates!$A$2:$C$6, 2, FALSE)</f>
        <v>34.052199999999999</v>
      </c>
      <c r="Q2954">
        <f>VLOOKUP(O2954, Coordinates!$A$2:$C$6, 3, FALSE)</f>
        <v>-118.2437</v>
      </c>
      <c r="R2954">
        <v>21</v>
      </c>
      <c r="S2954">
        <v>161</v>
      </c>
      <c r="T2954">
        <v>2</v>
      </c>
      <c r="U2954">
        <v>80.225790739891295</v>
      </c>
      <c r="V2954" t="s">
        <v>30</v>
      </c>
      <c r="W2954">
        <v>1.6958564953539299</v>
      </c>
      <c r="X2954" t="s">
        <v>31</v>
      </c>
      <c r="Y2954" t="s">
        <v>60</v>
      </c>
      <c r="Z2954">
        <v>675.90751390477703</v>
      </c>
    </row>
    <row r="2955" spans="1:26" x14ac:dyDescent="0.3">
      <c r="A2955" t="s">
        <v>82</v>
      </c>
      <c r="B2955" t="s">
        <v>3011</v>
      </c>
      <c r="C2955">
        <v>82.952453229293198</v>
      </c>
      <c r="D2955">
        <v>78</v>
      </c>
      <c r="E2955">
        <v>346</v>
      </c>
      <c r="F2955">
        <v>1273.57673330373</v>
      </c>
      <c r="G2955" t="s">
        <v>54</v>
      </c>
      <c r="H2955">
        <v>100</v>
      </c>
      <c r="I2955">
        <v>25</v>
      </c>
      <c r="J2955">
        <v>21</v>
      </c>
      <c r="K2955">
        <v>6</v>
      </c>
      <c r="L2955" t="s">
        <v>44</v>
      </c>
      <c r="M2955">
        <v>1.22906406344956</v>
      </c>
      <c r="N2955" t="s">
        <v>28</v>
      </c>
      <c r="O2955" t="s">
        <v>65</v>
      </c>
      <c r="P2955">
        <f>VLOOKUP(O2955, Coordinates!$A$2:$C$6, 2, FALSE)</f>
        <v>41.878100000000003</v>
      </c>
      <c r="Q2955">
        <f>VLOOKUP(O2955, Coordinates!$A$2:$C$6, 3, FALSE)</f>
        <v>-87.629800000000003</v>
      </c>
      <c r="R2955">
        <v>8</v>
      </c>
      <c r="S2955">
        <v>581</v>
      </c>
      <c r="T2955">
        <v>1</v>
      </c>
      <c r="U2955">
        <v>56.519260657630902</v>
      </c>
      <c r="V2955" t="s">
        <v>39</v>
      </c>
      <c r="W2955">
        <v>2.5450714572353599</v>
      </c>
      <c r="X2955" t="s">
        <v>52</v>
      </c>
      <c r="Y2955" t="s">
        <v>60</v>
      </c>
      <c r="Z2955">
        <v>411.08689779999997</v>
      </c>
    </row>
    <row r="2956" spans="1:26" x14ac:dyDescent="0.3">
      <c r="A2956" t="s">
        <v>24</v>
      </c>
      <c r="B2956" t="s">
        <v>3012</v>
      </c>
      <c r="C2956">
        <v>27.281560549307802</v>
      </c>
      <c r="D2956">
        <v>24</v>
      </c>
      <c r="E2956">
        <v>137</v>
      </c>
      <c r="F2956">
        <v>3363.8164157296501</v>
      </c>
      <c r="G2956" t="s">
        <v>48</v>
      </c>
      <c r="H2956">
        <v>99</v>
      </c>
      <c r="I2956">
        <v>11</v>
      </c>
      <c r="J2956">
        <v>41</v>
      </c>
      <c r="K2956">
        <v>9</v>
      </c>
      <c r="L2956" t="s">
        <v>44</v>
      </c>
      <c r="M2956">
        <v>11.0934837952784</v>
      </c>
      <c r="N2956" t="s">
        <v>37</v>
      </c>
      <c r="O2956" t="s">
        <v>29</v>
      </c>
      <c r="P2956">
        <f>VLOOKUP(O2956, Coordinates!$A$2:$C$6, 2, FALSE)</f>
        <v>29.760400000000001</v>
      </c>
      <c r="Q2956">
        <f>VLOOKUP(O2956, Coordinates!$A$2:$C$6, 3, FALSE)</f>
        <v>-95.369799999999998</v>
      </c>
      <c r="R2956">
        <v>30</v>
      </c>
      <c r="S2956">
        <v>576</v>
      </c>
      <c r="T2956">
        <v>29</v>
      </c>
      <c r="U2956">
        <v>83.809090386116594</v>
      </c>
      <c r="V2956" t="s">
        <v>30</v>
      </c>
      <c r="W2956">
        <v>3.4300474741574298</v>
      </c>
      <c r="X2956" t="s">
        <v>31</v>
      </c>
      <c r="Y2956" t="s">
        <v>60</v>
      </c>
      <c r="Z2956">
        <v>198.351836612813</v>
      </c>
    </row>
    <row r="2957" spans="1:26" x14ac:dyDescent="0.3">
      <c r="A2957" t="s">
        <v>42</v>
      </c>
      <c r="B2957" t="s">
        <v>3013</v>
      </c>
      <c r="C2957">
        <v>65.424497522216996</v>
      </c>
      <c r="D2957">
        <v>67</v>
      </c>
      <c r="E2957">
        <v>447</v>
      </c>
      <c r="F2957">
        <v>6125.6068240997902</v>
      </c>
      <c r="G2957" t="s">
        <v>26</v>
      </c>
      <c r="H2957">
        <v>45</v>
      </c>
      <c r="I2957">
        <v>22</v>
      </c>
      <c r="J2957">
        <v>18</v>
      </c>
      <c r="K2957">
        <v>3</v>
      </c>
      <c r="L2957" t="s">
        <v>27</v>
      </c>
      <c r="M2957">
        <v>9.7802602889836301</v>
      </c>
      <c r="N2957" t="s">
        <v>37</v>
      </c>
      <c r="O2957" t="s">
        <v>29</v>
      </c>
      <c r="P2957">
        <f>VLOOKUP(O2957, Coordinates!$A$2:$C$6, 2, FALSE)</f>
        <v>29.760400000000001</v>
      </c>
      <c r="Q2957">
        <f>VLOOKUP(O2957, Coordinates!$A$2:$C$6, 3, FALSE)</f>
        <v>-95.369799999999998</v>
      </c>
      <c r="R2957">
        <v>4</v>
      </c>
      <c r="S2957">
        <v>734</v>
      </c>
      <c r="T2957">
        <v>28</v>
      </c>
      <c r="U2957">
        <v>27.4432703012675</v>
      </c>
      <c r="V2957" t="s">
        <v>30</v>
      </c>
      <c r="W2957">
        <v>0.44817464778125499</v>
      </c>
      <c r="X2957" t="s">
        <v>52</v>
      </c>
      <c r="Y2957" t="s">
        <v>32</v>
      </c>
      <c r="Z2957">
        <v>910.24338819116201</v>
      </c>
    </row>
    <row r="2958" spans="1:26" x14ac:dyDescent="0.3">
      <c r="A2958" t="s">
        <v>49</v>
      </c>
      <c r="B2958" t="s">
        <v>3014</v>
      </c>
      <c r="C2958">
        <v>43.170347835395297</v>
      </c>
      <c r="D2958">
        <v>63</v>
      </c>
      <c r="E2958">
        <v>840</v>
      </c>
      <c r="F2958">
        <v>8889.4475053353799</v>
      </c>
      <c r="G2958" t="s">
        <v>26</v>
      </c>
      <c r="H2958">
        <v>58</v>
      </c>
      <c r="I2958">
        <v>2</v>
      </c>
      <c r="J2958">
        <v>78</v>
      </c>
      <c r="K2958">
        <v>6</v>
      </c>
      <c r="L2958" t="s">
        <v>44</v>
      </c>
      <c r="M2958">
        <v>10.5946180184025</v>
      </c>
      <c r="N2958" t="s">
        <v>28</v>
      </c>
      <c r="O2958" t="s">
        <v>58</v>
      </c>
      <c r="P2958">
        <f>VLOOKUP(O2958, Coordinates!$A$2:$C$6, 2, FALSE)</f>
        <v>34.052199999999999</v>
      </c>
      <c r="Q2958">
        <f>VLOOKUP(O2958, Coordinates!$A$2:$C$6, 3, FALSE)</f>
        <v>-118.2437</v>
      </c>
      <c r="R2958">
        <v>5</v>
      </c>
      <c r="S2958">
        <v>141</v>
      </c>
      <c r="T2958">
        <v>28</v>
      </c>
      <c r="U2958">
        <v>30.7011106013648</v>
      </c>
      <c r="V2958" t="s">
        <v>55</v>
      </c>
      <c r="W2958">
        <v>4.3640309664442203</v>
      </c>
      <c r="X2958" t="s">
        <v>40</v>
      </c>
      <c r="Y2958" t="s">
        <v>60</v>
      </c>
      <c r="Z2958">
        <v>959.98370875983096</v>
      </c>
    </row>
    <row r="2959" spans="1:26" x14ac:dyDescent="0.3">
      <c r="A2959" t="s">
        <v>61</v>
      </c>
      <c r="B2959" t="s">
        <v>3015</v>
      </c>
      <c r="C2959">
        <v>59.893657293586301</v>
      </c>
      <c r="D2959">
        <v>94</v>
      </c>
      <c r="E2959">
        <v>257</v>
      </c>
      <c r="F2959">
        <v>9353.9511610000009</v>
      </c>
      <c r="G2959" t="s">
        <v>35</v>
      </c>
      <c r="H2959">
        <v>69</v>
      </c>
      <c r="I2959">
        <v>9</v>
      </c>
      <c r="J2959">
        <v>99</v>
      </c>
      <c r="K2959">
        <v>7</v>
      </c>
      <c r="L2959" t="s">
        <v>36</v>
      </c>
      <c r="M2959">
        <v>8.9879392500000002</v>
      </c>
      <c r="N2959" t="s">
        <v>45</v>
      </c>
      <c r="O2959" t="s">
        <v>38</v>
      </c>
      <c r="P2959">
        <f>VLOOKUP(O2959, Coordinates!$A$2:$C$6, 2, FALSE)</f>
        <v>25.761700000000001</v>
      </c>
      <c r="Q2959">
        <f>VLOOKUP(O2959, Coordinates!$A$2:$C$6, 3, FALSE)</f>
        <v>-80.191800000000001</v>
      </c>
      <c r="R2959">
        <v>28</v>
      </c>
      <c r="S2959">
        <v>472</v>
      </c>
      <c r="T2959">
        <v>6</v>
      </c>
      <c r="U2959">
        <v>78.294796213189201</v>
      </c>
      <c r="V2959" t="s">
        <v>39</v>
      </c>
      <c r="W2959">
        <v>3.7640351723550198</v>
      </c>
      <c r="X2959" t="s">
        <v>31</v>
      </c>
      <c r="Y2959" t="s">
        <v>41</v>
      </c>
      <c r="Z2959">
        <v>746.91543196944701</v>
      </c>
    </row>
    <row r="2960" spans="1:26" x14ac:dyDescent="0.3">
      <c r="A2960" t="s">
        <v>49</v>
      </c>
      <c r="B2960" t="s">
        <v>3016</v>
      </c>
      <c r="C2960">
        <v>34.248041901064902</v>
      </c>
      <c r="D2960">
        <v>99</v>
      </c>
      <c r="E2960">
        <v>269</v>
      </c>
      <c r="F2960">
        <v>5759.2469634108902</v>
      </c>
      <c r="G2960" t="s">
        <v>48</v>
      </c>
      <c r="H2960">
        <v>7</v>
      </c>
      <c r="I2960">
        <v>18</v>
      </c>
      <c r="J2960">
        <v>80</v>
      </c>
      <c r="K2960">
        <v>5</v>
      </c>
      <c r="L2960" t="s">
        <v>27</v>
      </c>
      <c r="M2960">
        <v>1.6184748673831799</v>
      </c>
      <c r="N2960" t="s">
        <v>28</v>
      </c>
      <c r="O2960" t="s">
        <v>29</v>
      </c>
      <c r="P2960">
        <f>VLOOKUP(O2960, Coordinates!$A$2:$C$6, 2, FALSE)</f>
        <v>29.760400000000001</v>
      </c>
      <c r="Q2960">
        <f>VLOOKUP(O2960, Coordinates!$A$2:$C$6, 3, FALSE)</f>
        <v>-95.369799999999998</v>
      </c>
      <c r="R2960">
        <v>6</v>
      </c>
      <c r="S2960">
        <v>472</v>
      </c>
      <c r="T2960">
        <v>11</v>
      </c>
      <c r="U2960">
        <v>75.728567504344795</v>
      </c>
      <c r="V2960" t="s">
        <v>55</v>
      </c>
      <c r="W2960">
        <v>4.2884483340362101</v>
      </c>
      <c r="X2960" t="s">
        <v>31</v>
      </c>
      <c r="Y2960" t="s">
        <v>32</v>
      </c>
      <c r="Z2960">
        <v>722.25262974457996</v>
      </c>
    </row>
    <row r="2961" spans="1:26" x14ac:dyDescent="0.3">
      <c r="A2961" t="s">
        <v>61</v>
      </c>
      <c r="B2961" t="s">
        <v>3017</v>
      </c>
      <c r="C2961">
        <v>50.334007544706303</v>
      </c>
      <c r="D2961">
        <v>48</v>
      </c>
      <c r="E2961">
        <v>97</v>
      </c>
      <c r="F2961">
        <v>7784.2313539168999</v>
      </c>
      <c r="G2961" t="s">
        <v>26</v>
      </c>
      <c r="H2961">
        <v>23</v>
      </c>
      <c r="I2961">
        <v>19</v>
      </c>
      <c r="J2961">
        <v>42</v>
      </c>
      <c r="K2961">
        <v>10</v>
      </c>
      <c r="L2961" t="s">
        <v>44</v>
      </c>
      <c r="M2961">
        <v>3.0938950968855599</v>
      </c>
      <c r="N2961" t="s">
        <v>51</v>
      </c>
      <c r="O2961" t="s">
        <v>29</v>
      </c>
      <c r="P2961">
        <f>VLOOKUP(O2961, Coordinates!$A$2:$C$6, 2, FALSE)</f>
        <v>29.760400000000001</v>
      </c>
      <c r="Q2961">
        <f>VLOOKUP(O2961, Coordinates!$A$2:$C$6, 3, FALSE)</f>
        <v>-95.369799999999998</v>
      </c>
      <c r="R2961">
        <v>23</v>
      </c>
      <c r="S2961">
        <v>398</v>
      </c>
      <c r="T2961">
        <v>4</v>
      </c>
      <c r="U2961">
        <v>85.528793320000005</v>
      </c>
      <c r="V2961" t="s">
        <v>30</v>
      </c>
      <c r="W2961">
        <v>0.13825877932627501</v>
      </c>
      <c r="X2961" t="s">
        <v>46</v>
      </c>
      <c r="Y2961" t="s">
        <v>60</v>
      </c>
      <c r="Z2961">
        <v>583.93903426663996</v>
      </c>
    </row>
    <row r="2962" spans="1:26" x14ac:dyDescent="0.3">
      <c r="A2962" t="s">
        <v>49</v>
      </c>
      <c r="B2962" t="s">
        <v>3018</v>
      </c>
      <c r="C2962">
        <v>80.340987699999999</v>
      </c>
      <c r="D2962">
        <v>63</v>
      </c>
      <c r="E2962">
        <v>666</v>
      </c>
      <c r="F2962">
        <v>4953.7294509519697</v>
      </c>
      <c r="G2962" t="s">
        <v>26</v>
      </c>
      <c r="H2962">
        <v>66</v>
      </c>
      <c r="I2962">
        <v>22</v>
      </c>
      <c r="J2962">
        <v>33</v>
      </c>
      <c r="K2962">
        <v>8</v>
      </c>
      <c r="L2962" t="s">
        <v>36</v>
      </c>
      <c r="M2962">
        <v>13.911517784693</v>
      </c>
      <c r="N2962" t="s">
        <v>28</v>
      </c>
      <c r="O2962" t="s">
        <v>65</v>
      </c>
      <c r="P2962">
        <f>VLOOKUP(O2962, Coordinates!$A$2:$C$6, 2, FALSE)</f>
        <v>41.878100000000003</v>
      </c>
      <c r="Q2962">
        <f>VLOOKUP(O2962, Coordinates!$A$2:$C$6, 3, FALSE)</f>
        <v>-87.629800000000003</v>
      </c>
      <c r="R2962">
        <v>19</v>
      </c>
      <c r="S2962">
        <v>151</v>
      </c>
      <c r="T2962">
        <v>24</v>
      </c>
      <c r="U2962">
        <v>93.963682660000003</v>
      </c>
      <c r="V2962" t="s">
        <v>55</v>
      </c>
      <c r="W2962">
        <v>0.76761652163677796</v>
      </c>
      <c r="X2962" t="s">
        <v>46</v>
      </c>
      <c r="Y2962" t="s">
        <v>32</v>
      </c>
      <c r="Z2962">
        <v>974.35939250000001</v>
      </c>
    </row>
    <row r="2963" spans="1:26" x14ac:dyDescent="0.3">
      <c r="A2963" t="s">
        <v>61</v>
      </c>
      <c r="B2963" t="s">
        <v>3019</v>
      </c>
      <c r="C2963">
        <v>98.217951760000005</v>
      </c>
      <c r="D2963">
        <v>78</v>
      </c>
      <c r="E2963">
        <v>415</v>
      </c>
      <c r="F2963">
        <v>7714.73940915603</v>
      </c>
      <c r="G2963" t="s">
        <v>26</v>
      </c>
      <c r="H2963">
        <v>3</v>
      </c>
      <c r="I2963">
        <v>18</v>
      </c>
      <c r="J2963">
        <v>98</v>
      </c>
      <c r="K2963">
        <v>8</v>
      </c>
      <c r="L2963" t="s">
        <v>27</v>
      </c>
      <c r="M2963">
        <v>4.2609501171396298</v>
      </c>
      <c r="N2963" t="s">
        <v>45</v>
      </c>
      <c r="O2963" t="s">
        <v>38</v>
      </c>
      <c r="P2963">
        <f>VLOOKUP(O2963, Coordinates!$A$2:$C$6, 2, FALSE)</f>
        <v>25.761700000000001</v>
      </c>
      <c r="Q2963">
        <f>VLOOKUP(O2963, Coordinates!$A$2:$C$6, 3, FALSE)</f>
        <v>-80.191800000000001</v>
      </c>
      <c r="R2963">
        <v>27</v>
      </c>
      <c r="S2963">
        <v>478</v>
      </c>
      <c r="T2963">
        <v>11</v>
      </c>
      <c r="U2963">
        <v>37.743500701242198</v>
      </c>
      <c r="V2963" t="s">
        <v>39</v>
      </c>
      <c r="W2963">
        <v>4.9782443827838998</v>
      </c>
      <c r="X2963" t="s">
        <v>52</v>
      </c>
      <c r="Y2963" t="s">
        <v>32</v>
      </c>
      <c r="Z2963">
        <v>724.73541305960498</v>
      </c>
    </row>
    <row r="2964" spans="1:26" x14ac:dyDescent="0.3">
      <c r="A2964" t="s">
        <v>72</v>
      </c>
      <c r="B2964" t="s">
        <v>3020</v>
      </c>
      <c r="C2964">
        <v>20.453674008132701</v>
      </c>
      <c r="D2964">
        <v>12</v>
      </c>
      <c r="E2964">
        <v>142</v>
      </c>
      <c r="F2964">
        <v>2613.97953823936</v>
      </c>
      <c r="G2964" t="s">
        <v>54</v>
      </c>
      <c r="H2964">
        <v>95</v>
      </c>
      <c r="I2964">
        <v>5</v>
      </c>
      <c r="J2964">
        <v>78</v>
      </c>
      <c r="K2964">
        <v>6</v>
      </c>
      <c r="L2964" t="s">
        <v>36</v>
      </c>
      <c r="M2964">
        <v>14.901121770577101</v>
      </c>
      <c r="N2964" t="s">
        <v>28</v>
      </c>
      <c r="O2964" t="s">
        <v>67</v>
      </c>
      <c r="P2964">
        <f>VLOOKUP(O2964, Coordinates!$A$2:$C$6, 2, FALSE)</f>
        <v>40.712800000000001</v>
      </c>
      <c r="Q2964">
        <f>VLOOKUP(O2964, Coordinates!$A$2:$C$6, 3, FALSE)</f>
        <v>-74.006</v>
      </c>
      <c r="R2964">
        <v>10</v>
      </c>
      <c r="S2964">
        <v>411</v>
      </c>
      <c r="T2964">
        <v>5</v>
      </c>
      <c r="U2964">
        <v>77.1581121675639</v>
      </c>
      <c r="V2964" t="s">
        <v>39</v>
      </c>
      <c r="W2964">
        <v>4.3008221860188902</v>
      </c>
      <c r="X2964" t="s">
        <v>31</v>
      </c>
      <c r="Y2964" t="s">
        <v>32</v>
      </c>
      <c r="Z2964">
        <v>169.06091816144399</v>
      </c>
    </row>
    <row r="2965" spans="1:26" x14ac:dyDescent="0.3">
      <c r="A2965" t="s">
        <v>33</v>
      </c>
      <c r="B2965" t="s">
        <v>3021</v>
      </c>
      <c r="C2965">
        <v>93.717264570393596</v>
      </c>
      <c r="D2965">
        <v>28</v>
      </c>
      <c r="E2965">
        <v>212</v>
      </c>
      <c r="F2965">
        <v>4339.5826132317798</v>
      </c>
      <c r="G2965" t="s">
        <v>54</v>
      </c>
      <c r="H2965">
        <v>0</v>
      </c>
      <c r="I2965">
        <v>18</v>
      </c>
      <c r="J2965">
        <v>47</v>
      </c>
      <c r="K2965">
        <v>7</v>
      </c>
      <c r="L2965" t="s">
        <v>44</v>
      </c>
      <c r="M2965">
        <v>10.5142387815246</v>
      </c>
      <c r="N2965" t="s">
        <v>45</v>
      </c>
      <c r="O2965" t="s">
        <v>38</v>
      </c>
      <c r="P2965">
        <f>VLOOKUP(O2965, Coordinates!$A$2:$C$6, 2, FALSE)</f>
        <v>25.761700000000001</v>
      </c>
      <c r="Q2965">
        <f>VLOOKUP(O2965, Coordinates!$A$2:$C$6, 3, FALSE)</f>
        <v>-80.191800000000001</v>
      </c>
      <c r="R2965">
        <v>25</v>
      </c>
      <c r="S2965">
        <v>678</v>
      </c>
      <c r="T2965">
        <v>30</v>
      </c>
      <c r="U2965">
        <v>69.941061214856703</v>
      </c>
      <c r="V2965" t="s">
        <v>39</v>
      </c>
      <c r="W2965">
        <v>4.8941057382663598</v>
      </c>
      <c r="X2965" t="s">
        <v>40</v>
      </c>
      <c r="Y2965" t="s">
        <v>60</v>
      </c>
      <c r="Z2965">
        <v>182.55645385675001</v>
      </c>
    </row>
    <row r="2966" spans="1:26" x14ac:dyDescent="0.3">
      <c r="A2966" t="s">
        <v>61</v>
      </c>
      <c r="B2966" t="s">
        <v>3022</v>
      </c>
      <c r="C2966">
        <v>43.211254810475602</v>
      </c>
      <c r="D2966">
        <v>44</v>
      </c>
      <c r="E2966">
        <v>641</v>
      </c>
      <c r="F2966">
        <v>6708.0519893225301</v>
      </c>
      <c r="G2966" t="s">
        <v>54</v>
      </c>
      <c r="H2966">
        <v>33</v>
      </c>
      <c r="I2966">
        <v>12</v>
      </c>
      <c r="J2966">
        <v>20</v>
      </c>
      <c r="K2966">
        <v>3</v>
      </c>
      <c r="L2966" t="s">
        <v>44</v>
      </c>
      <c r="M2966">
        <v>7.22096286176658</v>
      </c>
      <c r="N2966" t="s">
        <v>51</v>
      </c>
      <c r="O2966" t="s">
        <v>38</v>
      </c>
      <c r="P2966">
        <f>VLOOKUP(O2966, Coordinates!$A$2:$C$6, 2, FALSE)</f>
        <v>25.761700000000001</v>
      </c>
      <c r="Q2966">
        <f>VLOOKUP(O2966, Coordinates!$A$2:$C$6, 3, FALSE)</f>
        <v>-80.191800000000001</v>
      </c>
      <c r="R2966">
        <v>3</v>
      </c>
      <c r="S2966">
        <v>158</v>
      </c>
      <c r="T2966">
        <v>10</v>
      </c>
      <c r="U2966">
        <v>96.199338150261894</v>
      </c>
      <c r="V2966" t="s">
        <v>30</v>
      </c>
      <c r="W2966">
        <v>0.57857414200000001</v>
      </c>
      <c r="X2966" t="s">
        <v>40</v>
      </c>
      <c r="Y2966" t="s">
        <v>60</v>
      </c>
      <c r="Z2966">
        <v>967.21525010847995</v>
      </c>
    </row>
    <row r="2967" spans="1:26" x14ac:dyDescent="0.3">
      <c r="A2967" t="s">
        <v>61</v>
      </c>
      <c r="B2967" t="s">
        <v>3023</v>
      </c>
      <c r="C2967">
        <v>49.535038648145097</v>
      </c>
      <c r="D2967">
        <v>93</v>
      </c>
      <c r="E2967">
        <v>750</v>
      </c>
      <c r="F2967">
        <v>1163.4216904637001</v>
      </c>
      <c r="G2967" t="s">
        <v>35</v>
      </c>
      <c r="H2967">
        <v>8</v>
      </c>
      <c r="I2967">
        <v>4</v>
      </c>
      <c r="J2967">
        <v>41</v>
      </c>
      <c r="K2967">
        <v>9</v>
      </c>
      <c r="L2967" t="s">
        <v>44</v>
      </c>
      <c r="M2967">
        <v>13.880683990104499</v>
      </c>
      <c r="N2967" t="s">
        <v>57</v>
      </c>
      <c r="O2967" t="s">
        <v>29</v>
      </c>
      <c r="P2967">
        <f>VLOOKUP(O2967, Coordinates!$A$2:$C$6, 2, FALSE)</f>
        <v>29.760400000000001</v>
      </c>
      <c r="Q2967">
        <f>VLOOKUP(O2967, Coordinates!$A$2:$C$6, 3, FALSE)</f>
        <v>-95.369799999999998</v>
      </c>
      <c r="R2967">
        <v>13</v>
      </c>
      <c r="S2967">
        <v>403</v>
      </c>
      <c r="T2967">
        <v>5</v>
      </c>
      <c r="U2967">
        <v>34.486674042107403</v>
      </c>
      <c r="V2967" t="s">
        <v>30</v>
      </c>
      <c r="W2967">
        <v>2.6322555804531498</v>
      </c>
      <c r="X2967" t="s">
        <v>46</v>
      </c>
      <c r="Y2967" t="s">
        <v>41</v>
      </c>
      <c r="Z2967">
        <v>974.09836949847102</v>
      </c>
    </row>
    <row r="2968" spans="1:26" x14ac:dyDescent="0.3">
      <c r="A2968" t="s">
        <v>82</v>
      </c>
      <c r="B2968" t="s">
        <v>3024</v>
      </c>
      <c r="C2968">
        <v>72.035362655053206</v>
      </c>
      <c r="D2968">
        <v>43</v>
      </c>
      <c r="E2968">
        <v>577</v>
      </c>
      <c r="F2968">
        <v>7502.1517930505797</v>
      </c>
      <c r="G2968" t="s">
        <v>35</v>
      </c>
      <c r="H2968">
        <v>62</v>
      </c>
      <c r="I2968">
        <v>15</v>
      </c>
      <c r="J2968">
        <v>73</v>
      </c>
      <c r="K2968">
        <v>7</v>
      </c>
      <c r="L2968" t="s">
        <v>44</v>
      </c>
      <c r="M2968">
        <v>12.1298066546443</v>
      </c>
      <c r="N2968" t="s">
        <v>45</v>
      </c>
      <c r="O2968" t="s">
        <v>38</v>
      </c>
      <c r="P2968">
        <f>VLOOKUP(O2968, Coordinates!$A$2:$C$6, 2, FALSE)</f>
        <v>25.761700000000001</v>
      </c>
      <c r="Q2968">
        <f>VLOOKUP(O2968, Coordinates!$A$2:$C$6, 3, FALSE)</f>
        <v>-80.191800000000001</v>
      </c>
      <c r="R2968">
        <v>28</v>
      </c>
      <c r="S2968">
        <v>134</v>
      </c>
      <c r="T2968">
        <v>27</v>
      </c>
      <c r="U2968">
        <v>34.270435149999997</v>
      </c>
      <c r="V2968" t="s">
        <v>55</v>
      </c>
      <c r="W2968">
        <v>4.22513118140792</v>
      </c>
      <c r="X2968" t="s">
        <v>46</v>
      </c>
      <c r="Y2968" t="s">
        <v>32</v>
      </c>
      <c r="Z2968">
        <v>602.05224054191206</v>
      </c>
    </row>
    <row r="2969" spans="1:26" x14ac:dyDescent="0.3">
      <c r="A2969" t="s">
        <v>61</v>
      </c>
      <c r="B2969" t="s">
        <v>3025</v>
      </c>
      <c r="C2969">
        <v>92.608233159999997</v>
      </c>
      <c r="D2969">
        <v>17</v>
      </c>
      <c r="E2969">
        <v>311</v>
      </c>
      <c r="F2969">
        <v>8519.8195114134996</v>
      </c>
      <c r="G2969" t="s">
        <v>35</v>
      </c>
      <c r="H2969">
        <v>75</v>
      </c>
      <c r="I2969">
        <v>11</v>
      </c>
      <c r="J2969">
        <v>81</v>
      </c>
      <c r="K2969">
        <v>4</v>
      </c>
      <c r="L2969" t="s">
        <v>27</v>
      </c>
      <c r="M2969">
        <v>7.0055111141886197</v>
      </c>
      <c r="N2969" t="s">
        <v>45</v>
      </c>
      <c r="O2969" t="s">
        <v>38</v>
      </c>
      <c r="P2969">
        <f>VLOOKUP(O2969, Coordinates!$A$2:$C$6, 2, FALSE)</f>
        <v>25.761700000000001</v>
      </c>
      <c r="Q2969">
        <f>VLOOKUP(O2969, Coordinates!$A$2:$C$6, 3, FALSE)</f>
        <v>-80.191800000000001</v>
      </c>
      <c r="R2969">
        <v>27</v>
      </c>
      <c r="S2969">
        <v>747</v>
      </c>
      <c r="T2969">
        <v>27</v>
      </c>
      <c r="U2969">
        <v>73.386410380000001</v>
      </c>
      <c r="V2969" t="s">
        <v>39</v>
      </c>
      <c r="W2969">
        <v>4.3300015515434103</v>
      </c>
      <c r="X2969" t="s">
        <v>46</v>
      </c>
      <c r="Y2969" t="s">
        <v>60</v>
      </c>
      <c r="Z2969">
        <v>292.72668769087102</v>
      </c>
    </row>
    <row r="2970" spans="1:26" x14ac:dyDescent="0.3">
      <c r="A2970" t="s">
        <v>82</v>
      </c>
      <c r="B2970" t="s">
        <v>3026</v>
      </c>
      <c r="C2970">
        <v>18.489454638447999</v>
      </c>
      <c r="D2970">
        <v>40</v>
      </c>
      <c r="E2970">
        <v>270</v>
      </c>
      <c r="F2970">
        <v>4592.2749498455596</v>
      </c>
      <c r="G2970" t="s">
        <v>26</v>
      </c>
      <c r="H2970">
        <v>9</v>
      </c>
      <c r="I2970">
        <v>27</v>
      </c>
      <c r="J2970">
        <v>29</v>
      </c>
      <c r="K2970">
        <v>10</v>
      </c>
      <c r="L2970" t="s">
        <v>44</v>
      </c>
      <c r="M2970">
        <v>1.9603016117429799</v>
      </c>
      <c r="N2970" t="s">
        <v>45</v>
      </c>
      <c r="O2970" t="s">
        <v>38</v>
      </c>
      <c r="P2970">
        <f>VLOOKUP(O2970, Coordinates!$A$2:$C$6, 2, FALSE)</f>
        <v>25.761700000000001</v>
      </c>
      <c r="Q2970">
        <f>VLOOKUP(O2970, Coordinates!$A$2:$C$6, 3, FALSE)</f>
        <v>-80.191800000000001</v>
      </c>
      <c r="R2970">
        <v>26</v>
      </c>
      <c r="S2970">
        <v>687</v>
      </c>
      <c r="T2970">
        <v>24</v>
      </c>
      <c r="U2970">
        <v>93.556969663444804</v>
      </c>
      <c r="V2970" t="s">
        <v>39</v>
      </c>
      <c r="W2970">
        <v>4.1550460771253999</v>
      </c>
      <c r="X2970" t="s">
        <v>40</v>
      </c>
      <c r="Y2970" t="s">
        <v>60</v>
      </c>
      <c r="Z2970">
        <v>625.15518189486295</v>
      </c>
    </row>
    <row r="2971" spans="1:26" x14ac:dyDescent="0.3">
      <c r="A2971" t="s">
        <v>42</v>
      </c>
      <c r="B2971" t="s">
        <v>3027</v>
      </c>
      <c r="C2971">
        <v>33.902977059999998</v>
      </c>
      <c r="D2971">
        <v>49</v>
      </c>
      <c r="E2971">
        <v>993</v>
      </c>
      <c r="F2971">
        <v>5031.4817545944697</v>
      </c>
      <c r="H2971">
        <v>5</v>
      </c>
      <c r="I2971">
        <v>23</v>
      </c>
      <c r="J2971">
        <v>43</v>
      </c>
      <c r="K2971">
        <v>4</v>
      </c>
      <c r="L2971" t="s">
        <v>27</v>
      </c>
      <c r="M2971">
        <v>13.156264043483</v>
      </c>
      <c r="N2971" t="s">
        <v>51</v>
      </c>
      <c r="O2971" t="s">
        <v>67</v>
      </c>
      <c r="P2971">
        <f>VLOOKUP(O2971, Coordinates!$A$2:$C$6, 2, FALSE)</f>
        <v>40.712800000000001</v>
      </c>
      <c r="Q2971">
        <f>VLOOKUP(O2971, Coordinates!$A$2:$C$6, 3, FALSE)</f>
        <v>-74.006</v>
      </c>
      <c r="R2971">
        <v>12</v>
      </c>
      <c r="S2971">
        <v>853</v>
      </c>
      <c r="T2971">
        <v>27</v>
      </c>
      <c r="U2971">
        <v>84.210024230779098</v>
      </c>
      <c r="V2971" t="s">
        <v>55</v>
      </c>
      <c r="W2971">
        <v>0.31694125729542699</v>
      </c>
      <c r="X2971" t="s">
        <v>40</v>
      </c>
      <c r="Y2971" t="s">
        <v>41</v>
      </c>
      <c r="Z2971">
        <v>787.18946867176805</v>
      </c>
    </row>
    <row r="2972" spans="1:26" x14ac:dyDescent="0.3">
      <c r="A2972" t="s">
        <v>72</v>
      </c>
      <c r="B2972" t="s">
        <v>3028</v>
      </c>
      <c r="C2972">
        <v>35.900409742778997</v>
      </c>
      <c r="D2972">
        <v>85</v>
      </c>
      <c r="E2972">
        <v>322</v>
      </c>
      <c r="F2972">
        <v>10403.9387434573</v>
      </c>
      <c r="G2972" t="s">
        <v>26</v>
      </c>
      <c r="H2972">
        <v>49</v>
      </c>
      <c r="I2972">
        <v>5</v>
      </c>
      <c r="J2972">
        <v>51</v>
      </c>
      <c r="K2972">
        <v>3</v>
      </c>
      <c r="L2972" t="s">
        <v>27</v>
      </c>
      <c r="M2972">
        <v>11.710559039016699</v>
      </c>
      <c r="N2972" t="s">
        <v>37</v>
      </c>
      <c r="O2972" t="s">
        <v>29</v>
      </c>
      <c r="P2972">
        <f>VLOOKUP(O2972, Coordinates!$A$2:$C$6, 2, FALSE)</f>
        <v>29.760400000000001</v>
      </c>
      <c r="Q2972">
        <f>VLOOKUP(O2972, Coordinates!$A$2:$C$6, 3, FALSE)</f>
        <v>-95.369799999999998</v>
      </c>
      <c r="R2972">
        <v>13</v>
      </c>
      <c r="S2972">
        <v>592</v>
      </c>
      <c r="T2972">
        <v>26</v>
      </c>
      <c r="U2972">
        <v>77.445178663764906</v>
      </c>
      <c r="V2972" t="s">
        <v>30</v>
      </c>
      <c r="W2972">
        <v>4.4648990296416802</v>
      </c>
      <c r="X2972" t="s">
        <v>40</v>
      </c>
      <c r="Y2972" t="s">
        <v>60</v>
      </c>
      <c r="Z2972">
        <v>107.45409215135599</v>
      </c>
    </row>
    <row r="2973" spans="1:26" x14ac:dyDescent="0.3">
      <c r="A2973" t="s">
        <v>82</v>
      </c>
      <c r="B2973" t="s">
        <v>3029</v>
      </c>
      <c r="C2973">
        <v>63.1408103461482</v>
      </c>
      <c r="D2973">
        <v>57</v>
      </c>
      <c r="E2973">
        <v>117</v>
      </c>
      <c r="F2973">
        <v>7980.8917179342998</v>
      </c>
      <c r="G2973" t="s">
        <v>26</v>
      </c>
      <c r="H2973">
        <v>43</v>
      </c>
      <c r="I2973">
        <v>6</v>
      </c>
      <c r="J2973">
        <v>17</v>
      </c>
      <c r="K2973">
        <v>10</v>
      </c>
      <c r="L2973" t="s">
        <v>36</v>
      </c>
      <c r="M2973">
        <v>12.070287722070001</v>
      </c>
      <c r="N2973" t="s">
        <v>45</v>
      </c>
      <c r="O2973" t="s">
        <v>38</v>
      </c>
      <c r="P2973">
        <f>VLOOKUP(O2973, Coordinates!$A$2:$C$6, 2, FALSE)</f>
        <v>25.761700000000001</v>
      </c>
      <c r="Q2973">
        <f>VLOOKUP(O2973, Coordinates!$A$2:$C$6, 3, FALSE)</f>
        <v>-80.191800000000001</v>
      </c>
      <c r="R2973">
        <v>29</v>
      </c>
      <c r="S2973">
        <v>590</v>
      </c>
      <c r="T2973">
        <v>22</v>
      </c>
      <c r="U2973">
        <v>44.857827825164897</v>
      </c>
      <c r="V2973" t="s">
        <v>39</v>
      </c>
      <c r="W2973">
        <v>3.5024944482754501</v>
      </c>
      <c r="X2973" t="s">
        <v>52</v>
      </c>
      <c r="Y2973" t="s">
        <v>60</v>
      </c>
      <c r="Z2973">
        <v>840.53133160000004</v>
      </c>
    </row>
    <row r="2974" spans="1:26" x14ac:dyDescent="0.3">
      <c r="A2974" t="s">
        <v>33</v>
      </c>
      <c r="B2974" t="s">
        <v>3030</v>
      </c>
      <c r="C2974">
        <v>34.098594704316</v>
      </c>
      <c r="D2974">
        <v>87</v>
      </c>
      <c r="E2974">
        <v>905</v>
      </c>
      <c r="F2974">
        <v>3593.3454013003702</v>
      </c>
      <c r="H2974">
        <v>47</v>
      </c>
      <c r="I2974">
        <v>13</v>
      </c>
      <c r="J2974">
        <v>75</v>
      </c>
      <c r="K2974">
        <v>7</v>
      </c>
      <c r="L2974" t="s">
        <v>44</v>
      </c>
      <c r="M2974">
        <v>11.4280222581577</v>
      </c>
      <c r="N2974" t="s">
        <v>51</v>
      </c>
      <c r="O2974" t="s">
        <v>38</v>
      </c>
      <c r="P2974">
        <f>VLOOKUP(O2974, Coordinates!$A$2:$C$6, 2, FALSE)</f>
        <v>25.761700000000001</v>
      </c>
      <c r="Q2974">
        <f>VLOOKUP(O2974, Coordinates!$A$2:$C$6, 3, FALSE)</f>
        <v>-80.191800000000001</v>
      </c>
      <c r="R2974">
        <v>10</v>
      </c>
      <c r="S2974">
        <v>899</v>
      </c>
      <c r="T2974">
        <v>22</v>
      </c>
      <c r="U2974">
        <v>74.599060123177594</v>
      </c>
      <c r="V2974" t="s">
        <v>30</v>
      </c>
      <c r="W2974">
        <v>3.14670421506161</v>
      </c>
      <c r="X2974" t="s">
        <v>31</v>
      </c>
      <c r="Y2974" t="s">
        <v>60</v>
      </c>
      <c r="Z2974">
        <v>518.31750367136203</v>
      </c>
    </row>
    <row r="2975" spans="1:26" x14ac:dyDescent="0.3">
      <c r="A2975" t="s">
        <v>24</v>
      </c>
      <c r="B2975" t="s">
        <v>3031</v>
      </c>
      <c r="C2975">
        <v>37.716224492163398</v>
      </c>
      <c r="D2975">
        <v>84</v>
      </c>
      <c r="E2975">
        <v>382</v>
      </c>
      <c r="F2975">
        <v>12966.8379804057</v>
      </c>
      <c r="G2975" t="s">
        <v>26</v>
      </c>
      <c r="H2975">
        <v>86</v>
      </c>
      <c r="I2975">
        <v>23</v>
      </c>
      <c r="J2975">
        <v>30</v>
      </c>
      <c r="K2975">
        <v>5</v>
      </c>
      <c r="L2975" t="s">
        <v>36</v>
      </c>
      <c r="M2975">
        <v>4.8605628510000001</v>
      </c>
      <c r="N2975" t="s">
        <v>57</v>
      </c>
      <c r="O2975" t="s">
        <v>65</v>
      </c>
      <c r="P2975">
        <f>VLOOKUP(O2975, Coordinates!$A$2:$C$6, 2, FALSE)</f>
        <v>41.878100000000003</v>
      </c>
      <c r="Q2975">
        <f>VLOOKUP(O2975, Coordinates!$A$2:$C$6, 3, FALSE)</f>
        <v>-87.629800000000003</v>
      </c>
      <c r="R2975">
        <v>19</v>
      </c>
      <c r="S2975">
        <v>320</v>
      </c>
      <c r="T2975">
        <v>3</v>
      </c>
      <c r="U2975">
        <v>79.998951904100593</v>
      </c>
      <c r="V2975" t="s">
        <v>55</v>
      </c>
      <c r="W2975">
        <v>3.1287353228157002</v>
      </c>
      <c r="X2975" t="s">
        <v>52</v>
      </c>
      <c r="Y2975" t="s">
        <v>32</v>
      </c>
      <c r="Z2975">
        <v>516.84757137361305</v>
      </c>
    </row>
    <row r="2976" spans="1:26" x14ac:dyDescent="0.3">
      <c r="A2976" t="s">
        <v>72</v>
      </c>
      <c r="B2976" t="s">
        <v>3032</v>
      </c>
      <c r="C2976">
        <v>23.256173084171099</v>
      </c>
      <c r="D2976">
        <v>64</v>
      </c>
      <c r="E2976">
        <v>458</v>
      </c>
      <c r="F2976">
        <v>9586.1945450000003</v>
      </c>
      <c r="G2976" t="s">
        <v>35</v>
      </c>
      <c r="H2976">
        <v>5</v>
      </c>
      <c r="I2976">
        <v>10</v>
      </c>
      <c r="J2976">
        <v>88</v>
      </c>
      <c r="K2976">
        <v>3</v>
      </c>
      <c r="L2976" t="s">
        <v>36</v>
      </c>
      <c r="M2976">
        <v>13.0238400753707</v>
      </c>
      <c r="N2976" t="s">
        <v>45</v>
      </c>
      <c r="O2976" t="s">
        <v>38</v>
      </c>
      <c r="P2976">
        <f>VLOOKUP(O2976, Coordinates!$A$2:$C$6, 2, FALSE)</f>
        <v>25.761700000000001</v>
      </c>
      <c r="Q2976">
        <f>VLOOKUP(O2976, Coordinates!$A$2:$C$6, 3, FALSE)</f>
        <v>-80.191800000000001</v>
      </c>
      <c r="R2976">
        <v>29</v>
      </c>
      <c r="S2976">
        <v>912</v>
      </c>
      <c r="T2976">
        <v>29</v>
      </c>
      <c r="U2976">
        <v>76.696663826803203</v>
      </c>
      <c r="V2976" t="s">
        <v>39</v>
      </c>
      <c r="W2976">
        <v>3.8449967415058599</v>
      </c>
      <c r="X2976" t="s">
        <v>31</v>
      </c>
      <c r="Y2976" t="s">
        <v>41</v>
      </c>
      <c r="Z2976">
        <v>490.87608665526</v>
      </c>
    </row>
    <row r="2977" spans="1:26" x14ac:dyDescent="0.3">
      <c r="A2977" t="s">
        <v>82</v>
      </c>
      <c r="B2977" t="s">
        <v>3033</v>
      </c>
      <c r="C2977">
        <v>38.230625871721202</v>
      </c>
      <c r="D2977">
        <v>75</v>
      </c>
      <c r="E2977">
        <v>195</v>
      </c>
      <c r="F2977">
        <v>6068.7828320334502</v>
      </c>
      <c r="G2977" t="s">
        <v>54</v>
      </c>
      <c r="H2977">
        <v>87</v>
      </c>
      <c r="I2977">
        <v>24</v>
      </c>
      <c r="J2977">
        <v>79</v>
      </c>
      <c r="K2977">
        <v>6</v>
      </c>
      <c r="L2977" t="s">
        <v>36</v>
      </c>
      <c r="M2977">
        <v>1.0312557440175201</v>
      </c>
      <c r="N2977" t="s">
        <v>37</v>
      </c>
      <c r="O2977" t="s">
        <v>67</v>
      </c>
      <c r="P2977">
        <f>VLOOKUP(O2977, Coordinates!$A$2:$C$6, 2, FALSE)</f>
        <v>40.712800000000001</v>
      </c>
      <c r="Q2977">
        <f>VLOOKUP(O2977, Coordinates!$A$2:$C$6, 3, FALSE)</f>
        <v>-74.006</v>
      </c>
      <c r="R2977">
        <v>19</v>
      </c>
      <c r="S2977">
        <v>696</v>
      </c>
      <c r="T2977">
        <v>6</v>
      </c>
      <c r="U2977">
        <v>70.912971845751002</v>
      </c>
      <c r="V2977" t="s">
        <v>39</v>
      </c>
      <c r="W2977">
        <v>4.9920563061788998</v>
      </c>
      <c r="X2977" t="s">
        <v>31</v>
      </c>
      <c r="Y2977" t="s">
        <v>41</v>
      </c>
      <c r="Z2977">
        <v>722.66148509512595</v>
      </c>
    </row>
    <row r="2978" spans="1:26" x14ac:dyDescent="0.3">
      <c r="A2978" t="s">
        <v>72</v>
      </c>
      <c r="B2978" t="s">
        <v>3034</v>
      </c>
      <c r="C2978">
        <v>31.0796187549442</v>
      </c>
      <c r="D2978">
        <v>57</v>
      </c>
      <c r="E2978">
        <v>895</v>
      </c>
      <c r="F2978">
        <v>25034.632907107502</v>
      </c>
      <c r="G2978" t="s">
        <v>54</v>
      </c>
      <c r="H2978">
        <v>23</v>
      </c>
      <c r="I2978">
        <v>25</v>
      </c>
      <c r="J2978">
        <v>14</v>
      </c>
      <c r="K2978">
        <v>6</v>
      </c>
      <c r="L2978" t="s">
        <v>36</v>
      </c>
      <c r="M2978">
        <v>4.3218678973725302</v>
      </c>
      <c r="N2978" t="s">
        <v>51</v>
      </c>
      <c r="O2978" t="s">
        <v>29</v>
      </c>
      <c r="P2978">
        <f>VLOOKUP(O2978, Coordinates!$A$2:$C$6, 2, FALSE)</f>
        <v>29.760400000000001</v>
      </c>
      <c r="Q2978">
        <f>VLOOKUP(O2978, Coordinates!$A$2:$C$6, 3, FALSE)</f>
        <v>-95.369799999999998</v>
      </c>
      <c r="R2978">
        <v>26</v>
      </c>
      <c r="S2978">
        <v>222</v>
      </c>
      <c r="T2978">
        <v>26</v>
      </c>
      <c r="U2978">
        <v>80.491208199322998</v>
      </c>
      <c r="V2978" t="s">
        <v>30</v>
      </c>
      <c r="W2978">
        <v>1.73683886597943</v>
      </c>
      <c r="X2978" t="s">
        <v>31</v>
      </c>
      <c r="Y2978" t="s">
        <v>41</v>
      </c>
      <c r="Z2978">
        <v>288.515347637464</v>
      </c>
    </row>
    <row r="2979" spans="1:26" x14ac:dyDescent="0.3">
      <c r="A2979" t="s">
        <v>72</v>
      </c>
      <c r="B2979" t="s">
        <v>3035</v>
      </c>
      <c r="D2979">
        <v>98</v>
      </c>
      <c r="E2979">
        <v>444</v>
      </c>
      <c r="G2979" t="s">
        <v>26</v>
      </c>
      <c r="H2979">
        <v>84</v>
      </c>
      <c r="I2979">
        <v>14</v>
      </c>
      <c r="J2979">
        <v>76</v>
      </c>
      <c r="K2979">
        <v>6</v>
      </c>
      <c r="L2979" t="s">
        <v>36</v>
      </c>
      <c r="M2979">
        <v>1.6518343835387299</v>
      </c>
      <c r="N2979" t="s">
        <v>57</v>
      </c>
      <c r="O2979" t="s">
        <v>29</v>
      </c>
      <c r="P2979">
        <f>VLOOKUP(O2979, Coordinates!$A$2:$C$6, 2, FALSE)</f>
        <v>29.760400000000001</v>
      </c>
      <c r="Q2979">
        <f>VLOOKUP(O2979, Coordinates!$A$2:$C$6, 3, FALSE)</f>
        <v>-95.369799999999998</v>
      </c>
      <c r="R2979">
        <v>17</v>
      </c>
      <c r="S2979">
        <v>806</v>
      </c>
      <c r="T2979">
        <v>13</v>
      </c>
      <c r="U2979">
        <v>86.363852520287907</v>
      </c>
      <c r="V2979" t="s">
        <v>30</v>
      </c>
      <c r="W2979">
        <v>4.5254718548169697</v>
      </c>
      <c r="X2979" t="s">
        <v>46</v>
      </c>
      <c r="Y2979" t="s">
        <v>60</v>
      </c>
      <c r="Z2979">
        <v>645.99439238977595</v>
      </c>
    </row>
    <row r="2980" spans="1:26" x14ac:dyDescent="0.3">
      <c r="A2980" t="s">
        <v>72</v>
      </c>
      <c r="B2980" t="s">
        <v>3036</v>
      </c>
      <c r="C2980">
        <v>29.2309152646657</v>
      </c>
      <c r="D2980">
        <v>74</v>
      </c>
      <c r="E2980">
        <v>191</v>
      </c>
      <c r="F2980">
        <v>5024.7943339960302</v>
      </c>
      <c r="G2980" t="s">
        <v>35</v>
      </c>
      <c r="H2980">
        <v>94</v>
      </c>
      <c r="I2980">
        <v>4</v>
      </c>
      <c r="J2980">
        <v>52</v>
      </c>
      <c r="K2980">
        <v>2</v>
      </c>
      <c r="L2980" t="s">
        <v>44</v>
      </c>
      <c r="M2980">
        <v>2.5483503930000002</v>
      </c>
      <c r="N2980" t="s">
        <v>37</v>
      </c>
      <c r="O2980" t="s">
        <v>29</v>
      </c>
      <c r="P2980">
        <f>VLOOKUP(O2980, Coordinates!$A$2:$C$6, 2, FALSE)</f>
        <v>29.760400000000001</v>
      </c>
      <c r="Q2980">
        <f>VLOOKUP(O2980, Coordinates!$A$2:$C$6, 3, FALSE)</f>
        <v>-95.369799999999998</v>
      </c>
      <c r="R2980">
        <v>26</v>
      </c>
      <c r="S2980">
        <v>201</v>
      </c>
      <c r="T2980">
        <v>16</v>
      </c>
      <c r="U2980">
        <v>89.895375599999994</v>
      </c>
      <c r="V2980" t="s">
        <v>39</v>
      </c>
      <c r="W2980">
        <v>4.7414236612687199</v>
      </c>
      <c r="X2980" t="s">
        <v>31</v>
      </c>
      <c r="Y2980" t="s">
        <v>60</v>
      </c>
      <c r="Z2980">
        <v>139.68710071005901</v>
      </c>
    </row>
    <row r="2981" spans="1:26" x14ac:dyDescent="0.3">
      <c r="A2981" t="s">
        <v>42</v>
      </c>
      <c r="B2981" t="s">
        <v>3037</v>
      </c>
      <c r="C2981">
        <v>64.814692769999994</v>
      </c>
      <c r="D2981">
        <v>74</v>
      </c>
      <c r="E2981">
        <v>835</v>
      </c>
      <c r="F2981">
        <v>7193.56993050037</v>
      </c>
      <c r="G2981" t="s">
        <v>35</v>
      </c>
      <c r="H2981">
        <v>57</v>
      </c>
      <c r="I2981">
        <v>20</v>
      </c>
      <c r="J2981">
        <v>25</v>
      </c>
      <c r="K2981">
        <v>10</v>
      </c>
      <c r="L2981" t="s">
        <v>36</v>
      </c>
      <c r="M2981">
        <v>8.4533079252450705</v>
      </c>
      <c r="N2981" t="s">
        <v>57</v>
      </c>
      <c r="O2981" t="s">
        <v>58</v>
      </c>
      <c r="P2981">
        <f>VLOOKUP(O2981, Coordinates!$A$2:$C$6, 2, FALSE)</f>
        <v>34.052199999999999</v>
      </c>
      <c r="Q2981">
        <f>VLOOKUP(O2981, Coordinates!$A$2:$C$6, 3, FALSE)</f>
        <v>-118.2437</v>
      </c>
      <c r="R2981">
        <v>30</v>
      </c>
      <c r="S2981">
        <v>894</v>
      </c>
      <c r="T2981">
        <v>7</v>
      </c>
      <c r="U2981">
        <v>96.541234439999997</v>
      </c>
      <c r="V2981" t="s">
        <v>30</v>
      </c>
      <c r="W2981">
        <v>4.7449440714984803</v>
      </c>
      <c r="X2981" t="s">
        <v>46</v>
      </c>
      <c r="Y2981" t="s">
        <v>60</v>
      </c>
      <c r="Z2981">
        <v>830.21444673675205</v>
      </c>
    </row>
    <row r="2982" spans="1:26" x14ac:dyDescent="0.3">
      <c r="A2982" t="s">
        <v>33</v>
      </c>
      <c r="B2982" t="s">
        <v>3038</v>
      </c>
      <c r="C2982">
        <v>87.031037795065899</v>
      </c>
      <c r="D2982">
        <v>70</v>
      </c>
      <c r="E2982">
        <v>371</v>
      </c>
      <c r="F2982">
        <v>9873.7688591696697</v>
      </c>
      <c r="G2982" t="s">
        <v>35</v>
      </c>
      <c r="H2982">
        <v>63</v>
      </c>
      <c r="I2982">
        <v>23</v>
      </c>
      <c r="J2982">
        <v>82</v>
      </c>
      <c r="K2982">
        <v>7</v>
      </c>
      <c r="L2982" t="s">
        <v>27</v>
      </c>
      <c r="M2982">
        <v>1.52158665917448</v>
      </c>
      <c r="N2982" t="s">
        <v>37</v>
      </c>
      <c r="O2982" t="s">
        <v>65</v>
      </c>
      <c r="P2982">
        <f>VLOOKUP(O2982, Coordinates!$A$2:$C$6, 2, FALSE)</f>
        <v>41.878100000000003</v>
      </c>
      <c r="Q2982">
        <f>VLOOKUP(O2982, Coordinates!$A$2:$C$6, 3, FALSE)</f>
        <v>-87.629800000000003</v>
      </c>
      <c r="R2982">
        <v>5</v>
      </c>
      <c r="S2982">
        <v>986</v>
      </c>
      <c r="T2982">
        <v>18</v>
      </c>
      <c r="U2982">
        <v>64.647089500000007</v>
      </c>
      <c r="V2982" t="s">
        <v>30</v>
      </c>
      <c r="W2982">
        <v>3.7641879380086101</v>
      </c>
      <c r="X2982" t="s">
        <v>31</v>
      </c>
      <c r="Y2982" t="s">
        <v>32</v>
      </c>
      <c r="Z2982">
        <v>833.89916690936195</v>
      </c>
    </row>
    <row r="2983" spans="1:26" x14ac:dyDescent="0.3">
      <c r="A2983" t="s">
        <v>49</v>
      </c>
      <c r="B2983" t="s">
        <v>3039</v>
      </c>
      <c r="C2983">
        <v>17.567355026848599</v>
      </c>
      <c r="D2983">
        <v>100</v>
      </c>
      <c r="E2983">
        <v>93</v>
      </c>
      <c r="F2983">
        <v>7903.1127698269202</v>
      </c>
      <c r="G2983" t="s">
        <v>54</v>
      </c>
      <c r="H2983">
        <v>93</v>
      </c>
      <c r="I2983">
        <v>12</v>
      </c>
      <c r="J2983">
        <v>44</v>
      </c>
      <c r="K2983">
        <v>7</v>
      </c>
      <c r="L2983" t="s">
        <v>27</v>
      </c>
      <c r="M2983">
        <v>3.5393346678053099</v>
      </c>
      <c r="N2983" t="s">
        <v>28</v>
      </c>
      <c r="O2983" t="s">
        <v>38</v>
      </c>
      <c r="P2983">
        <f>VLOOKUP(O2983, Coordinates!$A$2:$C$6, 2, FALSE)</f>
        <v>25.761700000000001</v>
      </c>
      <c r="Q2983">
        <f>VLOOKUP(O2983, Coordinates!$A$2:$C$6, 3, FALSE)</f>
        <v>-80.191800000000001</v>
      </c>
      <c r="R2983">
        <v>8</v>
      </c>
      <c r="S2983">
        <v>614</v>
      </c>
      <c r="T2983">
        <v>3</v>
      </c>
      <c r="U2983">
        <v>64.740453061176893</v>
      </c>
      <c r="V2983" t="s">
        <v>39</v>
      </c>
      <c r="W2983">
        <v>1.2690250265599099</v>
      </c>
      <c r="X2983" t="s">
        <v>52</v>
      </c>
      <c r="Y2983" t="s">
        <v>32</v>
      </c>
      <c r="Z2983">
        <v>380.69195819916598</v>
      </c>
    </row>
    <row r="2984" spans="1:26" x14ac:dyDescent="0.3">
      <c r="A2984" t="s">
        <v>49</v>
      </c>
      <c r="B2984" t="s">
        <v>3040</v>
      </c>
      <c r="C2984">
        <v>97.871046232779094</v>
      </c>
      <c r="D2984">
        <v>88</v>
      </c>
      <c r="E2984">
        <v>191</v>
      </c>
      <c r="F2984">
        <v>9477.7698892923108</v>
      </c>
      <c r="G2984" t="s">
        <v>35</v>
      </c>
      <c r="H2984">
        <v>55</v>
      </c>
      <c r="I2984">
        <v>15</v>
      </c>
      <c r="J2984">
        <v>92</v>
      </c>
      <c r="K2984">
        <v>10</v>
      </c>
      <c r="L2984" t="s">
        <v>44</v>
      </c>
      <c r="M2984">
        <v>4.25836206347158</v>
      </c>
      <c r="N2984" t="s">
        <v>28</v>
      </c>
      <c r="O2984" t="s">
        <v>58</v>
      </c>
      <c r="P2984">
        <f>VLOOKUP(O2984, Coordinates!$A$2:$C$6, 2, FALSE)</f>
        <v>34.052199999999999</v>
      </c>
      <c r="Q2984">
        <f>VLOOKUP(O2984, Coordinates!$A$2:$C$6, 3, FALSE)</f>
        <v>-118.2437</v>
      </c>
      <c r="R2984">
        <v>5</v>
      </c>
      <c r="S2984">
        <v>412</v>
      </c>
      <c r="T2984">
        <v>6</v>
      </c>
      <c r="U2984">
        <v>99.464966863277397</v>
      </c>
      <c r="V2984" t="s">
        <v>30</v>
      </c>
      <c r="W2984">
        <v>0.603276759</v>
      </c>
      <c r="X2984" t="s">
        <v>52</v>
      </c>
      <c r="Y2984" t="s">
        <v>41</v>
      </c>
      <c r="Z2984">
        <v>194.87748341416301</v>
      </c>
    </row>
    <row r="2985" spans="1:26" x14ac:dyDescent="0.3">
      <c r="A2985" t="s">
        <v>82</v>
      </c>
      <c r="B2985" t="s">
        <v>3041</v>
      </c>
      <c r="C2985">
        <v>60.349721373834697</v>
      </c>
      <c r="D2985">
        <v>76</v>
      </c>
      <c r="E2985">
        <v>823</v>
      </c>
      <c r="F2985">
        <v>2945.6971648342701</v>
      </c>
      <c r="G2985" t="s">
        <v>35</v>
      </c>
      <c r="H2985">
        <v>97</v>
      </c>
      <c r="I2985">
        <v>26</v>
      </c>
      <c r="J2985">
        <v>52</v>
      </c>
      <c r="K2985">
        <v>4</v>
      </c>
      <c r="L2985" t="s">
        <v>27</v>
      </c>
      <c r="M2985">
        <v>10.1747432719211</v>
      </c>
      <c r="N2985" t="s">
        <v>28</v>
      </c>
      <c r="O2985" t="s">
        <v>58</v>
      </c>
      <c r="P2985">
        <f>VLOOKUP(O2985, Coordinates!$A$2:$C$6, 2, FALSE)</f>
        <v>34.052199999999999</v>
      </c>
      <c r="Q2985">
        <f>VLOOKUP(O2985, Coordinates!$A$2:$C$6, 3, FALSE)</f>
        <v>-118.2437</v>
      </c>
      <c r="R2985">
        <v>15</v>
      </c>
      <c r="S2985">
        <v>605</v>
      </c>
      <c r="T2985">
        <v>10</v>
      </c>
      <c r="U2985">
        <v>18.422901080281399</v>
      </c>
      <c r="V2985" t="s">
        <v>30</v>
      </c>
      <c r="W2985">
        <v>2.8494248857711</v>
      </c>
      <c r="X2985" t="s">
        <v>31</v>
      </c>
      <c r="Y2985" t="s">
        <v>32</v>
      </c>
      <c r="Z2985">
        <v>772.97405971228602</v>
      </c>
    </row>
    <row r="2986" spans="1:26" x14ac:dyDescent="0.3">
      <c r="A2986" t="s">
        <v>72</v>
      </c>
      <c r="B2986" t="s">
        <v>3042</v>
      </c>
      <c r="C2986">
        <v>35.767317427742597</v>
      </c>
      <c r="D2986">
        <v>43</v>
      </c>
      <c r="E2986">
        <v>950</v>
      </c>
      <c r="F2986">
        <v>30581.056400719899</v>
      </c>
      <c r="G2986" t="s">
        <v>26</v>
      </c>
      <c r="H2986">
        <v>81</v>
      </c>
      <c r="I2986">
        <v>10</v>
      </c>
      <c r="J2986">
        <v>48</v>
      </c>
      <c r="K2986">
        <v>6</v>
      </c>
      <c r="L2986" t="s">
        <v>36</v>
      </c>
      <c r="M2986">
        <v>7.5634873422752396</v>
      </c>
      <c r="N2986" t="s">
        <v>57</v>
      </c>
      <c r="O2986" t="s">
        <v>65</v>
      </c>
      <c r="P2986">
        <f>VLOOKUP(O2986, Coordinates!$A$2:$C$6, 2, FALSE)</f>
        <v>41.878100000000003</v>
      </c>
      <c r="Q2986">
        <f>VLOOKUP(O2986, Coordinates!$A$2:$C$6, 3, FALSE)</f>
        <v>-87.629800000000003</v>
      </c>
      <c r="R2986">
        <v>4</v>
      </c>
      <c r="S2986">
        <v>593</v>
      </c>
      <c r="T2986">
        <v>16</v>
      </c>
      <c r="U2986">
        <v>75.654054107484797</v>
      </c>
      <c r="V2986" t="s">
        <v>39</v>
      </c>
      <c r="W2986">
        <v>1.80019565548505</v>
      </c>
      <c r="X2986" t="s">
        <v>52</v>
      </c>
      <c r="Y2986" t="s">
        <v>32</v>
      </c>
      <c r="Z2986">
        <v>523.192970552318</v>
      </c>
    </row>
    <row r="2987" spans="1:26" x14ac:dyDescent="0.3">
      <c r="A2987" t="s">
        <v>82</v>
      </c>
      <c r="B2987" t="s">
        <v>3043</v>
      </c>
      <c r="C2987">
        <v>91.593898957255803</v>
      </c>
      <c r="D2987">
        <v>23</v>
      </c>
      <c r="E2987">
        <v>136</v>
      </c>
      <c r="F2987">
        <v>1181.9576813301701</v>
      </c>
      <c r="G2987" t="s">
        <v>48</v>
      </c>
      <c r="H2987">
        <v>11</v>
      </c>
      <c r="I2987">
        <v>11</v>
      </c>
      <c r="J2987">
        <v>19</v>
      </c>
      <c r="K2987">
        <v>4</v>
      </c>
      <c r="L2987" t="s">
        <v>27</v>
      </c>
      <c r="M2987">
        <v>7.4177753227764098</v>
      </c>
      <c r="N2987" t="s">
        <v>28</v>
      </c>
      <c r="O2987" t="s">
        <v>29</v>
      </c>
      <c r="P2987">
        <f>VLOOKUP(O2987, Coordinates!$A$2:$C$6, 2, FALSE)</f>
        <v>29.760400000000001</v>
      </c>
      <c r="Q2987">
        <f>VLOOKUP(O2987, Coordinates!$A$2:$C$6, 3, FALSE)</f>
        <v>-95.369799999999998</v>
      </c>
      <c r="R2987">
        <v>25</v>
      </c>
      <c r="S2987">
        <v>858</v>
      </c>
      <c r="T2987">
        <v>25</v>
      </c>
      <c r="U2987">
        <v>69.047149507212296</v>
      </c>
      <c r="V2987" t="s">
        <v>39</v>
      </c>
      <c r="W2987">
        <v>4.15519505909612</v>
      </c>
      <c r="X2987" t="s">
        <v>52</v>
      </c>
      <c r="Y2987" t="s">
        <v>60</v>
      </c>
      <c r="Z2987">
        <v>932.47027702573996</v>
      </c>
    </row>
    <row r="2988" spans="1:26" x14ac:dyDescent="0.3">
      <c r="A2988" t="s">
        <v>42</v>
      </c>
      <c r="B2988" t="s">
        <v>3044</v>
      </c>
      <c r="C2988">
        <v>26.044140850744999</v>
      </c>
      <c r="D2988">
        <v>27</v>
      </c>
      <c r="E2988">
        <v>868</v>
      </c>
      <c r="F2988">
        <v>7036.8401954038</v>
      </c>
      <c r="H2988">
        <v>1</v>
      </c>
      <c r="I2988">
        <v>24</v>
      </c>
      <c r="J2988">
        <v>83</v>
      </c>
      <c r="K2988">
        <v>4</v>
      </c>
      <c r="L2988" t="s">
        <v>36</v>
      </c>
      <c r="M2988">
        <v>11.7580557596067</v>
      </c>
      <c r="N2988" t="s">
        <v>51</v>
      </c>
      <c r="O2988" t="s">
        <v>67</v>
      </c>
      <c r="P2988">
        <f>VLOOKUP(O2988, Coordinates!$A$2:$C$6, 2, FALSE)</f>
        <v>40.712800000000001</v>
      </c>
      <c r="Q2988">
        <f>VLOOKUP(O2988, Coordinates!$A$2:$C$6, 3, FALSE)</f>
        <v>-74.006</v>
      </c>
      <c r="R2988">
        <v>13</v>
      </c>
      <c r="S2988">
        <v>759</v>
      </c>
      <c r="T2988">
        <v>13</v>
      </c>
      <c r="U2988">
        <v>38.371263043093698</v>
      </c>
      <c r="V2988" t="s">
        <v>30</v>
      </c>
      <c r="W2988">
        <v>3.7249502630837501</v>
      </c>
      <c r="X2988" t="s">
        <v>31</v>
      </c>
      <c r="Y2988" t="s">
        <v>60</v>
      </c>
      <c r="Z2988">
        <v>418.136177602148</v>
      </c>
    </row>
    <row r="2989" spans="1:26" x14ac:dyDescent="0.3">
      <c r="A2989" t="s">
        <v>42</v>
      </c>
      <c r="B2989" t="s">
        <v>3045</v>
      </c>
      <c r="C2989">
        <v>10.335390940814699</v>
      </c>
      <c r="D2989">
        <v>58</v>
      </c>
      <c r="E2989">
        <v>639</v>
      </c>
      <c r="F2989">
        <v>5223.5405030821703</v>
      </c>
      <c r="G2989" t="s">
        <v>26</v>
      </c>
      <c r="H2989">
        <v>70</v>
      </c>
      <c r="I2989">
        <v>11</v>
      </c>
      <c r="J2989">
        <v>29</v>
      </c>
      <c r="K2989">
        <v>6</v>
      </c>
      <c r="L2989" t="s">
        <v>44</v>
      </c>
      <c r="M2989">
        <v>7.3940997690406904</v>
      </c>
      <c r="N2989" t="s">
        <v>51</v>
      </c>
      <c r="O2989" t="s">
        <v>38</v>
      </c>
      <c r="P2989">
        <f>VLOOKUP(O2989, Coordinates!$A$2:$C$6, 2, FALSE)</f>
        <v>25.761700000000001</v>
      </c>
      <c r="Q2989">
        <f>VLOOKUP(O2989, Coordinates!$A$2:$C$6, 3, FALSE)</f>
        <v>-80.191800000000001</v>
      </c>
      <c r="R2989">
        <v>17</v>
      </c>
      <c r="S2989">
        <v>298</v>
      </c>
      <c r="T2989">
        <v>25</v>
      </c>
      <c r="U2989">
        <v>41.153513313620898</v>
      </c>
      <c r="V2989" t="s">
        <v>39</v>
      </c>
      <c r="W2989">
        <v>1.38234148086705</v>
      </c>
      <c r="X2989" t="s">
        <v>31</v>
      </c>
      <c r="Y2989" t="s">
        <v>41</v>
      </c>
      <c r="Z2989">
        <v>857.35812772470103</v>
      </c>
    </row>
    <row r="2990" spans="1:26" x14ac:dyDescent="0.3">
      <c r="A2990" t="s">
        <v>61</v>
      </c>
      <c r="B2990" t="s">
        <v>3046</v>
      </c>
      <c r="C2990">
        <v>29.285713910559299</v>
      </c>
      <c r="D2990">
        <v>37</v>
      </c>
      <c r="E2990">
        <v>564</v>
      </c>
      <c r="F2990">
        <v>4120.84064728061</v>
      </c>
      <c r="G2990" t="s">
        <v>26</v>
      </c>
      <c r="H2990">
        <v>88</v>
      </c>
      <c r="I2990">
        <v>2</v>
      </c>
      <c r="J2990">
        <v>10</v>
      </c>
      <c r="K2990">
        <v>9</v>
      </c>
      <c r="L2990" t="s">
        <v>27</v>
      </c>
      <c r="M2990">
        <v>5.8788424008526396</v>
      </c>
      <c r="N2990" t="s">
        <v>28</v>
      </c>
      <c r="O2990" t="s">
        <v>65</v>
      </c>
      <c r="P2990">
        <f>VLOOKUP(O2990, Coordinates!$A$2:$C$6, 2, FALSE)</f>
        <v>41.878100000000003</v>
      </c>
      <c r="Q2990">
        <f>VLOOKUP(O2990, Coordinates!$A$2:$C$6, 3, FALSE)</f>
        <v>-87.629800000000003</v>
      </c>
      <c r="R2990">
        <v>5</v>
      </c>
      <c r="S2990">
        <v>732</v>
      </c>
      <c r="T2990">
        <v>24</v>
      </c>
      <c r="U2990">
        <v>90.338044581739695</v>
      </c>
      <c r="V2990" t="s">
        <v>39</v>
      </c>
      <c r="W2990">
        <v>8.5076167999999994E-2</v>
      </c>
      <c r="X2990" t="s">
        <v>46</v>
      </c>
      <c r="Y2990" t="s">
        <v>60</v>
      </c>
      <c r="Z2990">
        <v>122.79059923343701</v>
      </c>
    </row>
    <row r="2991" spans="1:26" x14ac:dyDescent="0.3">
      <c r="A2991" t="s">
        <v>42</v>
      </c>
      <c r="B2991" t="s">
        <v>3047</v>
      </c>
      <c r="C2991">
        <v>55.118546654944801</v>
      </c>
      <c r="D2991">
        <v>6</v>
      </c>
      <c r="E2991">
        <v>881</v>
      </c>
      <c r="F2991">
        <v>8761.6391706377999</v>
      </c>
      <c r="G2991" t="s">
        <v>35</v>
      </c>
      <c r="H2991">
        <v>2</v>
      </c>
      <c r="I2991">
        <v>30</v>
      </c>
      <c r="J2991">
        <v>15</v>
      </c>
      <c r="K2991">
        <v>7</v>
      </c>
      <c r="L2991" t="s">
        <v>27</v>
      </c>
      <c r="M2991">
        <v>14.4743146384606</v>
      </c>
      <c r="N2991" t="s">
        <v>37</v>
      </c>
      <c r="O2991" t="s">
        <v>67</v>
      </c>
      <c r="P2991">
        <f>VLOOKUP(O2991, Coordinates!$A$2:$C$6, 2, FALSE)</f>
        <v>40.712800000000001</v>
      </c>
      <c r="Q2991">
        <f>VLOOKUP(O2991, Coordinates!$A$2:$C$6, 3, FALSE)</f>
        <v>-74.006</v>
      </c>
      <c r="R2991">
        <v>1</v>
      </c>
      <c r="S2991">
        <v>780</v>
      </c>
      <c r="T2991">
        <v>24</v>
      </c>
      <c r="U2991">
        <v>62.141851453581602</v>
      </c>
      <c r="V2991" t="s">
        <v>30</v>
      </c>
      <c r="W2991">
        <v>1.1865787947545501</v>
      </c>
      <c r="X2991" t="s">
        <v>52</v>
      </c>
      <c r="Y2991" t="s">
        <v>60</v>
      </c>
      <c r="Z2991">
        <v>795.51443204160296</v>
      </c>
    </row>
    <row r="2992" spans="1:26" x14ac:dyDescent="0.3">
      <c r="A2992" t="s">
        <v>61</v>
      </c>
      <c r="B2992" t="s">
        <v>3048</v>
      </c>
      <c r="C2992">
        <v>21.301654871193001</v>
      </c>
      <c r="D2992">
        <v>65</v>
      </c>
      <c r="E2992">
        <v>380</v>
      </c>
      <c r="F2992">
        <v>8688.4092339177696</v>
      </c>
      <c r="G2992" t="s">
        <v>48</v>
      </c>
      <c r="H2992">
        <v>64</v>
      </c>
      <c r="I2992">
        <v>27</v>
      </c>
      <c r="J2992">
        <v>62</v>
      </c>
      <c r="K2992">
        <v>2</v>
      </c>
      <c r="L2992" t="s">
        <v>27</v>
      </c>
      <c r="M2992">
        <v>1.11610633212999</v>
      </c>
      <c r="N2992" t="s">
        <v>37</v>
      </c>
      <c r="O2992" t="s">
        <v>65</v>
      </c>
      <c r="P2992">
        <f>VLOOKUP(O2992, Coordinates!$A$2:$C$6, 2, FALSE)</f>
        <v>41.878100000000003</v>
      </c>
      <c r="Q2992">
        <f>VLOOKUP(O2992, Coordinates!$A$2:$C$6, 3, FALSE)</f>
        <v>-87.629800000000003</v>
      </c>
      <c r="R2992">
        <v>22</v>
      </c>
      <c r="S2992">
        <v>612</v>
      </c>
      <c r="T2992">
        <v>9</v>
      </c>
      <c r="U2992">
        <v>19.257902452373902</v>
      </c>
      <c r="V2992" t="s">
        <v>55</v>
      </c>
      <c r="W2992">
        <v>2.8355779212113301</v>
      </c>
      <c r="X2992" t="s">
        <v>52</v>
      </c>
      <c r="Y2992" t="s">
        <v>32</v>
      </c>
      <c r="Z2992">
        <v>710.42488881069698</v>
      </c>
    </row>
    <row r="2993" spans="1:26" x14ac:dyDescent="0.3">
      <c r="A2993" t="s">
        <v>33</v>
      </c>
      <c r="B2993" t="s">
        <v>3049</v>
      </c>
      <c r="C2993">
        <v>20.908675729208898</v>
      </c>
      <c r="D2993">
        <v>6</v>
      </c>
      <c r="E2993">
        <v>695</v>
      </c>
      <c r="F2993">
        <v>1200.7153440877901</v>
      </c>
      <c r="G2993" t="s">
        <v>54</v>
      </c>
      <c r="H2993">
        <v>79</v>
      </c>
      <c r="I2993">
        <v>22</v>
      </c>
      <c r="J2993">
        <v>55</v>
      </c>
      <c r="K2993">
        <v>6</v>
      </c>
      <c r="L2993" t="s">
        <v>44</v>
      </c>
      <c r="M2993">
        <v>5.2755020010553704</v>
      </c>
      <c r="N2993" t="s">
        <v>57</v>
      </c>
      <c r="O2993" t="s">
        <v>65</v>
      </c>
      <c r="P2993">
        <f>VLOOKUP(O2993, Coordinates!$A$2:$C$6, 2, FALSE)</f>
        <v>41.878100000000003</v>
      </c>
      <c r="Q2993">
        <f>VLOOKUP(O2993, Coordinates!$A$2:$C$6, 3, FALSE)</f>
        <v>-87.629800000000003</v>
      </c>
      <c r="R2993">
        <v>15</v>
      </c>
      <c r="S2993">
        <v>429</v>
      </c>
      <c r="T2993">
        <v>27</v>
      </c>
      <c r="U2993">
        <v>37.977632715935897</v>
      </c>
      <c r="V2993" t="s">
        <v>39</v>
      </c>
      <c r="W2993">
        <v>0.39498736106297</v>
      </c>
      <c r="X2993" t="s">
        <v>31</v>
      </c>
      <c r="Y2993" t="s">
        <v>41</v>
      </c>
      <c r="Z2993">
        <v>573.64091643255097</v>
      </c>
    </row>
    <row r="2994" spans="1:26" x14ac:dyDescent="0.3">
      <c r="A2994" t="s">
        <v>82</v>
      </c>
      <c r="B2994" t="s">
        <v>3050</v>
      </c>
      <c r="C2994">
        <v>48.946386974989501</v>
      </c>
      <c r="D2994">
        <v>50</v>
      </c>
      <c r="E2994">
        <v>696</v>
      </c>
      <c r="F2994">
        <v>6485.5461020448702</v>
      </c>
      <c r="G2994" t="s">
        <v>48</v>
      </c>
      <c r="H2994">
        <v>59</v>
      </c>
      <c r="I2994">
        <v>26</v>
      </c>
      <c r="J2994">
        <v>75</v>
      </c>
      <c r="K2994">
        <v>5</v>
      </c>
      <c r="L2994" t="s">
        <v>44</v>
      </c>
      <c r="M2994">
        <v>9.5314980293161202</v>
      </c>
      <c r="N2994" t="s">
        <v>37</v>
      </c>
      <c r="O2994" t="s">
        <v>65</v>
      </c>
      <c r="P2994">
        <f>VLOOKUP(O2994, Coordinates!$A$2:$C$6, 2, FALSE)</f>
        <v>41.878100000000003</v>
      </c>
      <c r="Q2994">
        <f>VLOOKUP(O2994, Coordinates!$A$2:$C$6, 3, FALSE)</f>
        <v>-87.629800000000003</v>
      </c>
      <c r="R2994">
        <v>10</v>
      </c>
      <c r="S2994">
        <v>720</v>
      </c>
      <c r="T2994">
        <v>16</v>
      </c>
      <c r="U2994">
        <v>16.845253884947599</v>
      </c>
      <c r="V2994" t="s">
        <v>30</v>
      </c>
      <c r="W2994">
        <v>3.2913629985830699</v>
      </c>
      <c r="X2994" t="s">
        <v>40</v>
      </c>
      <c r="Y2994" t="s">
        <v>32</v>
      </c>
      <c r="Z2994">
        <v>919.38329529028204</v>
      </c>
    </row>
    <row r="2995" spans="1:26" x14ac:dyDescent="0.3">
      <c r="A2995" t="s">
        <v>24</v>
      </c>
      <c r="B2995" t="s">
        <v>3051</v>
      </c>
      <c r="C2995">
        <v>32.761865811842902</v>
      </c>
      <c r="D2995">
        <v>22</v>
      </c>
      <c r="E2995">
        <v>103</v>
      </c>
      <c r="F2995">
        <v>3037.0249607578398</v>
      </c>
      <c r="G2995" t="s">
        <v>35</v>
      </c>
      <c r="H2995">
        <v>67</v>
      </c>
      <c r="I2995">
        <v>26</v>
      </c>
      <c r="J2995">
        <v>47</v>
      </c>
      <c r="K2995">
        <v>6</v>
      </c>
      <c r="L2995" t="s">
        <v>27</v>
      </c>
      <c r="M2995">
        <v>11.9593293047392</v>
      </c>
      <c r="N2995" t="s">
        <v>45</v>
      </c>
      <c r="O2995" t="s">
        <v>38</v>
      </c>
      <c r="P2995">
        <f>VLOOKUP(O2995, Coordinates!$A$2:$C$6, 2, FALSE)</f>
        <v>25.761700000000001</v>
      </c>
      <c r="Q2995">
        <f>VLOOKUP(O2995, Coordinates!$A$2:$C$6, 3, FALSE)</f>
        <v>-80.191800000000001</v>
      </c>
      <c r="R2995">
        <v>29</v>
      </c>
      <c r="S2995">
        <v>999</v>
      </c>
      <c r="T2995">
        <v>11</v>
      </c>
      <c r="U2995">
        <v>87.012335655432196</v>
      </c>
      <c r="V2995" t="s">
        <v>55</v>
      </c>
      <c r="W2995">
        <v>3.65247226395699</v>
      </c>
      <c r="X2995" t="s">
        <v>46</v>
      </c>
      <c r="Y2995" t="s">
        <v>41</v>
      </c>
      <c r="Z2995">
        <v>947.810069775486</v>
      </c>
    </row>
    <row r="2996" spans="1:26" x14ac:dyDescent="0.3">
      <c r="A2996" t="s">
        <v>33</v>
      </c>
      <c r="B2996" t="s">
        <v>3052</v>
      </c>
      <c r="C2996">
        <v>16.579367840565599</v>
      </c>
      <c r="D2996">
        <v>88</v>
      </c>
      <c r="E2996">
        <v>846</v>
      </c>
      <c r="F2996">
        <v>4740.9490135040396</v>
      </c>
      <c r="G2996" t="s">
        <v>48</v>
      </c>
      <c r="H2996">
        <v>28</v>
      </c>
      <c r="I2996">
        <v>8</v>
      </c>
      <c r="J2996">
        <v>42</v>
      </c>
      <c r="K2996">
        <v>8</v>
      </c>
      <c r="L2996" t="s">
        <v>44</v>
      </c>
      <c r="M2996">
        <v>12.4297813666198</v>
      </c>
      <c r="N2996" t="s">
        <v>37</v>
      </c>
      <c r="O2996" t="s">
        <v>29</v>
      </c>
      <c r="P2996">
        <f>VLOOKUP(O2996, Coordinates!$A$2:$C$6, 2, FALSE)</f>
        <v>29.760400000000001</v>
      </c>
      <c r="Q2996">
        <f>VLOOKUP(O2996, Coordinates!$A$2:$C$6, 3, FALSE)</f>
        <v>-95.369799999999998</v>
      </c>
      <c r="R2996">
        <v>11</v>
      </c>
      <c r="S2996">
        <v>426</v>
      </c>
      <c r="T2996">
        <v>9</v>
      </c>
      <c r="U2996">
        <v>25.594137673839001</v>
      </c>
      <c r="V2996" t="s">
        <v>39</v>
      </c>
      <c r="W2996">
        <v>0.84696961179939501</v>
      </c>
      <c r="X2996" t="s">
        <v>46</v>
      </c>
      <c r="Y2996" t="s">
        <v>41</v>
      </c>
      <c r="Z2996">
        <v>898.01656392341397</v>
      </c>
    </row>
    <row r="2997" spans="1:26" x14ac:dyDescent="0.3">
      <c r="A2997" t="s">
        <v>42</v>
      </c>
      <c r="B2997" t="s">
        <v>3053</v>
      </c>
      <c r="C2997">
        <v>44.506827243754998</v>
      </c>
      <c r="D2997">
        <v>25</v>
      </c>
      <c r="E2997">
        <v>38</v>
      </c>
      <c r="F2997">
        <v>8488.3666529689799</v>
      </c>
      <c r="H2997">
        <v>37</v>
      </c>
      <c r="I2997">
        <v>29</v>
      </c>
      <c r="J2997">
        <v>76</v>
      </c>
      <c r="K2997">
        <v>8</v>
      </c>
      <c r="L2997" t="s">
        <v>36</v>
      </c>
      <c r="M2997">
        <v>1.64502384597241</v>
      </c>
      <c r="N2997" t="s">
        <v>51</v>
      </c>
      <c r="O2997" t="s">
        <v>58</v>
      </c>
      <c r="P2997">
        <f>VLOOKUP(O2997, Coordinates!$A$2:$C$6, 2, FALSE)</f>
        <v>34.052199999999999</v>
      </c>
      <c r="Q2997">
        <f>VLOOKUP(O2997, Coordinates!$A$2:$C$6, 3, FALSE)</f>
        <v>-118.2437</v>
      </c>
      <c r="R2997">
        <v>30</v>
      </c>
      <c r="S2997">
        <v>109</v>
      </c>
      <c r="T2997">
        <v>10</v>
      </c>
      <c r="U2997">
        <v>87.140363502259504</v>
      </c>
      <c r="V2997" t="s">
        <v>55</v>
      </c>
      <c r="W2997">
        <v>2.9815911704271501</v>
      </c>
      <c r="X2997" t="s">
        <v>40</v>
      </c>
      <c r="Y2997" t="s">
        <v>60</v>
      </c>
      <c r="Z2997">
        <v>638.02263669629303</v>
      </c>
    </row>
    <row r="2998" spans="1:26" x14ac:dyDescent="0.3">
      <c r="A2998" t="s">
        <v>33</v>
      </c>
      <c r="B2998" t="s">
        <v>3054</v>
      </c>
      <c r="C2998">
        <v>10.9973413747568</v>
      </c>
      <c r="D2998">
        <v>79</v>
      </c>
      <c r="E2998">
        <v>936</v>
      </c>
      <c r="F2998">
        <v>3788.5579437491001</v>
      </c>
      <c r="G2998" t="s">
        <v>26</v>
      </c>
      <c r="H2998">
        <v>91</v>
      </c>
      <c r="I2998">
        <v>21</v>
      </c>
      <c r="J2998">
        <v>86</v>
      </c>
      <c r="K2998">
        <v>3</v>
      </c>
      <c r="L2998" t="s">
        <v>44</v>
      </c>
      <c r="M2998">
        <v>10.927848777806201</v>
      </c>
      <c r="N2998" t="s">
        <v>37</v>
      </c>
      <c r="O2998" t="s">
        <v>65</v>
      </c>
      <c r="P2998">
        <f>VLOOKUP(O2998, Coordinates!$A$2:$C$6, 2, FALSE)</f>
        <v>41.878100000000003</v>
      </c>
      <c r="Q2998">
        <f>VLOOKUP(O2998, Coordinates!$A$2:$C$6, 3, FALSE)</f>
        <v>-87.629800000000003</v>
      </c>
      <c r="R2998">
        <v>18</v>
      </c>
      <c r="S2998">
        <v>226</v>
      </c>
      <c r="T2998">
        <v>11</v>
      </c>
      <c r="U2998">
        <v>61.9582623810849</v>
      </c>
      <c r="V2998" t="s">
        <v>55</v>
      </c>
      <c r="W2998">
        <v>3.0348571398061601</v>
      </c>
      <c r="X2998" t="s">
        <v>46</v>
      </c>
      <c r="Y2998" t="s">
        <v>32</v>
      </c>
      <c r="Z2998">
        <v>567.45680607477902</v>
      </c>
    </row>
    <row r="2999" spans="1:26" x14ac:dyDescent="0.3">
      <c r="A2999" t="s">
        <v>33</v>
      </c>
      <c r="B2999" t="s">
        <v>3055</v>
      </c>
      <c r="C2999">
        <v>42.691730363275198</v>
      </c>
      <c r="D2999">
        <v>90</v>
      </c>
      <c r="E2999">
        <v>897</v>
      </c>
      <c r="F2999">
        <v>9487.4392960000005</v>
      </c>
      <c r="G2999" t="s">
        <v>48</v>
      </c>
      <c r="H2999">
        <v>0</v>
      </c>
      <c r="I2999">
        <v>25</v>
      </c>
      <c r="J2999">
        <v>44</v>
      </c>
      <c r="K2999">
        <v>9</v>
      </c>
      <c r="L2999" t="s">
        <v>27</v>
      </c>
      <c r="M2999">
        <v>11.083551008605401</v>
      </c>
      <c r="N2999" t="s">
        <v>57</v>
      </c>
      <c r="O2999" t="s">
        <v>67</v>
      </c>
      <c r="P2999">
        <f>VLOOKUP(O2999, Coordinates!$A$2:$C$6, 2, FALSE)</f>
        <v>40.712800000000001</v>
      </c>
      <c r="Q2999">
        <f>VLOOKUP(O2999, Coordinates!$A$2:$C$6, 3, FALSE)</f>
        <v>-74.006</v>
      </c>
      <c r="R2999">
        <v>29</v>
      </c>
      <c r="S2999">
        <v>768</v>
      </c>
      <c r="T2999">
        <v>29</v>
      </c>
      <c r="U2999">
        <v>15.343807773798501</v>
      </c>
      <c r="V2999" t="s">
        <v>30</v>
      </c>
      <c r="W2999">
        <v>2.389890732</v>
      </c>
      <c r="X2999" t="s">
        <v>46</v>
      </c>
      <c r="Y2999" t="s">
        <v>32</v>
      </c>
      <c r="Z2999">
        <v>342.07483917285401</v>
      </c>
    </row>
    <row r="3000" spans="1:26" x14ac:dyDescent="0.3">
      <c r="A3000" t="s">
        <v>33</v>
      </c>
      <c r="B3000" t="s">
        <v>3056</v>
      </c>
      <c r="C3000">
        <v>50.0305952651022</v>
      </c>
      <c r="D3000">
        <v>72</v>
      </c>
      <c r="E3000">
        <v>814</v>
      </c>
      <c r="F3000">
        <v>2616.7044373492599</v>
      </c>
      <c r="G3000" t="s">
        <v>54</v>
      </c>
      <c r="H3000">
        <v>7</v>
      </c>
      <c r="I3000">
        <v>22</v>
      </c>
      <c r="J3000">
        <v>88</v>
      </c>
      <c r="K3000">
        <v>6</v>
      </c>
      <c r="L3000" t="s">
        <v>36</v>
      </c>
      <c r="M3000">
        <v>3.99711190038775</v>
      </c>
      <c r="N3000" t="s">
        <v>37</v>
      </c>
      <c r="O3000" t="s">
        <v>67</v>
      </c>
      <c r="P3000">
        <f>VLOOKUP(O3000, Coordinates!$A$2:$C$6, 2, FALSE)</f>
        <v>40.712800000000001</v>
      </c>
      <c r="Q3000">
        <f>VLOOKUP(O3000, Coordinates!$A$2:$C$6, 3, FALSE)</f>
        <v>-74.006</v>
      </c>
      <c r="R3000">
        <v>13</v>
      </c>
      <c r="S3000">
        <v>330</v>
      </c>
      <c r="T3000">
        <v>25</v>
      </c>
      <c r="U3000">
        <v>37.078809726188702</v>
      </c>
      <c r="V3000" t="s">
        <v>30</v>
      </c>
      <c r="W3000">
        <v>4.7662290379999996</v>
      </c>
      <c r="X3000" t="s">
        <v>52</v>
      </c>
      <c r="Y3000" t="s">
        <v>60</v>
      </c>
      <c r="Z3000">
        <v>245.86331743846</v>
      </c>
    </row>
    <row r="3001" spans="1:26" x14ac:dyDescent="0.3">
      <c r="A3001" t="s">
        <v>42</v>
      </c>
      <c r="B3001" t="s">
        <v>3057</v>
      </c>
      <c r="C3001">
        <v>47.870328336945803</v>
      </c>
      <c r="D3001">
        <v>51</v>
      </c>
      <c r="E3001">
        <v>925</v>
      </c>
      <c r="F3001">
        <v>6964.5018099999998</v>
      </c>
      <c r="G3001" t="s">
        <v>48</v>
      </c>
      <c r="H3001">
        <v>5</v>
      </c>
      <c r="I3001">
        <v>25</v>
      </c>
      <c r="J3001">
        <v>54</v>
      </c>
      <c r="K3001">
        <v>7</v>
      </c>
      <c r="L3001" t="s">
        <v>27</v>
      </c>
      <c r="M3001">
        <v>2.5788503985812801</v>
      </c>
      <c r="N3001" t="s">
        <v>57</v>
      </c>
      <c r="O3001" t="s">
        <v>67</v>
      </c>
      <c r="P3001">
        <f>VLOOKUP(O3001, Coordinates!$A$2:$C$6, 2, FALSE)</f>
        <v>40.712800000000001</v>
      </c>
      <c r="Q3001">
        <f>VLOOKUP(O3001, Coordinates!$A$2:$C$6, 3, FALSE)</f>
        <v>-74.006</v>
      </c>
      <c r="R3001">
        <v>20</v>
      </c>
      <c r="S3001">
        <v>114</v>
      </c>
      <c r="T3001">
        <v>21</v>
      </c>
      <c r="U3001">
        <v>65.4703900512514</v>
      </c>
      <c r="V3001" t="s">
        <v>55</v>
      </c>
      <c r="W3001">
        <v>0.54081590149249703</v>
      </c>
      <c r="X3001" t="s">
        <v>52</v>
      </c>
      <c r="Y3001" t="s">
        <v>41</v>
      </c>
      <c r="Z3001">
        <v>601.38505983303401</v>
      </c>
    </row>
    <row r="3002" spans="1:26" x14ac:dyDescent="0.3">
      <c r="A3002" t="s">
        <v>24</v>
      </c>
      <c r="B3002" t="s">
        <v>1859</v>
      </c>
      <c r="C3002">
        <v>36.687001461302202</v>
      </c>
      <c r="D3002">
        <v>76</v>
      </c>
      <c r="E3002">
        <v>330</v>
      </c>
      <c r="F3002">
        <v>10896.0394340067</v>
      </c>
      <c r="G3002" t="s">
        <v>54</v>
      </c>
      <c r="H3002">
        <v>41</v>
      </c>
      <c r="I3002">
        <v>22</v>
      </c>
      <c r="J3002">
        <v>48</v>
      </c>
      <c r="K3002">
        <v>7</v>
      </c>
      <c r="L3002" t="s">
        <v>36</v>
      </c>
      <c r="M3002">
        <v>14.552719541492101</v>
      </c>
      <c r="N3002" t="s">
        <v>37</v>
      </c>
      <c r="O3002" t="s">
        <v>67</v>
      </c>
      <c r="P3002">
        <f>VLOOKUP(O3002, Coordinates!$A$2:$C$6, 2, FALSE)</f>
        <v>40.712800000000001</v>
      </c>
      <c r="Q3002">
        <f>VLOOKUP(O3002, Coordinates!$A$2:$C$6, 3, FALSE)</f>
        <v>-74.006</v>
      </c>
      <c r="R3002">
        <v>14</v>
      </c>
      <c r="S3002">
        <v>483</v>
      </c>
      <c r="T3002">
        <v>5</v>
      </c>
      <c r="U3002">
        <v>86.078256033742903</v>
      </c>
      <c r="V3002" t="s">
        <v>55</v>
      </c>
      <c r="W3002">
        <v>2.6538380492046101</v>
      </c>
      <c r="X3002" t="s">
        <v>46</v>
      </c>
      <c r="Y3002" t="s">
        <v>32</v>
      </c>
      <c r="Z3002">
        <v>512.51418810229995</v>
      </c>
    </row>
    <row r="3003" spans="1:26" x14ac:dyDescent="0.3">
      <c r="A3003" t="s">
        <v>72</v>
      </c>
      <c r="B3003" t="s">
        <v>1248</v>
      </c>
      <c r="C3003">
        <v>37.265529675142403</v>
      </c>
      <c r="D3003">
        <v>7</v>
      </c>
      <c r="E3003">
        <v>559</v>
      </c>
      <c r="F3003">
        <v>18748.287979564098</v>
      </c>
      <c r="G3003" t="s">
        <v>48</v>
      </c>
      <c r="H3003">
        <v>1</v>
      </c>
      <c r="I3003">
        <v>17</v>
      </c>
      <c r="J3003">
        <v>88</v>
      </c>
      <c r="K3003">
        <v>6</v>
      </c>
      <c r="L3003" t="s">
        <v>27</v>
      </c>
      <c r="M3003">
        <v>7.7397009859521599</v>
      </c>
      <c r="N3003" t="s">
        <v>45</v>
      </c>
      <c r="O3003" t="s">
        <v>38</v>
      </c>
      <c r="P3003">
        <f>VLOOKUP(O3003, Coordinates!$A$2:$C$6, 2, FALSE)</f>
        <v>25.761700000000001</v>
      </c>
      <c r="Q3003">
        <f>VLOOKUP(O3003, Coordinates!$A$2:$C$6, 3, FALSE)</f>
        <v>-80.191800000000001</v>
      </c>
      <c r="R3003">
        <v>30</v>
      </c>
      <c r="S3003">
        <v>835</v>
      </c>
      <c r="T3003">
        <v>6</v>
      </c>
      <c r="U3003">
        <v>87.516121817362801</v>
      </c>
      <c r="V3003" t="s">
        <v>55</v>
      </c>
      <c r="W3003">
        <v>4.7156846484785504</v>
      </c>
      <c r="X3003" t="s">
        <v>52</v>
      </c>
      <c r="Y3003" t="s">
        <v>41</v>
      </c>
      <c r="Z3003">
        <v>953.036030648375</v>
      </c>
    </row>
    <row r="3004" spans="1:26" x14ac:dyDescent="0.3">
      <c r="A3004" t="s">
        <v>61</v>
      </c>
      <c r="B3004" t="s">
        <v>1875</v>
      </c>
      <c r="C3004">
        <v>20.971222197933098</v>
      </c>
      <c r="D3004">
        <v>30</v>
      </c>
      <c r="E3004">
        <v>268</v>
      </c>
      <c r="F3004">
        <v>5368.1040742097603</v>
      </c>
      <c r="G3004" t="s">
        <v>35</v>
      </c>
      <c r="H3004">
        <v>46</v>
      </c>
      <c r="I3004">
        <v>23</v>
      </c>
      <c r="J3004">
        <v>55</v>
      </c>
      <c r="K3004">
        <v>4</v>
      </c>
      <c r="L3004" t="s">
        <v>44</v>
      </c>
      <c r="M3004">
        <v>13.4524457906435</v>
      </c>
      <c r="N3004" t="s">
        <v>51</v>
      </c>
      <c r="O3004" t="s">
        <v>38</v>
      </c>
      <c r="P3004">
        <f>VLOOKUP(O3004, Coordinates!$A$2:$C$6, 2, FALSE)</f>
        <v>25.761700000000001</v>
      </c>
      <c r="Q3004">
        <f>VLOOKUP(O3004, Coordinates!$A$2:$C$6, 3, FALSE)</f>
        <v>-80.191800000000001</v>
      </c>
      <c r="R3004">
        <v>10</v>
      </c>
      <c r="S3004">
        <v>971</v>
      </c>
      <c r="T3004">
        <v>21</v>
      </c>
      <c r="U3004">
        <v>28.9614010465333</v>
      </c>
      <c r="V3004" t="s">
        <v>55</v>
      </c>
      <c r="W3004">
        <v>2.5945277098073101</v>
      </c>
      <c r="X3004" t="s">
        <v>46</v>
      </c>
      <c r="Y3004" t="s">
        <v>60</v>
      </c>
      <c r="Z3004">
        <v>932.50869918244598</v>
      </c>
    </row>
    <row r="3005" spans="1:26" x14ac:dyDescent="0.3">
      <c r="A3005" t="s">
        <v>61</v>
      </c>
      <c r="B3005" t="s">
        <v>309</v>
      </c>
      <c r="C3005">
        <v>77.825909777306094</v>
      </c>
      <c r="D3005">
        <v>34</v>
      </c>
      <c r="E3005">
        <v>621</v>
      </c>
      <c r="F3005">
        <v>5036.3670520237001</v>
      </c>
      <c r="G3005" t="s">
        <v>35</v>
      </c>
      <c r="H3005">
        <v>40</v>
      </c>
      <c r="I3005">
        <v>13</v>
      </c>
      <c r="J3005">
        <v>51</v>
      </c>
      <c r="K3005">
        <v>4</v>
      </c>
      <c r="L3005" t="s">
        <v>44</v>
      </c>
      <c r="M3005">
        <v>11.696023736730099</v>
      </c>
      <c r="N3005" t="s">
        <v>51</v>
      </c>
      <c r="O3005" t="s">
        <v>38</v>
      </c>
      <c r="P3005">
        <f>VLOOKUP(O3005, Coordinates!$A$2:$C$6, 2, FALSE)</f>
        <v>25.761700000000001</v>
      </c>
      <c r="Q3005">
        <f>VLOOKUP(O3005, Coordinates!$A$2:$C$6, 3, FALSE)</f>
        <v>-80.191800000000001</v>
      </c>
      <c r="R3005">
        <v>8</v>
      </c>
      <c r="S3005">
        <v>803</v>
      </c>
      <c r="T3005">
        <v>16</v>
      </c>
      <c r="U3005">
        <v>74.937830259149294</v>
      </c>
      <c r="V3005" t="s">
        <v>55</v>
      </c>
      <c r="W3005">
        <v>4.6535320479999998</v>
      </c>
      <c r="X3005" t="s">
        <v>40</v>
      </c>
      <c r="Y3005" t="s">
        <v>41</v>
      </c>
      <c r="Z3005">
        <v>485.06076793814901</v>
      </c>
    </row>
    <row r="3006" spans="1:26" x14ac:dyDescent="0.3">
      <c r="A3006" t="s">
        <v>33</v>
      </c>
      <c r="B3006" t="s">
        <v>2563</v>
      </c>
      <c r="C3006">
        <v>78.293645889856293</v>
      </c>
      <c r="D3006">
        <v>67</v>
      </c>
      <c r="E3006">
        <v>935</v>
      </c>
      <c r="F3006">
        <v>6300.4928365661299</v>
      </c>
      <c r="G3006" t="s">
        <v>35</v>
      </c>
      <c r="H3006">
        <v>0</v>
      </c>
      <c r="I3006">
        <v>27</v>
      </c>
      <c r="J3006">
        <v>87</v>
      </c>
      <c r="K3006">
        <v>10</v>
      </c>
      <c r="L3006" t="s">
        <v>36</v>
      </c>
      <c r="M3006">
        <v>13.3042106369926</v>
      </c>
      <c r="N3006" t="s">
        <v>37</v>
      </c>
      <c r="O3006" t="s">
        <v>67</v>
      </c>
      <c r="P3006">
        <f>VLOOKUP(O3006, Coordinates!$A$2:$C$6, 2, FALSE)</f>
        <v>40.712800000000001</v>
      </c>
      <c r="Q3006">
        <f>VLOOKUP(O3006, Coordinates!$A$2:$C$6, 3, FALSE)</f>
        <v>-74.006</v>
      </c>
      <c r="R3006">
        <v>27</v>
      </c>
      <c r="S3006">
        <v>109</v>
      </c>
      <c r="T3006">
        <v>13</v>
      </c>
      <c r="U3006">
        <v>73.197302046763696</v>
      </c>
      <c r="V3006" t="s">
        <v>39</v>
      </c>
      <c r="W3006">
        <v>4.1264870550000001</v>
      </c>
      <c r="X3006" t="s">
        <v>40</v>
      </c>
      <c r="Y3006" t="s">
        <v>41</v>
      </c>
      <c r="Z3006">
        <v>453.02118992332299</v>
      </c>
    </row>
    <row r="3007" spans="1:26" x14ac:dyDescent="0.3">
      <c r="A3007" t="s">
        <v>61</v>
      </c>
      <c r="B3007" t="s">
        <v>1175</v>
      </c>
      <c r="C3007">
        <v>40.813626482996597</v>
      </c>
      <c r="D3007">
        <v>9</v>
      </c>
      <c r="E3007">
        <v>261</v>
      </c>
      <c r="F3007">
        <v>3612.55309583284</v>
      </c>
      <c r="G3007" t="s">
        <v>26</v>
      </c>
      <c r="H3007">
        <v>48</v>
      </c>
      <c r="I3007">
        <v>4</v>
      </c>
      <c r="J3007">
        <v>53</v>
      </c>
      <c r="K3007">
        <v>5</v>
      </c>
      <c r="L3007" t="s">
        <v>27</v>
      </c>
      <c r="M3007">
        <v>8.9417754340000002</v>
      </c>
      <c r="N3007" t="s">
        <v>28</v>
      </c>
      <c r="O3007" t="s">
        <v>29</v>
      </c>
      <c r="P3007">
        <f>VLOOKUP(O3007, Coordinates!$A$2:$C$6, 2, FALSE)</f>
        <v>29.760400000000001</v>
      </c>
      <c r="Q3007">
        <f>VLOOKUP(O3007, Coordinates!$A$2:$C$6, 3, FALSE)</f>
        <v>-95.369799999999998</v>
      </c>
      <c r="R3007">
        <v>30</v>
      </c>
      <c r="S3007">
        <v>108</v>
      </c>
      <c r="T3007">
        <v>8</v>
      </c>
      <c r="U3007">
        <v>77.388266428566794</v>
      </c>
      <c r="V3007" t="s">
        <v>30</v>
      </c>
      <c r="W3007">
        <v>4.1761171405228703</v>
      </c>
      <c r="X3007" t="s">
        <v>52</v>
      </c>
      <c r="Y3007" t="s">
        <v>32</v>
      </c>
      <c r="Z3007">
        <v>482.293225932067</v>
      </c>
    </row>
    <row r="3008" spans="1:26" x14ac:dyDescent="0.3">
      <c r="A3008" t="s">
        <v>72</v>
      </c>
      <c r="B3008" t="s">
        <v>1469</v>
      </c>
      <c r="C3008">
        <v>33.5009045801567</v>
      </c>
      <c r="D3008">
        <v>9</v>
      </c>
      <c r="E3008">
        <v>21</v>
      </c>
      <c r="F3008">
        <v>633.16709656496198</v>
      </c>
      <c r="G3008" t="s">
        <v>35</v>
      </c>
      <c r="H3008">
        <v>6</v>
      </c>
      <c r="I3008">
        <v>2</v>
      </c>
      <c r="J3008">
        <v>92</v>
      </c>
      <c r="K3008">
        <v>5</v>
      </c>
      <c r="L3008" t="s">
        <v>44</v>
      </c>
      <c r="M3008">
        <v>12.213506706749399</v>
      </c>
      <c r="N3008" t="s">
        <v>45</v>
      </c>
      <c r="O3008" t="s">
        <v>38</v>
      </c>
      <c r="P3008">
        <f>VLOOKUP(O3008, Coordinates!$A$2:$C$6, 2, FALSE)</f>
        <v>25.761700000000001</v>
      </c>
      <c r="Q3008">
        <f>VLOOKUP(O3008, Coordinates!$A$2:$C$6, 3, FALSE)</f>
        <v>-80.191800000000001</v>
      </c>
      <c r="R3008">
        <v>28</v>
      </c>
      <c r="S3008">
        <v>351</v>
      </c>
      <c r="T3008">
        <v>13</v>
      </c>
      <c r="U3008">
        <v>86.442153159158593</v>
      </c>
      <c r="V3008" t="s">
        <v>39</v>
      </c>
      <c r="W3008">
        <v>4.1431089891144701</v>
      </c>
      <c r="X3008" t="s">
        <v>52</v>
      </c>
      <c r="Y3008" t="s">
        <v>41</v>
      </c>
      <c r="Z3008">
        <v>234.88157938354999</v>
      </c>
    </row>
    <row r="3009" spans="1:26" x14ac:dyDescent="0.3">
      <c r="A3009" t="s">
        <v>24</v>
      </c>
      <c r="B3009" t="s">
        <v>2171</v>
      </c>
      <c r="C3009">
        <v>22.765832367974198</v>
      </c>
      <c r="D3009">
        <v>82</v>
      </c>
      <c r="E3009">
        <v>456</v>
      </c>
      <c r="F3009">
        <v>9343.0976038166391</v>
      </c>
      <c r="G3009" t="s">
        <v>54</v>
      </c>
      <c r="H3009">
        <v>94</v>
      </c>
      <c r="I3009">
        <v>27</v>
      </c>
      <c r="J3009">
        <v>47</v>
      </c>
      <c r="K3009">
        <v>6</v>
      </c>
      <c r="L3009" t="s">
        <v>27</v>
      </c>
      <c r="M3009">
        <v>12.467751424398401</v>
      </c>
      <c r="N3009" t="s">
        <v>57</v>
      </c>
      <c r="O3009" t="s">
        <v>29</v>
      </c>
      <c r="P3009">
        <f>VLOOKUP(O3009, Coordinates!$A$2:$C$6, 2, FALSE)</f>
        <v>29.760400000000001</v>
      </c>
      <c r="Q3009">
        <f>VLOOKUP(O3009, Coordinates!$A$2:$C$6, 3, FALSE)</f>
        <v>-95.369799999999998</v>
      </c>
      <c r="R3009">
        <v>23</v>
      </c>
      <c r="S3009">
        <v>103</v>
      </c>
      <c r="T3009">
        <v>11</v>
      </c>
      <c r="U3009">
        <v>78.1748611829385</v>
      </c>
      <c r="V3009" t="s">
        <v>30</v>
      </c>
      <c r="W3009">
        <v>3.4286931747321399</v>
      </c>
      <c r="X3009" t="s">
        <v>46</v>
      </c>
      <c r="Y3009" t="s">
        <v>32</v>
      </c>
      <c r="Z3009">
        <v>684.15640476965802</v>
      </c>
    </row>
    <row r="3010" spans="1:26" x14ac:dyDescent="0.3">
      <c r="A3010" t="s">
        <v>33</v>
      </c>
      <c r="B3010" t="s">
        <v>466</v>
      </c>
      <c r="C3010">
        <v>61.8206997900567</v>
      </c>
      <c r="D3010">
        <v>49</v>
      </c>
      <c r="E3010">
        <v>5</v>
      </c>
      <c r="F3010">
        <v>9099.1858901920405</v>
      </c>
      <c r="G3010" t="s">
        <v>54</v>
      </c>
      <c r="H3010">
        <v>52</v>
      </c>
      <c r="I3010">
        <v>4</v>
      </c>
      <c r="J3010">
        <v>39</v>
      </c>
      <c r="K3010">
        <v>9</v>
      </c>
      <c r="L3010" t="s">
        <v>27</v>
      </c>
      <c r="M3010">
        <v>5.5271765732809399</v>
      </c>
      <c r="N3010" t="s">
        <v>51</v>
      </c>
      <c r="O3010" t="s">
        <v>38</v>
      </c>
      <c r="P3010">
        <f>VLOOKUP(O3010, Coordinates!$A$2:$C$6, 2, FALSE)</f>
        <v>25.761700000000001</v>
      </c>
      <c r="Q3010">
        <f>VLOOKUP(O3010, Coordinates!$A$2:$C$6, 3, FALSE)</f>
        <v>-80.191800000000001</v>
      </c>
      <c r="R3010">
        <v>7</v>
      </c>
      <c r="S3010">
        <v>236</v>
      </c>
      <c r="T3010">
        <v>18</v>
      </c>
      <c r="U3010">
        <v>59.701094220616099</v>
      </c>
      <c r="V3010" t="s">
        <v>39</v>
      </c>
      <c r="W3010">
        <v>2.1267650939872902</v>
      </c>
      <c r="X3010" t="s">
        <v>31</v>
      </c>
      <c r="Y3010" t="s">
        <v>60</v>
      </c>
      <c r="Z3010">
        <v>620.81731362923495</v>
      </c>
    </row>
    <row r="3011" spans="1:26" x14ac:dyDescent="0.3">
      <c r="A3011" t="s">
        <v>82</v>
      </c>
      <c r="B3011" t="s">
        <v>2637</v>
      </c>
      <c r="C3011">
        <v>63.897013659999999</v>
      </c>
      <c r="D3011">
        <v>31</v>
      </c>
      <c r="E3011">
        <v>109</v>
      </c>
      <c r="F3011">
        <v>3022.7503435962099</v>
      </c>
      <c r="G3011" t="s">
        <v>35</v>
      </c>
      <c r="H3011">
        <v>79</v>
      </c>
      <c r="I3011">
        <v>18</v>
      </c>
      <c r="J3011">
        <v>20</v>
      </c>
      <c r="K3011">
        <v>4</v>
      </c>
      <c r="L3011" t="s">
        <v>36</v>
      </c>
      <c r="M3011">
        <v>3.00490017727912</v>
      </c>
      <c r="N3011" t="s">
        <v>28</v>
      </c>
      <c r="O3011" t="s">
        <v>67</v>
      </c>
      <c r="P3011">
        <f>VLOOKUP(O3011, Coordinates!$A$2:$C$6, 2, FALSE)</f>
        <v>40.712800000000001</v>
      </c>
      <c r="Q3011">
        <f>VLOOKUP(O3011, Coordinates!$A$2:$C$6, 3, FALSE)</f>
        <v>-74.006</v>
      </c>
      <c r="R3011">
        <v>25</v>
      </c>
      <c r="S3011">
        <v>335</v>
      </c>
      <c r="T3011">
        <v>22</v>
      </c>
      <c r="U3011">
        <v>10.568988058838499</v>
      </c>
      <c r="V3011" t="s">
        <v>30</v>
      </c>
      <c r="W3011">
        <v>2.16694427912473</v>
      </c>
      <c r="X3011" t="s">
        <v>46</v>
      </c>
      <c r="Y3011" t="s">
        <v>41</v>
      </c>
      <c r="Z3011">
        <v>396.70656592095099</v>
      </c>
    </row>
    <row r="3012" spans="1:26" x14ac:dyDescent="0.3">
      <c r="A3012" t="s">
        <v>82</v>
      </c>
      <c r="B3012" t="s">
        <v>2312</v>
      </c>
      <c r="C3012">
        <v>8.4133673076674302</v>
      </c>
      <c r="D3012">
        <v>100</v>
      </c>
      <c r="E3012">
        <v>718</v>
      </c>
      <c r="F3012">
        <v>3597.9967240791402</v>
      </c>
      <c r="G3012" t="s">
        <v>54</v>
      </c>
      <c r="H3012">
        <v>1</v>
      </c>
      <c r="I3012">
        <v>26</v>
      </c>
      <c r="J3012">
        <v>16</v>
      </c>
      <c r="K3012">
        <v>9</v>
      </c>
      <c r="L3012" t="s">
        <v>27</v>
      </c>
      <c r="M3012">
        <v>3.5348961416672999</v>
      </c>
      <c r="N3012" t="s">
        <v>45</v>
      </c>
      <c r="O3012" t="s">
        <v>38</v>
      </c>
      <c r="P3012">
        <f>VLOOKUP(O3012, Coordinates!$A$2:$C$6, 2, FALSE)</f>
        <v>25.761700000000001</v>
      </c>
      <c r="Q3012">
        <f>VLOOKUP(O3012, Coordinates!$A$2:$C$6, 3, FALSE)</f>
        <v>-80.191800000000001</v>
      </c>
      <c r="R3012">
        <v>29</v>
      </c>
      <c r="S3012">
        <v>550</v>
      </c>
      <c r="T3012">
        <v>20</v>
      </c>
      <c r="U3012">
        <v>81.445020917353702</v>
      </c>
      <c r="V3012" t="s">
        <v>55</v>
      </c>
      <c r="W3012">
        <v>3.6579978459039499</v>
      </c>
      <c r="X3012" t="s">
        <v>31</v>
      </c>
      <c r="Y3012" t="s">
        <v>32</v>
      </c>
      <c r="Z3012">
        <v>598.39502398037996</v>
      </c>
    </row>
    <row r="3013" spans="1:26" x14ac:dyDescent="0.3">
      <c r="A3013" t="s">
        <v>24</v>
      </c>
      <c r="B3013" t="s">
        <v>110</v>
      </c>
      <c r="C3013">
        <v>34.655845567623601</v>
      </c>
      <c r="D3013">
        <v>88</v>
      </c>
      <c r="E3013">
        <v>608</v>
      </c>
      <c r="F3013">
        <v>18963.678694603601</v>
      </c>
      <c r="G3013" t="s">
        <v>35</v>
      </c>
      <c r="H3013">
        <v>83</v>
      </c>
      <c r="I3013">
        <v>16</v>
      </c>
      <c r="J3013">
        <v>83</v>
      </c>
      <c r="K3013">
        <v>2</v>
      </c>
      <c r="L3013" t="s">
        <v>44</v>
      </c>
      <c r="M3013">
        <v>2.3420489578765902</v>
      </c>
      <c r="N3013" t="s">
        <v>51</v>
      </c>
      <c r="O3013" t="s">
        <v>65</v>
      </c>
      <c r="P3013">
        <f>VLOOKUP(O3013, Coordinates!$A$2:$C$6, 2, FALSE)</f>
        <v>41.878100000000003</v>
      </c>
      <c r="Q3013">
        <f>VLOOKUP(O3013, Coordinates!$A$2:$C$6, 3, FALSE)</f>
        <v>-87.629800000000003</v>
      </c>
      <c r="R3013">
        <v>10</v>
      </c>
      <c r="S3013">
        <v>891</v>
      </c>
      <c r="T3013">
        <v>5</v>
      </c>
      <c r="U3013">
        <v>75.261895891257396</v>
      </c>
      <c r="V3013" t="s">
        <v>39</v>
      </c>
      <c r="W3013">
        <v>0.74575546800000003</v>
      </c>
      <c r="X3013" t="s">
        <v>40</v>
      </c>
      <c r="Y3013" t="s">
        <v>60</v>
      </c>
      <c r="Z3013">
        <v>128.63686402805899</v>
      </c>
    </row>
    <row r="3014" spans="1:26" x14ac:dyDescent="0.3">
      <c r="A3014" t="s">
        <v>61</v>
      </c>
      <c r="B3014" t="s">
        <v>702</v>
      </c>
      <c r="C3014">
        <v>66.412758561837606</v>
      </c>
      <c r="D3014">
        <v>33</v>
      </c>
      <c r="E3014">
        <v>307</v>
      </c>
      <c r="F3014">
        <v>9928.1437249999999</v>
      </c>
      <c r="G3014" t="s">
        <v>35</v>
      </c>
      <c r="H3014">
        <v>71</v>
      </c>
      <c r="I3014">
        <v>24</v>
      </c>
      <c r="J3014">
        <v>90</v>
      </c>
      <c r="K3014">
        <v>4</v>
      </c>
      <c r="L3014" t="s">
        <v>36</v>
      </c>
      <c r="M3014">
        <v>14.5600082106887</v>
      </c>
      <c r="N3014" t="s">
        <v>45</v>
      </c>
      <c r="O3014" t="s">
        <v>38</v>
      </c>
      <c r="P3014">
        <f>VLOOKUP(O3014, Coordinates!$A$2:$C$6, 2, FALSE)</f>
        <v>25.761700000000001</v>
      </c>
      <c r="Q3014">
        <f>VLOOKUP(O3014, Coordinates!$A$2:$C$6, 3, FALSE)</f>
        <v>-80.191800000000001</v>
      </c>
      <c r="R3014">
        <v>28</v>
      </c>
      <c r="S3014">
        <v>353</v>
      </c>
      <c r="T3014">
        <v>1</v>
      </c>
      <c r="U3014">
        <v>45.651059199542601</v>
      </c>
      <c r="V3014" t="s">
        <v>39</v>
      </c>
      <c r="W3014">
        <v>4.0770633095173601</v>
      </c>
      <c r="X3014" t="s">
        <v>40</v>
      </c>
      <c r="Y3014" t="s">
        <v>41</v>
      </c>
      <c r="Z3014">
        <v>771.36883887167903</v>
      </c>
    </row>
    <row r="3015" spans="1:26" x14ac:dyDescent="0.3">
      <c r="A3015" t="s">
        <v>24</v>
      </c>
      <c r="B3015" t="s">
        <v>1821</v>
      </c>
      <c r="C3015">
        <v>39.436486636541296</v>
      </c>
      <c r="D3015">
        <v>87</v>
      </c>
      <c r="E3015">
        <v>230</v>
      </c>
      <c r="F3015">
        <v>8163.3527337640498</v>
      </c>
      <c r="G3015" t="s">
        <v>35</v>
      </c>
      <c r="H3015">
        <v>53</v>
      </c>
      <c r="I3015">
        <v>6</v>
      </c>
      <c r="J3015">
        <v>81</v>
      </c>
      <c r="K3015">
        <v>8</v>
      </c>
      <c r="L3015" t="s">
        <v>36</v>
      </c>
      <c r="M3015">
        <v>9.4601301485598608</v>
      </c>
      <c r="N3015" t="s">
        <v>28</v>
      </c>
      <c r="O3015" t="s">
        <v>65</v>
      </c>
      <c r="P3015">
        <f>VLOOKUP(O3015, Coordinates!$A$2:$C$6, 2, FALSE)</f>
        <v>41.878100000000003</v>
      </c>
      <c r="Q3015">
        <f>VLOOKUP(O3015, Coordinates!$A$2:$C$6, 3, FALSE)</f>
        <v>-87.629800000000003</v>
      </c>
      <c r="R3015">
        <v>25</v>
      </c>
      <c r="S3015">
        <v>796</v>
      </c>
      <c r="T3015">
        <v>30</v>
      </c>
      <c r="U3015">
        <v>89.025602189155293</v>
      </c>
      <c r="V3015" t="s">
        <v>39</v>
      </c>
      <c r="W3015">
        <v>3.6892352895449001</v>
      </c>
      <c r="X3015" t="s">
        <v>31</v>
      </c>
      <c r="Y3015" t="s">
        <v>60</v>
      </c>
      <c r="Z3015">
        <v>171.928544580139</v>
      </c>
    </row>
    <row r="3016" spans="1:26" x14ac:dyDescent="0.3">
      <c r="A3016" t="s">
        <v>72</v>
      </c>
      <c r="B3016" t="s">
        <v>2834</v>
      </c>
      <c r="C3016">
        <v>22.348035101966701</v>
      </c>
      <c r="D3016">
        <v>19</v>
      </c>
      <c r="E3016">
        <v>503</v>
      </c>
      <c r="F3016">
        <v>10116.955490660301</v>
      </c>
      <c r="G3016" t="s">
        <v>26</v>
      </c>
      <c r="H3016">
        <v>38</v>
      </c>
      <c r="I3016">
        <v>26</v>
      </c>
      <c r="J3016">
        <v>74</v>
      </c>
      <c r="K3016">
        <v>7</v>
      </c>
      <c r="L3016" t="s">
        <v>36</v>
      </c>
      <c r="M3016">
        <v>1.2883667465748601</v>
      </c>
      <c r="N3016" t="s">
        <v>51</v>
      </c>
      <c r="O3016" t="s">
        <v>58</v>
      </c>
      <c r="P3016">
        <f>VLOOKUP(O3016, Coordinates!$A$2:$C$6, 2, FALSE)</f>
        <v>34.052199999999999</v>
      </c>
      <c r="Q3016">
        <f>VLOOKUP(O3016, Coordinates!$A$2:$C$6, 3, FALSE)</f>
        <v>-118.2437</v>
      </c>
      <c r="R3016">
        <v>14</v>
      </c>
      <c r="S3016">
        <v>318</v>
      </c>
      <c r="T3016">
        <v>8</v>
      </c>
      <c r="U3016">
        <v>94.140349678534605</v>
      </c>
      <c r="V3016" t="s">
        <v>39</v>
      </c>
      <c r="W3016">
        <v>0.44859841234410402</v>
      </c>
      <c r="X3016" t="s">
        <v>31</v>
      </c>
      <c r="Y3016" t="s">
        <v>32</v>
      </c>
      <c r="Z3016">
        <v>533.44870670747798</v>
      </c>
    </row>
    <row r="3017" spans="1:26" x14ac:dyDescent="0.3">
      <c r="A3017" t="s">
        <v>49</v>
      </c>
      <c r="B3017" t="s">
        <v>958</v>
      </c>
      <c r="C3017">
        <v>43.232430556198501</v>
      </c>
      <c r="D3017">
        <v>37</v>
      </c>
      <c r="E3017">
        <v>196</v>
      </c>
      <c r="F3017">
        <v>2810.5567040250999</v>
      </c>
      <c r="G3017" t="s">
        <v>26</v>
      </c>
      <c r="H3017">
        <v>49</v>
      </c>
      <c r="I3017">
        <v>4</v>
      </c>
      <c r="J3017">
        <v>67</v>
      </c>
      <c r="K3017">
        <v>3</v>
      </c>
      <c r="L3017" t="s">
        <v>27</v>
      </c>
      <c r="M3017">
        <v>14.348313388720699</v>
      </c>
      <c r="N3017" t="s">
        <v>37</v>
      </c>
      <c r="O3017" t="s">
        <v>67</v>
      </c>
      <c r="P3017">
        <f>VLOOKUP(O3017, Coordinates!$A$2:$C$6, 2, FALSE)</f>
        <v>40.712800000000001</v>
      </c>
      <c r="Q3017">
        <f>VLOOKUP(O3017, Coordinates!$A$2:$C$6, 3, FALSE)</f>
        <v>-74.006</v>
      </c>
      <c r="R3017">
        <v>18</v>
      </c>
      <c r="S3017">
        <v>322</v>
      </c>
      <c r="T3017">
        <v>27</v>
      </c>
      <c r="U3017">
        <v>11.258772568583399</v>
      </c>
      <c r="V3017" t="s">
        <v>30</v>
      </c>
      <c r="W3017">
        <v>2.4074881857733801</v>
      </c>
      <c r="X3017" t="s">
        <v>52</v>
      </c>
      <c r="Y3017" t="s">
        <v>60</v>
      </c>
      <c r="Z3017">
        <v>886.53598725865902</v>
      </c>
    </row>
    <row r="3018" spans="1:26" x14ac:dyDescent="0.3">
      <c r="A3018" t="s">
        <v>24</v>
      </c>
      <c r="B3018" t="s">
        <v>1131</v>
      </c>
      <c r="C3018">
        <v>25.588265656711801</v>
      </c>
      <c r="D3018">
        <v>1</v>
      </c>
      <c r="E3018">
        <v>860</v>
      </c>
      <c r="F3018">
        <v>19805.317618294899</v>
      </c>
      <c r="G3018" t="s">
        <v>26</v>
      </c>
      <c r="H3018">
        <v>76</v>
      </c>
      <c r="I3018">
        <v>6</v>
      </c>
      <c r="J3018">
        <v>97</v>
      </c>
      <c r="K3018">
        <v>7</v>
      </c>
      <c r="L3018" t="s">
        <v>27</v>
      </c>
      <c r="M3018">
        <v>11.752843985696099</v>
      </c>
      <c r="N3018" t="s">
        <v>45</v>
      </c>
      <c r="O3018" t="s">
        <v>38</v>
      </c>
      <c r="P3018">
        <f>VLOOKUP(O3018, Coordinates!$A$2:$C$6, 2, FALSE)</f>
        <v>25.761700000000001</v>
      </c>
      <c r="Q3018">
        <f>VLOOKUP(O3018, Coordinates!$A$2:$C$6, 3, FALSE)</f>
        <v>-80.191800000000001</v>
      </c>
      <c r="R3018">
        <v>26</v>
      </c>
      <c r="S3018">
        <v>423</v>
      </c>
      <c r="T3018">
        <v>25</v>
      </c>
      <c r="U3018">
        <v>89.912968931136803</v>
      </c>
      <c r="V3018" t="s">
        <v>39</v>
      </c>
      <c r="W3018">
        <v>4.0455954266893404</v>
      </c>
      <c r="X3018" t="s">
        <v>52</v>
      </c>
      <c r="Y3018" t="s">
        <v>41</v>
      </c>
      <c r="Z3018">
        <v>963.29649596940101</v>
      </c>
    </row>
    <row r="3019" spans="1:26" x14ac:dyDescent="0.3">
      <c r="A3019" t="s">
        <v>33</v>
      </c>
      <c r="B3019" t="s">
        <v>530</v>
      </c>
      <c r="C3019">
        <v>99.215548630000001</v>
      </c>
      <c r="D3019">
        <v>40</v>
      </c>
      <c r="E3019">
        <v>794</v>
      </c>
      <c r="F3019">
        <v>2993.4419400000002</v>
      </c>
      <c r="G3019" t="s">
        <v>35</v>
      </c>
      <c r="H3019">
        <v>1</v>
      </c>
      <c r="I3019">
        <v>9</v>
      </c>
      <c r="J3019">
        <v>55</v>
      </c>
      <c r="K3019">
        <v>3</v>
      </c>
      <c r="L3019" t="s">
        <v>27</v>
      </c>
      <c r="M3019">
        <v>2.8556174717510601</v>
      </c>
      <c r="N3019" t="s">
        <v>45</v>
      </c>
      <c r="O3019" t="s">
        <v>38</v>
      </c>
      <c r="P3019">
        <f>VLOOKUP(O3019, Coordinates!$A$2:$C$6, 2, FALSE)</f>
        <v>25.761700000000001</v>
      </c>
      <c r="Q3019">
        <f>VLOOKUP(O3019, Coordinates!$A$2:$C$6, 3, FALSE)</f>
        <v>-80.191800000000001</v>
      </c>
      <c r="R3019">
        <v>26</v>
      </c>
      <c r="S3019">
        <v>281</v>
      </c>
      <c r="T3019">
        <v>20</v>
      </c>
      <c r="U3019">
        <v>75.405576178979601</v>
      </c>
      <c r="V3019" t="s">
        <v>39</v>
      </c>
      <c r="W3019">
        <v>4.5753767894356399</v>
      </c>
      <c r="X3019" t="s">
        <v>31</v>
      </c>
      <c r="Y3019" t="s">
        <v>60</v>
      </c>
      <c r="Z3019">
        <v>956.25476654332101</v>
      </c>
    </row>
    <row r="3020" spans="1:26" x14ac:dyDescent="0.3">
      <c r="A3020" t="s">
        <v>82</v>
      </c>
      <c r="B3020" t="s">
        <v>2796</v>
      </c>
      <c r="C3020">
        <v>96.353501669385693</v>
      </c>
      <c r="D3020">
        <v>56</v>
      </c>
      <c r="E3020">
        <v>365</v>
      </c>
      <c r="F3020">
        <v>2943.4438361812099</v>
      </c>
      <c r="G3020" t="s">
        <v>48</v>
      </c>
      <c r="H3020">
        <v>38</v>
      </c>
      <c r="I3020">
        <v>15</v>
      </c>
      <c r="J3020">
        <v>27</v>
      </c>
      <c r="K3020">
        <v>6</v>
      </c>
      <c r="L3020" t="s">
        <v>36</v>
      </c>
      <c r="M3020">
        <v>9.6133700090000005</v>
      </c>
      <c r="N3020" t="s">
        <v>57</v>
      </c>
      <c r="O3020" t="s">
        <v>38</v>
      </c>
      <c r="P3020">
        <f>VLOOKUP(O3020, Coordinates!$A$2:$C$6, 2, FALSE)</f>
        <v>25.761700000000001</v>
      </c>
      <c r="Q3020">
        <f>VLOOKUP(O3020, Coordinates!$A$2:$C$6, 3, FALSE)</f>
        <v>-80.191800000000001</v>
      </c>
      <c r="R3020">
        <v>16</v>
      </c>
      <c r="S3020">
        <v>640</v>
      </c>
      <c r="T3020">
        <v>21</v>
      </c>
      <c r="U3020">
        <v>13.5778215910636</v>
      </c>
      <c r="V3020" t="s">
        <v>30</v>
      </c>
      <c r="W3020">
        <v>2.2887369926113101</v>
      </c>
      <c r="X3020" t="s">
        <v>40</v>
      </c>
      <c r="Y3020" t="s">
        <v>32</v>
      </c>
      <c r="Z3020">
        <v>783.68702946264295</v>
      </c>
    </row>
    <row r="3021" spans="1:26" x14ac:dyDescent="0.3">
      <c r="A3021" t="s">
        <v>24</v>
      </c>
      <c r="B3021" t="s">
        <v>2604</v>
      </c>
      <c r="C3021">
        <v>32.732541334748703</v>
      </c>
      <c r="D3021">
        <v>6</v>
      </c>
      <c r="E3021">
        <v>40</v>
      </c>
      <c r="F3021">
        <v>1178.3714880509499</v>
      </c>
      <c r="G3021" t="s">
        <v>35</v>
      </c>
      <c r="H3021">
        <v>87</v>
      </c>
      <c r="I3021">
        <v>10</v>
      </c>
      <c r="J3021">
        <v>45</v>
      </c>
      <c r="K3021">
        <v>3</v>
      </c>
      <c r="L3021" t="s">
        <v>36</v>
      </c>
      <c r="M3021">
        <v>12.592254597573</v>
      </c>
      <c r="N3021" t="s">
        <v>51</v>
      </c>
      <c r="O3021" t="s">
        <v>65</v>
      </c>
      <c r="P3021">
        <f>VLOOKUP(O3021, Coordinates!$A$2:$C$6, 2, FALSE)</f>
        <v>41.878100000000003</v>
      </c>
      <c r="Q3021">
        <f>VLOOKUP(O3021, Coordinates!$A$2:$C$6, 3, FALSE)</f>
        <v>-87.629800000000003</v>
      </c>
      <c r="R3021">
        <v>4</v>
      </c>
      <c r="S3021">
        <v>787</v>
      </c>
      <c r="T3021">
        <v>18</v>
      </c>
      <c r="U3021">
        <v>84.050704158405594</v>
      </c>
      <c r="V3021" t="s">
        <v>30</v>
      </c>
      <c r="W3021">
        <v>2.5850689858298601</v>
      </c>
      <c r="X3021" t="s">
        <v>46</v>
      </c>
      <c r="Y3021" t="s">
        <v>32</v>
      </c>
      <c r="Z3021">
        <v>945.77084071516003</v>
      </c>
    </row>
    <row r="3022" spans="1:26" x14ac:dyDescent="0.3">
      <c r="A3022" t="s">
        <v>49</v>
      </c>
      <c r="B3022" t="s">
        <v>102</v>
      </c>
      <c r="C3022">
        <v>80.082084906714002</v>
      </c>
      <c r="D3022">
        <v>29</v>
      </c>
      <c r="E3022">
        <v>202</v>
      </c>
      <c r="F3022">
        <v>4395.2678714412496</v>
      </c>
      <c r="G3022" t="s">
        <v>26</v>
      </c>
      <c r="H3022">
        <v>91</v>
      </c>
      <c r="I3022">
        <v>3</v>
      </c>
      <c r="J3022">
        <v>60</v>
      </c>
      <c r="K3022">
        <v>5</v>
      </c>
      <c r="L3022" t="s">
        <v>27</v>
      </c>
      <c r="M3022">
        <v>3.8270721449724299</v>
      </c>
      <c r="N3022" t="s">
        <v>57</v>
      </c>
      <c r="O3022" t="s">
        <v>29</v>
      </c>
      <c r="P3022">
        <f>VLOOKUP(O3022, Coordinates!$A$2:$C$6, 2, FALSE)</f>
        <v>29.760400000000001</v>
      </c>
      <c r="Q3022">
        <f>VLOOKUP(O3022, Coordinates!$A$2:$C$6, 3, FALSE)</f>
        <v>-95.369799999999998</v>
      </c>
      <c r="R3022">
        <v>30</v>
      </c>
      <c r="S3022">
        <v>612</v>
      </c>
      <c r="T3022">
        <v>28</v>
      </c>
      <c r="U3022">
        <v>90.121988119999997</v>
      </c>
      <c r="V3022" t="s">
        <v>39</v>
      </c>
      <c r="W3022">
        <v>4.0604659007339698</v>
      </c>
      <c r="X3022" t="s">
        <v>52</v>
      </c>
      <c r="Y3022" t="s">
        <v>41</v>
      </c>
      <c r="Z3022">
        <v>657.01250601057302</v>
      </c>
    </row>
    <row r="3023" spans="1:26" x14ac:dyDescent="0.3">
      <c r="A3023" t="s">
        <v>82</v>
      </c>
      <c r="B3023" t="s">
        <v>347</v>
      </c>
      <c r="C3023">
        <v>26.396251715506502</v>
      </c>
      <c r="D3023">
        <v>32</v>
      </c>
      <c r="E3023">
        <v>670</v>
      </c>
      <c r="F3023">
        <v>2057.2830898884299</v>
      </c>
      <c r="G3023" t="s">
        <v>48</v>
      </c>
      <c r="H3023">
        <v>30</v>
      </c>
      <c r="I3023">
        <v>29</v>
      </c>
      <c r="J3023">
        <v>53</v>
      </c>
      <c r="K3023">
        <v>9</v>
      </c>
      <c r="L3023" t="s">
        <v>44</v>
      </c>
      <c r="M3023">
        <v>5.80803934505649</v>
      </c>
      <c r="N3023" t="s">
        <v>37</v>
      </c>
      <c r="O3023" t="s">
        <v>67</v>
      </c>
      <c r="P3023">
        <f>VLOOKUP(O3023, Coordinates!$A$2:$C$6, 2, FALSE)</f>
        <v>40.712800000000001</v>
      </c>
      <c r="Q3023">
        <f>VLOOKUP(O3023, Coordinates!$A$2:$C$6, 3, FALSE)</f>
        <v>-74.006</v>
      </c>
      <c r="R3023">
        <v>23</v>
      </c>
      <c r="S3023">
        <v>146</v>
      </c>
      <c r="T3023">
        <v>2</v>
      </c>
      <c r="U3023">
        <v>71.660977489999993</v>
      </c>
      <c r="V3023" t="s">
        <v>30</v>
      </c>
      <c r="W3023">
        <v>0.45613760698114098</v>
      </c>
      <c r="X3023" t="s">
        <v>52</v>
      </c>
      <c r="Y3023" t="s">
        <v>32</v>
      </c>
      <c r="Z3023">
        <v>272.04015901210499</v>
      </c>
    </row>
    <row r="3024" spans="1:26" x14ac:dyDescent="0.3">
      <c r="A3024" t="s">
        <v>82</v>
      </c>
      <c r="B3024" t="s">
        <v>970</v>
      </c>
      <c r="C3024">
        <v>93.434300350000001</v>
      </c>
      <c r="D3024">
        <v>36</v>
      </c>
      <c r="E3024">
        <v>191</v>
      </c>
      <c r="F3024">
        <v>7765.1179032828004</v>
      </c>
      <c r="G3024" t="s">
        <v>35</v>
      </c>
      <c r="H3024">
        <v>53</v>
      </c>
      <c r="I3024">
        <v>6</v>
      </c>
      <c r="J3024">
        <v>58</v>
      </c>
      <c r="K3024">
        <v>4</v>
      </c>
      <c r="L3024" t="s">
        <v>44</v>
      </c>
      <c r="M3024">
        <v>10.388877327688</v>
      </c>
      <c r="N3024" t="s">
        <v>37</v>
      </c>
      <c r="O3024" t="s">
        <v>29</v>
      </c>
      <c r="P3024">
        <f>VLOOKUP(O3024, Coordinates!$A$2:$C$6, 2, FALSE)</f>
        <v>29.760400000000001</v>
      </c>
      <c r="Q3024">
        <f>VLOOKUP(O3024, Coordinates!$A$2:$C$6, 3, FALSE)</f>
        <v>-95.369799999999998</v>
      </c>
      <c r="R3024">
        <v>28</v>
      </c>
      <c r="S3024">
        <v>380</v>
      </c>
      <c r="T3024">
        <v>6</v>
      </c>
      <c r="U3024">
        <v>13.4461983239154</v>
      </c>
      <c r="V3024" t="s">
        <v>39</v>
      </c>
      <c r="W3024">
        <v>0.25775489496228798</v>
      </c>
      <c r="X3024" t="s">
        <v>40</v>
      </c>
      <c r="Y3024" t="s">
        <v>32</v>
      </c>
      <c r="Z3024">
        <v>123.794712196001</v>
      </c>
    </row>
    <row r="3025" spans="1:26" x14ac:dyDescent="0.3">
      <c r="A3025" t="s">
        <v>61</v>
      </c>
      <c r="B3025" t="s">
        <v>2141</v>
      </c>
      <c r="C3025">
        <v>14.380034653853199</v>
      </c>
      <c r="D3025">
        <v>33</v>
      </c>
      <c r="E3025">
        <v>453</v>
      </c>
      <c r="F3025">
        <v>5279.738695</v>
      </c>
      <c r="G3025" t="s">
        <v>35</v>
      </c>
      <c r="H3025">
        <v>7</v>
      </c>
      <c r="I3025">
        <v>19</v>
      </c>
      <c r="J3025">
        <v>53</v>
      </c>
      <c r="K3025">
        <v>2</v>
      </c>
      <c r="L3025" t="s">
        <v>44</v>
      </c>
      <c r="M3025">
        <v>5.9336461748132496</v>
      </c>
      <c r="N3025" t="s">
        <v>28</v>
      </c>
      <c r="O3025" t="s">
        <v>65</v>
      </c>
      <c r="P3025">
        <f>VLOOKUP(O3025, Coordinates!$A$2:$C$6, 2, FALSE)</f>
        <v>41.878100000000003</v>
      </c>
      <c r="Q3025">
        <f>VLOOKUP(O3025, Coordinates!$A$2:$C$6, 3, FALSE)</f>
        <v>-87.629800000000003</v>
      </c>
      <c r="R3025">
        <v>3</v>
      </c>
      <c r="S3025">
        <v>775</v>
      </c>
      <c r="T3025">
        <v>1</v>
      </c>
      <c r="U3025">
        <v>40.177507157506597</v>
      </c>
      <c r="V3025" t="s">
        <v>30</v>
      </c>
      <c r="W3025">
        <v>2.7827423102783899</v>
      </c>
      <c r="X3025" t="s">
        <v>40</v>
      </c>
      <c r="Y3025" t="s">
        <v>60</v>
      </c>
      <c r="Z3025">
        <v>106.28271225278699</v>
      </c>
    </row>
    <row r="3026" spans="1:26" x14ac:dyDescent="0.3">
      <c r="A3026" t="s">
        <v>33</v>
      </c>
      <c r="B3026" t="s">
        <v>1418</v>
      </c>
      <c r="C3026">
        <v>48.512110108484499</v>
      </c>
      <c r="D3026">
        <v>98</v>
      </c>
      <c r="E3026">
        <v>610</v>
      </c>
      <c r="F3026">
        <v>4559.4016856521303</v>
      </c>
      <c r="G3026" t="s">
        <v>26</v>
      </c>
      <c r="H3026">
        <v>29</v>
      </c>
      <c r="I3026">
        <v>1</v>
      </c>
      <c r="J3026">
        <v>41</v>
      </c>
      <c r="K3026">
        <v>4</v>
      </c>
      <c r="L3026" t="s">
        <v>44</v>
      </c>
      <c r="M3026">
        <v>4.9087536761921102</v>
      </c>
      <c r="N3026" t="s">
        <v>28</v>
      </c>
      <c r="O3026" t="s">
        <v>29</v>
      </c>
      <c r="P3026">
        <f>VLOOKUP(O3026, Coordinates!$A$2:$C$6, 2, FALSE)</f>
        <v>29.760400000000001</v>
      </c>
      <c r="Q3026">
        <f>VLOOKUP(O3026, Coordinates!$A$2:$C$6, 3, FALSE)</f>
        <v>-95.369799999999998</v>
      </c>
      <c r="R3026">
        <v>24</v>
      </c>
      <c r="S3026">
        <v>671</v>
      </c>
      <c r="T3026">
        <v>23</v>
      </c>
      <c r="U3026">
        <v>90.269514146376395</v>
      </c>
      <c r="V3026" t="s">
        <v>30</v>
      </c>
      <c r="W3026">
        <v>4.6078129322693702</v>
      </c>
      <c r="X3026" t="s">
        <v>31</v>
      </c>
      <c r="Y3026" t="s">
        <v>32</v>
      </c>
      <c r="Z3026">
        <v>666.00323730000002</v>
      </c>
    </row>
    <row r="3027" spans="1:26" x14ac:dyDescent="0.3">
      <c r="A3027" t="s">
        <v>24</v>
      </c>
      <c r="B3027" t="s">
        <v>2953</v>
      </c>
      <c r="C3027">
        <v>22.9333978059115</v>
      </c>
      <c r="D3027">
        <v>82</v>
      </c>
      <c r="E3027">
        <v>751</v>
      </c>
      <c r="F3027">
        <v>15500.683577015499</v>
      </c>
      <c r="G3027" t="s">
        <v>26</v>
      </c>
      <c r="H3027">
        <v>7</v>
      </c>
      <c r="I3027">
        <v>25</v>
      </c>
      <c r="J3027">
        <v>60</v>
      </c>
      <c r="K3027">
        <v>9</v>
      </c>
      <c r="L3027" t="s">
        <v>27</v>
      </c>
      <c r="M3027">
        <v>7.1462510540075197</v>
      </c>
      <c r="N3027" t="s">
        <v>45</v>
      </c>
      <c r="O3027" t="s">
        <v>38</v>
      </c>
      <c r="P3027">
        <f>VLOOKUP(O3027, Coordinates!$A$2:$C$6, 2, FALSE)</f>
        <v>25.761700000000001</v>
      </c>
      <c r="Q3027">
        <f>VLOOKUP(O3027, Coordinates!$A$2:$C$6, 3, FALSE)</f>
        <v>-80.191800000000001</v>
      </c>
      <c r="R3027">
        <v>26</v>
      </c>
      <c r="S3027">
        <v>207</v>
      </c>
      <c r="T3027">
        <v>6</v>
      </c>
      <c r="U3027">
        <v>86.070682070000004</v>
      </c>
      <c r="V3027" t="s">
        <v>55</v>
      </c>
      <c r="W3027">
        <v>4.9012565953236003</v>
      </c>
      <c r="X3027" t="s">
        <v>46</v>
      </c>
      <c r="Y3027" t="s">
        <v>41</v>
      </c>
      <c r="Z3027">
        <v>181.84075391707</v>
      </c>
    </row>
    <row r="3028" spans="1:26" x14ac:dyDescent="0.3">
      <c r="A3028" t="s">
        <v>42</v>
      </c>
      <c r="B3028" t="s">
        <v>2661</v>
      </c>
      <c r="C3028">
        <v>34.925985375789402</v>
      </c>
      <c r="D3028">
        <v>89</v>
      </c>
      <c r="E3028">
        <v>856</v>
      </c>
      <c r="F3028">
        <v>7345.3107003699897</v>
      </c>
      <c r="G3028" t="s">
        <v>48</v>
      </c>
      <c r="H3028">
        <v>1</v>
      </c>
      <c r="I3028">
        <v>27</v>
      </c>
      <c r="J3028">
        <v>97</v>
      </c>
      <c r="K3028">
        <v>8</v>
      </c>
      <c r="L3028" t="s">
        <v>44</v>
      </c>
      <c r="M3028">
        <v>10.330701680000001</v>
      </c>
      <c r="N3028" t="s">
        <v>57</v>
      </c>
      <c r="O3028" t="s">
        <v>67</v>
      </c>
      <c r="P3028">
        <f>VLOOKUP(O3028, Coordinates!$A$2:$C$6, 2, FALSE)</f>
        <v>40.712800000000001</v>
      </c>
      <c r="Q3028">
        <f>VLOOKUP(O3028, Coordinates!$A$2:$C$6, 3, FALSE)</f>
        <v>-74.006</v>
      </c>
      <c r="R3028">
        <v>27</v>
      </c>
      <c r="S3028">
        <v>650</v>
      </c>
      <c r="T3028">
        <v>18</v>
      </c>
      <c r="U3028">
        <v>81.797720508631002</v>
      </c>
      <c r="V3028" t="s">
        <v>30</v>
      </c>
      <c r="W3028">
        <v>3.1458687366863298</v>
      </c>
      <c r="X3028" t="s">
        <v>46</v>
      </c>
      <c r="Y3028" t="s">
        <v>32</v>
      </c>
      <c r="Z3028">
        <v>393.28402490033102</v>
      </c>
    </row>
    <row r="3029" spans="1:26" x14ac:dyDescent="0.3">
      <c r="A3029" t="s">
        <v>49</v>
      </c>
      <c r="B3029" t="s">
        <v>1284</v>
      </c>
      <c r="C3029">
        <v>77.435874025177498</v>
      </c>
      <c r="D3029">
        <v>78</v>
      </c>
      <c r="E3029">
        <v>69</v>
      </c>
      <c r="F3029">
        <v>8889.3830695151591</v>
      </c>
      <c r="H3029">
        <v>25</v>
      </c>
      <c r="I3029">
        <v>19</v>
      </c>
      <c r="J3029">
        <v>68</v>
      </c>
      <c r="K3029">
        <v>4</v>
      </c>
      <c r="L3029" t="s">
        <v>27</v>
      </c>
      <c r="M3029">
        <v>13.3294556379875</v>
      </c>
      <c r="N3029" t="s">
        <v>45</v>
      </c>
      <c r="O3029" t="s">
        <v>38</v>
      </c>
      <c r="P3029">
        <f>VLOOKUP(O3029, Coordinates!$A$2:$C$6, 2, FALSE)</f>
        <v>25.761700000000001</v>
      </c>
      <c r="Q3029">
        <f>VLOOKUP(O3029, Coordinates!$A$2:$C$6, 3, FALSE)</f>
        <v>-80.191800000000001</v>
      </c>
      <c r="R3029">
        <v>27</v>
      </c>
      <c r="S3029">
        <v>398</v>
      </c>
      <c r="T3029">
        <v>19</v>
      </c>
      <c r="U3029">
        <v>42.051556650000002</v>
      </c>
      <c r="V3029" t="s">
        <v>55</v>
      </c>
      <c r="W3029">
        <v>4.3926880850961201</v>
      </c>
      <c r="X3029" t="s">
        <v>46</v>
      </c>
      <c r="Y3029" t="s">
        <v>41</v>
      </c>
      <c r="Z3029">
        <v>867.18103582655601</v>
      </c>
    </row>
    <row r="3030" spans="1:26" x14ac:dyDescent="0.3">
      <c r="A3030" t="s">
        <v>33</v>
      </c>
      <c r="B3030" t="s">
        <v>354</v>
      </c>
      <c r="C3030">
        <v>9.2365162954313398</v>
      </c>
      <c r="D3030">
        <v>59</v>
      </c>
      <c r="E3030">
        <v>212</v>
      </c>
      <c r="F3030">
        <v>2274.5021555610901</v>
      </c>
      <c r="G3030" t="s">
        <v>35</v>
      </c>
      <c r="H3030">
        <v>91</v>
      </c>
      <c r="I3030">
        <v>5</v>
      </c>
      <c r="J3030">
        <v>77</v>
      </c>
      <c r="K3030">
        <v>1</v>
      </c>
      <c r="L3030" t="s">
        <v>27</v>
      </c>
      <c r="M3030">
        <v>9.7312910689945493</v>
      </c>
      <c r="N3030" t="s">
        <v>57</v>
      </c>
      <c r="O3030" t="s">
        <v>29</v>
      </c>
      <c r="P3030">
        <f>VLOOKUP(O3030, Coordinates!$A$2:$C$6, 2, FALSE)</f>
        <v>29.760400000000001</v>
      </c>
      <c r="Q3030">
        <f>VLOOKUP(O3030, Coordinates!$A$2:$C$6, 3, FALSE)</f>
        <v>-95.369799999999998</v>
      </c>
      <c r="R3030">
        <v>21</v>
      </c>
      <c r="S3030">
        <v>484</v>
      </c>
      <c r="T3030">
        <v>15</v>
      </c>
      <c r="U3030">
        <v>34.107188262444602</v>
      </c>
      <c r="V3030" t="s">
        <v>30</v>
      </c>
      <c r="W3030">
        <v>1.2615004041920901</v>
      </c>
      <c r="X3030" t="s">
        <v>40</v>
      </c>
      <c r="Y3030" t="s">
        <v>32</v>
      </c>
      <c r="Z3030">
        <v>220.801513184182</v>
      </c>
    </row>
    <row r="3031" spans="1:26" x14ac:dyDescent="0.3">
      <c r="A3031" t="s">
        <v>24</v>
      </c>
      <c r="B3031" t="s">
        <v>1299</v>
      </c>
      <c r="C3031">
        <v>30.964069139619799</v>
      </c>
      <c r="D3031">
        <v>90</v>
      </c>
      <c r="E3031">
        <v>680</v>
      </c>
      <c r="F3031">
        <v>18950.010313447299</v>
      </c>
      <c r="G3031" t="s">
        <v>48</v>
      </c>
      <c r="H3031">
        <v>39</v>
      </c>
      <c r="I3031">
        <v>19</v>
      </c>
      <c r="J3031">
        <v>98</v>
      </c>
      <c r="K3031">
        <v>8</v>
      </c>
      <c r="L3031" t="s">
        <v>27</v>
      </c>
      <c r="M3031">
        <v>9.5177241923209603</v>
      </c>
      <c r="N3031" t="s">
        <v>57</v>
      </c>
      <c r="O3031" t="s">
        <v>29</v>
      </c>
      <c r="P3031">
        <f>VLOOKUP(O3031, Coordinates!$A$2:$C$6, 2, FALSE)</f>
        <v>29.760400000000001</v>
      </c>
      <c r="Q3031">
        <f>VLOOKUP(O3031, Coordinates!$A$2:$C$6, 3, FALSE)</f>
        <v>-95.369799999999998</v>
      </c>
      <c r="R3031">
        <v>15</v>
      </c>
      <c r="S3031">
        <v>621</v>
      </c>
      <c r="T3031">
        <v>26</v>
      </c>
      <c r="U3031">
        <v>77.089105459020999</v>
      </c>
      <c r="V3031" t="s">
        <v>55</v>
      </c>
      <c r="W3031">
        <v>3.5270314459773999</v>
      </c>
      <c r="X3031" t="s">
        <v>46</v>
      </c>
      <c r="Y3031" t="s">
        <v>32</v>
      </c>
      <c r="Z3031">
        <v>727.74761654984798</v>
      </c>
    </row>
    <row r="3032" spans="1:26" x14ac:dyDescent="0.3">
      <c r="A3032" t="s">
        <v>42</v>
      </c>
      <c r="B3032" t="s">
        <v>1063</v>
      </c>
      <c r="C3032">
        <v>46.373224419858097</v>
      </c>
      <c r="D3032">
        <v>84</v>
      </c>
      <c r="E3032">
        <v>90</v>
      </c>
      <c r="F3032">
        <v>9640.1069270000007</v>
      </c>
      <c r="G3032" t="s">
        <v>35</v>
      </c>
      <c r="H3032">
        <v>92</v>
      </c>
      <c r="I3032">
        <v>2</v>
      </c>
      <c r="J3032">
        <v>75</v>
      </c>
      <c r="K3032">
        <v>6</v>
      </c>
      <c r="L3032" t="s">
        <v>36</v>
      </c>
      <c r="M3032">
        <v>5.5438427226501199</v>
      </c>
      <c r="N3032" t="s">
        <v>45</v>
      </c>
      <c r="O3032" t="s">
        <v>38</v>
      </c>
      <c r="P3032">
        <f>VLOOKUP(O3032, Coordinates!$A$2:$C$6, 2, FALSE)</f>
        <v>25.761700000000001</v>
      </c>
      <c r="Q3032">
        <f>VLOOKUP(O3032, Coordinates!$A$2:$C$6, 3, FALSE)</f>
        <v>-80.191800000000001</v>
      </c>
      <c r="R3032">
        <v>25</v>
      </c>
      <c r="S3032">
        <v>636</v>
      </c>
      <c r="T3032">
        <v>26</v>
      </c>
      <c r="U3032">
        <v>56.642942089407804</v>
      </c>
      <c r="V3032" t="s">
        <v>55</v>
      </c>
      <c r="W3032">
        <v>3.7011785212629098</v>
      </c>
      <c r="X3032" t="s">
        <v>52</v>
      </c>
      <c r="Y3032" t="s">
        <v>41</v>
      </c>
      <c r="Z3032">
        <v>281.21149473280002</v>
      </c>
    </row>
    <row r="3033" spans="1:26" x14ac:dyDescent="0.3">
      <c r="A3033" t="s">
        <v>49</v>
      </c>
      <c r="B3033" t="s">
        <v>1723</v>
      </c>
      <c r="C3033">
        <v>83.462182195022805</v>
      </c>
      <c r="D3033">
        <v>58</v>
      </c>
      <c r="E3033">
        <v>654</v>
      </c>
      <c r="F3033">
        <v>5445.8846210000002</v>
      </c>
      <c r="G3033" t="s">
        <v>48</v>
      </c>
      <c r="H3033">
        <v>47</v>
      </c>
      <c r="I3033">
        <v>8</v>
      </c>
      <c r="J3033">
        <v>41</v>
      </c>
      <c r="K3033">
        <v>6</v>
      </c>
      <c r="L3033" t="s">
        <v>44</v>
      </c>
      <c r="M3033">
        <v>11.025281066370001</v>
      </c>
      <c r="N3033" t="s">
        <v>37</v>
      </c>
      <c r="O3033" t="s">
        <v>29</v>
      </c>
      <c r="P3033">
        <f>VLOOKUP(O3033, Coordinates!$A$2:$C$6, 2, FALSE)</f>
        <v>29.760400000000001</v>
      </c>
      <c r="Q3033">
        <f>VLOOKUP(O3033, Coordinates!$A$2:$C$6, 3, FALSE)</f>
        <v>-95.369799999999998</v>
      </c>
      <c r="R3033">
        <v>20</v>
      </c>
      <c r="S3033">
        <v>857</v>
      </c>
      <c r="T3033">
        <v>12</v>
      </c>
      <c r="U3033">
        <v>14.176476006489899</v>
      </c>
      <c r="V3033" t="s">
        <v>30</v>
      </c>
      <c r="W3033">
        <v>1.00469360073671</v>
      </c>
      <c r="X3033" t="s">
        <v>40</v>
      </c>
      <c r="Y3033" t="s">
        <v>60</v>
      </c>
      <c r="Z3033">
        <v>870.36991708387995</v>
      </c>
    </row>
    <row r="3034" spans="1:26" x14ac:dyDescent="0.3">
      <c r="A3034" t="s">
        <v>82</v>
      </c>
      <c r="B3034" t="s">
        <v>804</v>
      </c>
      <c r="C3034">
        <v>53.207404779999997</v>
      </c>
      <c r="D3034">
        <v>91</v>
      </c>
      <c r="E3034">
        <v>975</v>
      </c>
      <c r="F3034">
        <v>6641.0543534666003</v>
      </c>
      <c r="G3034" t="s">
        <v>35</v>
      </c>
      <c r="H3034">
        <v>12</v>
      </c>
      <c r="I3034">
        <v>26</v>
      </c>
      <c r="J3034">
        <v>73</v>
      </c>
      <c r="K3034">
        <v>2</v>
      </c>
      <c r="L3034" t="s">
        <v>36</v>
      </c>
      <c r="M3034">
        <v>9.7142124476515797</v>
      </c>
      <c r="N3034" t="s">
        <v>45</v>
      </c>
      <c r="O3034" t="s">
        <v>38</v>
      </c>
      <c r="P3034">
        <f>VLOOKUP(O3034, Coordinates!$A$2:$C$6, 2, FALSE)</f>
        <v>25.761700000000001</v>
      </c>
      <c r="Q3034">
        <f>VLOOKUP(O3034, Coordinates!$A$2:$C$6, 3, FALSE)</f>
        <v>-80.191800000000001</v>
      </c>
      <c r="R3034">
        <v>25</v>
      </c>
      <c r="S3034">
        <v>262</v>
      </c>
      <c r="T3034">
        <v>21</v>
      </c>
      <c r="U3034">
        <v>86.947371369999999</v>
      </c>
      <c r="V3034" t="s">
        <v>39</v>
      </c>
      <c r="W3034">
        <v>4.7237125549999996</v>
      </c>
      <c r="X3034" t="s">
        <v>46</v>
      </c>
      <c r="Y3034" t="s">
        <v>60</v>
      </c>
      <c r="Z3034">
        <v>127.88640242484</v>
      </c>
    </row>
    <row r="3035" spans="1:26" x14ac:dyDescent="0.3">
      <c r="A3035" t="s">
        <v>82</v>
      </c>
      <c r="B3035" t="s">
        <v>2909</v>
      </c>
      <c r="C3035">
        <v>72.166452955896105</v>
      </c>
      <c r="D3035">
        <v>21</v>
      </c>
      <c r="E3035">
        <v>960</v>
      </c>
      <c r="F3035">
        <v>5614.1926509593004</v>
      </c>
      <c r="G3035" t="s">
        <v>48</v>
      </c>
      <c r="H3035">
        <v>80</v>
      </c>
      <c r="I3035">
        <v>15</v>
      </c>
      <c r="J3035">
        <v>56</v>
      </c>
      <c r="K3035">
        <v>1</v>
      </c>
      <c r="L3035" t="s">
        <v>44</v>
      </c>
      <c r="M3035">
        <v>10.1510168009619</v>
      </c>
      <c r="N3035" t="s">
        <v>37</v>
      </c>
      <c r="O3035" t="s">
        <v>67</v>
      </c>
      <c r="P3035">
        <f>VLOOKUP(O3035, Coordinates!$A$2:$C$6, 2, FALSE)</f>
        <v>40.712800000000001</v>
      </c>
      <c r="Q3035">
        <f>VLOOKUP(O3035, Coordinates!$A$2:$C$6, 3, FALSE)</f>
        <v>-74.006</v>
      </c>
      <c r="R3035">
        <v>27</v>
      </c>
      <c r="S3035">
        <v>218</v>
      </c>
      <c r="T3035">
        <v>7</v>
      </c>
      <c r="U3035">
        <v>64.380645653456696</v>
      </c>
      <c r="V3035" t="s">
        <v>30</v>
      </c>
      <c r="W3035">
        <v>0.18091028767634201</v>
      </c>
      <c r="X3035" t="s">
        <v>31</v>
      </c>
      <c r="Y3035" t="s">
        <v>32</v>
      </c>
      <c r="Z3035">
        <v>990.405608967327</v>
      </c>
    </row>
    <row r="3036" spans="1:26" x14ac:dyDescent="0.3">
      <c r="A3036" t="s">
        <v>33</v>
      </c>
      <c r="B3036" t="s">
        <v>349</v>
      </c>
      <c r="C3036">
        <v>42.889422821854197</v>
      </c>
      <c r="D3036">
        <v>62</v>
      </c>
      <c r="E3036">
        <v>564</v>
      </c>
      <c r="F3036">
        <v>7061.6510813553296</v>
      </c>
      <c r="G3036" t="s">
        <v>54</v>
      </c>
      <c r="H3036">
        <v>11</v>
      </c>
      <c r="I3036">
        <v>2</v>
      </c>
      <c r="J3036">
        <v>78</v>
      </c>
      <c r="K3036">
        <v>5</v>
      </c>
      <c r="L3036" t="s">
        <v>44</v>
      </c>
      <c r="M3036">
        <v>5.82039290112158</v>
      </c>
      <c r="N3036" t="s">
        <v>51</v>
      </c>
      <c r="O3036" t="s">
        <v>65</v>
      </c>
      <c r="P3036">
        <f>VLOOKUP(O3036, Coordinates!$A$2:$C$6, 2, FALSE)</f>
        <v>41.878100000000003</v>
      </c>
      <c r="Q3036">
        <f>VLOOKUP(O3036, Coordinates!$A$2:$C$6, 3, FALSE)</f>
        <v>-87.629800000000003</v>
      </c>
      <c r="R3036">
        <v>25</v>
      </c>
      <c r="S3036">
        <v>216</v>
      </c>
      <c r="T3036">
        <v>12</v>
      </c>
      <c r="U3036">
        <v>33.970165695104299</v>
      </c>
      <c r="V3036" t="s">
        <v>39</v>
      </c>
      <c r="W3036">
        <v>4.7903452766905197</v>
      </c>
      <c r="X3036" t="s">
        <v>31</v>
      </c>
      <c r="Y3036" t="s">
        <v>32</v>
      </c>
      <c r="Z3036">
        <v>341.00104234135199</v>
      </c>
    </row>
    <row r="3037" spans="1:26" x14ac:dyDescent="0.3">
      <c r="A3037" t="s">
        <v>24</v>
      </c>
      <c r="B3037" t="s">
        <v>839</v>
      </c>
      <c r="C3037">
        <v>37.713979271518497</v>
      </c>
      <c r="D3037">
        <v>53</v>
      </c>
      <c r="E3037">
        <v>56</v>
      </c>
      <c r="F3037">
        <v>1900.7845552845299</v>
      </c>
      <c r="G3037" t="s">
        <v>48</v>
      </c>
      <c r="H3037">
        <v>30</v>
      </c>
      <c r="I3037">
        <v>1</v>
      </c>
      <c r="J3037">
        <v>14</v>
      </c>
      <c r="K3037">
        <v>10</v>
      </c>
      <c r="L3037" t="s">
        <v>44</v>
      </c>
      <c r="M3037">
        <v>14.9057095540338</v>
      </c>
      <c r="N3037" t="s">
        <v>45</v>
      </c>
      <c r="O3037" t="s">
        <v>38</v>
      </c>
      <c r="P3037">
        <f>VLOOKUP(O3037, Coordinates!$A$2:$C$6, 2, FALSE)</f>
        <v>25.761700000000001</v>
      </c>
      <c r="Q3037">
        <f>VLOOKUP(O3037, Coordinates!$A$2:$C$6, 3, FALSE)</f>
        <v>-80.191800000000001</v>
      </c>
      <c r="R3037">
        <v>29</v>
      </c>
      <c r="S3037">
        <v>175</v>
      </c>
      <c r="T3037">
        <v>25</v>
      </c>
      <c r="U3037">
        <v>90.915965100140497</v>
      </c>
      <c r="V3037" t="s">
        <v>39</v>
      </c>
      <c r="W3037">
        <v>4.7954455934953497</v>
      </c>
      <c r="X3037" t="s">
        <v>46</v>
      </c>
      <c r="Y3037" t="s">
        <v>60</v>
      </c>
      <c r="Z3037">
        <v>370.45793928604797</v>
      </c>
    </row>
    <row r="3038" spans="1:26" x14ac:dyDescent="0.3">
      <c r="A3038" t="s">
        <v>82</v>
      </c>
      <c r="B3038" t="s">
        <v>2202</v>
      </c>
      <c r="C3038">
        <v>36.550429414271797</v>
      </c>
      <c r="D3038">
        <v>53</v>
      </c>
      <c r="E3038">
        <v>310</v>
      </c>
      <c r="F3038">
        <v>9981.2362097105797</v>
      </c>
      <c r="G3038" t="s">
        <v>26</v>
      </c>
      <c r="H3038">
        <v>29</v>
      </c>
      <c r="I3038">
        <v>14</v>
      </c>
      <c r="J3038">
        <v>52</v>
      </c>
      <c r="K3038">
        <v>9</v>
      </c>
      <c r="L3038" t="s">
        <v>27</v>
      </c>
      <c r="M3038">
        <v>9.1701269829225804</v>
      </c>
      <c r="N3038" t="s">
        <v>51</v>
      </c>
      <c r="O3038" t="s">
        <v>29</v>
      </c>
      <c r="P3038">
        <f>VLOOKUP(O3038, Coordinates!$A$2:$C$6, 2, FALSE)</f>
        <v>29.760400000000001</v>
      </c>
      <c r="Q3038">
        <f>VLOOKUP(O3038, Coordinates!$A$2:$C$6, 3, FALSE)</f>
        <v>-95.369799999999998</v>
      </c>
      <c r="R3038">
        <v>20</v>
      </c>
      <c r="S3038">
        <v>221</v>
      </c>
      <c r="T3038">
        <v>27</v>
      </c>
      <c r="U3038">
        <v>69.184102953263306</v>
      </c>
      <c r="V3038" t="s">
        <v>55</v>
      </c>
      <c r="W3038">
        <v>3.1423968415636101</v>
      </c>
      <c r="X3038" t="s">
        <v>31</v>
      </c>
      <c r="Y3038" t="s">
        <v>60</v>
      </c>
      <c r="Z3038">
        <v>-50</v>
      </c>
    </row>
    <row r="3039" spans="1:26" x14ac:dyDescent="0.3">
      <c r="A3039" t="s">
        <v>49</v>
      </c>
      <c r="B3039" t="s">
        <v>380</v>
      </c>
      <c r="C3039">
        <v>79.832736475132293</v>
      </c>
      <c r="D3039">
        <v>88</v>
      </c>
      <c r="E3039">
        <v>347</v>
      </c>
      <c r="F3039">
        <v>3231.3920482522599</v>
      </c>
      <c r="G3039" t="s">
        <v>54</v>
      </c>
      <c r="H3039">
        <v>30</v>
      </c>
      <c r="I3039">
        <v>8</v>
      </c>
      <c r="J3039">
        <v>93</v>
      </c>
      <c r="K3039">
        <v>5</v>
      </c>
      <c r="L3039" t="s">
        <v>44</v>
      </c>
      <c r="M3039">
        <v>1.17348049573636</v>
      </c>
      <c r="N3039" t="s">
        <v>45</v>
      </c>
      <c r="O3039" t="s">
        <v>38</v>
      </c>
      <c r="P3039">
        <f>VLOOKUP(O3039, Coordinates!$A$2:$C$6, 2, FALSE)</f>
        <v>25.761700000000001</v>
      </c>
      <c r="Q3039">
        <f>VLOOKUP(O3039, Coordinates!$A$2:$C$6, 3, FALSE)</f>
        <v>-80.191800000000001</v>
      </c>
      <c r="R3039">
        <v>30</v>
      </c>
      <c r="S3039">
        <v>939</v>
      </c>
      <c r="T3039">
        <v>27</v>
      </c>
      <c r="U3039">
        <v>99.220117080236093</v>
      </c>
      <c r="V3039" t="s">
        <v>39</v>
      </c>
      <c r="W3039">
        <v>4.2938716958939702</v>
      </c>
      <c r="X3039" t="s">
        <v>46</v>
      </c>
      <c r="Y3039" t="s">
        <v>32</v>
      </c>
      <c r="Z3039">
        <v>173.575895178792</v>
      </c>
    </row>
    <row r="3040" spans="1:26" x14ac:dyDescent="0.3">
      <c r="A3040" t="s">
        <v>49</v>
      </c>
      <c r="B3040" t="s">
        <v>356</v>
      </c>
      <c r="C3040">
        <v>31.1933860440774</v>
      </c>
      <c r="D3040">
        <v>2</v>
      </c>
      <c r="E3040">
        <v>720</v>
      </c>
      <c r="F3040">
        <v>4437.8204091665102</v>
      </c>
      <c r="H3040">
        <v>62</v>
      </c>
      <c r="I3040">
        <v>23</v>
      </c>
      <c r="J3040">
        <v>84</v>
      </c>
      <c r="K3040">
        <v>6</v>
      </c>
      <c r="L3040" t="s">
        <v>27</v>
      </c>
      <c r="M3040">
        <v>1.9967761227974501</v>
      </c>
      <c r="N3040" t="s">
        <v>37</v>
      </c>
      <c r="O3040" t="s">
        <v>38</v>
      </c>
      <c r="P3040">
        <f>VLOOKUP(O3040, Coordinates!$A$2:$C$6, 2, FALSE)</f>
        <v>25.761700000000001</v>
      </c>
      <c r="Q3040">
        <f>VLOOKUP(O3040, Coordinates!$A$2:$C$6, 3, FALSE)</f>
        <v>-80.191800000000001</v>
      </c>
      <c r="R3040">
        <v>20</v>
      </c>
      <c r="S3040">
        <v>384</v>
      </c>
      <c r="T3040">
        <v>30</v>
      </c>
      <c r="U3040">
        <v>61.090109592818699</v>
      </c>
      <c r="V3040" t="s">
        <v>30</v>
      </c>
      <c r="W3040">
        <v>4.4485222589999998</v>
      </c>
      <c r="X3040" t="s">
        <v>52</v>
      </c>
      <c r="Y3040" t="s">
        <v>60</v>
      </c>
      <c r="Z3040">
        <v>641.76255087763604</v>
      </c>
    </row>
    <row r="3041" spans="1:26" x14ac:dyDescent="0.3">
      <c r="A3041" t="s">
        <v>24</v>
      </c>
      <c r="B3041" t="s">
        <v>1356</v>
      </c>
      <c r="C3041">
        <v>24.526456237593699</v>
      </c>
      <c r="D3041">
        <v>91</v>
      </c>
      <c r="E3041">
        <v>162</v>
      </c>
      <c r="F3041">
        <v>3575.9573194411701</v>
      </c>
      <c r="G3041" t="s">
        <v>35</v>
      </c>
      <c r="H3041">
        <v>88</v>
      </c>
      <c r="I3041">
        <v>10</v>
      </c>
      <c r="J3041">
        <v>59</v>
      </c>
      <c r="K3041">
        <v>8</v>
      </c>
      <c r="L3041" t="s">
        <v>36</v>
      </c>
      <c r="M3041">
        <v>2.1806580081734799</v>
      </c>
      <c r="N3041" t="s">
        <v>45</v>
      </c>
      <c r="O3041" t="s">
        <v>38</v>
      </c>
      <c r="P3041">
        <f>VLOOKUP(O3041, Coordinates!$A$2:$C$6, 2, FALSE)</f>
        <v>25.761700000000001</v>
      </c>
      <c r="Q3041">
        <f>VLOOKUP(O3041, Coordinates!$A$2:$C$6, 3, FALSE)</f>
        <v>-80.191800000000001</v>
      </c>
      <c r="R3041">
        <v>29</v>
      </c>
      <c r="S3041">
        <v>716</v>
      </c>
      <c r="T3041">
        <v>4</v>
      </c>
      <c r="U3041">
        <v>93.763086785496995</v>
      </c>
      <c r="V3041" t="s">
        <v>39</v>
      </c>
      <c r="W3041">
        <v>4.5305327734882601</v>
      </c>
      <c r="X3041" t="s">
        <v>31</v>
      </c>
      <c r="Y3041" t="s">
        <v>41</v>
      </c>
      <c r="Z3041">
        <v>450.13006497646302</v>
      </c>
    </row>
    <row r="3042" spans="1:26" x14ac:dyDescent="0.3">
      <c r="A3042" t="s">
        <v>49</v>
      </c>
      <c r="B3042" t="s">
        <v>252</v>
      </c>
      <c r="C3042">
        <v>63.422932832407497</v>
      </c>
      <c r="D3042">
        <v>78</v>
      </c>
      <c r="E3042">
        <v>788</v>
      </c>
      <c r="F3042">
        <v>5935.6084306772</v>
      </c>
      <c r="G3042" t="s">
        <v>26</v>
      </c>
      <c r="H3042">
        <v>50</v>
      </c>
      <c r="I3042">
        <v>10</v>
      </c>
      <c r="J3042">
        <v>94</v>
      </c>
      <c r="K3042">
        <v>7</v>
      </c>
      <c r="L3042" t="s">
        <v>27</v>
      </c>
      <c r="M3042">
        <v>14.8978162720671</v>
      </c>
      <c r="N3042" t="s">
        <v>51</v>
      </c>
      <c r="O3042" t="s">
        <v>38</v>
      </c>
      <c r="P3042">
        <f>VLOOKUP(O3042, Coordinates!$A$2:$C$6, 2, FALSE)</f>
        <v>25.761700000000001</v>
      </c>
      <c r="Q3042">
        <f>VLOOKUP(O3042, Coordinates!$A$2:$C$6, 3, FALSE)</f>
        <v>-80.191800000000001</v>
      </c>
      <c r="R3042">
        <v>5</v>
      </c>
      <c r="S3042">
        <v>937</v>
      </c>
      <c r="T3042">
        <v>21</v>
      </c>
      <c r="U3042">
        <v>58.6513059958817</v>
      </c>
      <c r="V3042" t="s">
        <v>39</v>
      </c>
      <c r="W3042">
        <v>2.0855235812201198</v>
      </c>
      <c r="X3042" t="s">
        <v>52</v>
      </c>
      <c r="Y3042" t="s">
        <v>60</v>
      </c>
      <c r="Z3042">
        <v>383.630787253829</v>
      </c>
    </row>
    <row r="3043" spans="1:26" x14ac:dyDescent="0.3">
      <c r="A3043" t="s">
        <v>82</v>
      </c>
      <c r="B3043" t="s">
        <v>121</v>
      </c>
      <c r="C3043">
        <v>28.130406998462298</v>
      </c>
      <c r="D3043">
        <v>100</v>
      </c>
      <c r="E3043">
        <v>621</v>
      </c>
      <c r="F3043">
        <v>1878.5688448163401</v>
      </c>
      <c r="G3043" t="s">
        <v>54</v>
      </c>
      <c r="H3043">
        <v>34</v>
      </c>
      <c r="I3043">
        <v>11</v>
      </c>
      <c r="J3043">
        <v>90</v>
      </c>
      <c r="K3043">
        <v>1</v>
      </c>
      <c r="L3043" t="s">
        <v>44</v>
      </c>
      <c r="M3043">
        <v>6.0249506703496598</v>
      </c>
      <c r="N3043" t="s">
        <v>57</v>
      </c>
      <c r="O3043" t="s">
        <v>58</v>
      </c>
      <c r="P3043">
        <f>VLOOKUP(O3043, Coordinates!$A$2:$C$6, 2, FALSE)</f>
        <v>34.052199999999999</v>
      </c>
      <c r="Q3043">
        <f>VLOOKUP(O3043, Coordinates!$A$2:$C$6, 3, FALSE)</f>
        <v>-118.2437</v>
      </c>
      <c r="R3043">
        <v>11</v>
      </c>
      <c r="S3043">
        <v>620</v>
      </c>
      <c r="T3043">
        <v>14</v>
      </c>
      <c r="U3043">
        <v>75.6001695278987</v>
      </c>
      <c r="V3043" t="s">
        <v>30</v>
      </c>
      <c r="W3043">
        <v>2.41811341938917</v>
      </c>
      <c r="X3043" t="s">
        <v>46</v>
      </c>
      <c r="Y3043" t="s">
        <v>32</v>
      </c>
      <c r="Z3043">
        <v>810.79695167798604</v>
      </c>
    </row>
    <row r="3044" spans="1:26" x14ac:dyDescent="0.3">
      <c r="A3044" t="s">
        <v>61</v>
      </c>
      <c r="B3044" t="s">
        <v>451</v>
      </c>
      <c r="C3044">
        <v>76.960779054994603</v>
      </c>
      <c r="D3044">
        <v>26</v>
      </c>
      <c r="E3044">
        <v>462</v>
      </c>
      <c r="F3044">
        <v>6833.8825970369999</v>
      </c>
      <c r="G3044" t="s">
        <v>48</v>
      </c>
      <c r="H3044">
        <v>61</v>
      </c>
      <c r="I3044">
        <v>10</v>
      </c>
      <c r="J3044">
        <v>61</v>
      </c>
      <c r="K3044">
        <v>1</v>
      </c>
      <c r="L3044" t="s">
        <v>27</v>
      </c>
      <c r="M3044">
        <v>3.8744607392659698</v>
      </c>
      <c r="N3044" t="s">
        <v>51</v>
      </c>
      <c r="O3044" t="s">
        <v>67</v>
      </c>
      <c r="P3044">
        <f>VLOOKUP(O3044, Coordinates!$A$2:$C$6, 2, FALSE)</f>
        <v>40.712800000000001</v>
      </c>
      <c r="Q3044">
        <f>VLOOKUP(O3044, Coordinates!$A$2:$C$6, 3, FALSE)</f>
        <v>-74.006</v>
      </c>
      <c r="R3044">
        <v>11</v>
      </c>
      <c r="S3044">
        <v>362</v>
      </c>
      <c r="T3044">
        <v>25</v>
      </c>
      <c r="U3044">
        <v>61.151643552341802</v>
      </c>
      <c r="V3044" t="s">
        <v>30</v>
      </c>
      <c r="W3044">
        <v>0.95972143899999995</v>
      </c>
      <c r="X3044" t="s">
        <v>52</v>
      </c>
      <c r="Y3044" t="s">
        <v>60</v>
      </c>
      <c r="Z3044">
        <v>865.97626877076402</v>
      </c>
    </row>
    <row r="3045" spans="1:26" x14ac:dyDescent="0.3">
      <c r="A3045" t="s">
        <v>61</v>
      </c>
      <c r="B3045" t="s">
        <v>785</v>
      </c>
      <c r="C3045">
        <v>47.192132749999999</v>
      </c>
      <c r="D3045">
        <v>15</v>
      </c>
      <c r="E3045">
        <v>666</v>
      </c>
      <c r="F3045">
        <v>7523.8376822189202</v>
      </c>
      <c r="G3045" t="s">
        <v>48</v>
      </c>
      <c r="H3045">
        <v>23</v>
      </c>
      <c r="I3045">
        <v>9</v>
      </c>
      <c r="J3045">
        <v>77</v>
      </c>
      <c r="K3045">
        <v>10</v>
      </c>
      <c r="L3045" t="s">
        <v>36</v>
      </c>
      <c r="M3045">
        <v>5.4829345437090398</v>
      </c>
      <c r="N3045" t="s">
        <v>57</v>
      </c>
      <c r="O3045" t="s">
        <v>38</v>
      </c>
      <c r="P3045">
        <f>VLOOKUP(O3045, Coordinates!$A$2:$C$6, 2, FALSE)</f>
        <v>25.761700000000001</v>
      </c>
      <c r="Q3045">
        <f>VLOOKUP(O3045, Coordinates!$A$2:$C$6, 3, FALSE)</f>
        <v>-80.191800000000001</v>
      </c>
      <c r="R3045">
        <v>5</v>
      </c>
      <c r="S3045">
        <v>730</v>
      </c>
      <c r="T3045">
        <v>23</v>
      </c>
      <c r="U3045">
        <v>62.1412635566098</v>
      </c>
      <c r="V3045" t="s">
        <v>30</v>
      </c>
      <c r="W3045">
        <v>2.8715651534781799</v>
      </c>
      <c r="X3045" t="s">
        <v>46</v>
      </c>
      <c r="Y3045" t="s">
        <v>60</v>
      </c>
      <c r="Z3045">
        <v>585.77631041332302</v>
      </c>
    </row>
    <row r="3046" spans="1:26" x14ac:dyDescent="0.3">
      <c r="A3046" t="s">
        <v>33</v>
      </c>
      <c r="B3046" t="s">
        <v>1641</v>
      </c>
      <c r="C3046">
        <v>43.925227462079199</v>
      </c>
      <c r="D3046">
        <v>13</v>
      </c>
      <c r="E3046">
        <v>483</v>
      </c>
      <c r="F3046">
        <v>8666.9918422334395</v>
      </c>
      <c r="G3046" t="s">
        <v>35</v>
      </c>
      <c r="H3046">
        <v>13</v>
      </c>
      <c r="I3046">
        <v>18</v>
      </c>
      <c r="J3046">
        <v>32</v>
      </c>
      <c r="K3046">
        <v>8</v>
      </c>
      <c r="L3046" t="s">
        <v>27</v>
      </c>
      <c r="M3046">
        <v>5.335018936</v>
      </c>
      <c r="N3046" t="s">
        <v>28</v>
      </c>
      <c r="O3046" t="s">
        <v>29</v>
      </c>
      <c r="P3046">
        <f>VLOOKUP(O3046, Coordinates!$A$2:$C$6, 2, FALSE)</f>
        <v>29.760400000000001</v>
      </c>
      <c r="Q3046">
        <f>VLOOKUP(O3046, Coordinates!$A$2:$C$6, 3, FALSE)</f>
        <v>-95.369799999999998</v>
      </c>
      <c r="R3046">
        <v>12</v>
      </c>
      <c r="S3046">
        <v>895</v>
      </c>
      <c r="T3046">
        <v>4</v>
      </c>
      <c r="U3046">
        <v>92.312395056638906</v>
      </c>
      <c r="V3046" t="s">
        <v>55</v>
      </c>
      <c r="W3046">
        <v>2.8918009311411201</v>
      </c>
      <c r="X3046" t="s">
        <v>40</v>
      </c>
      <c r="Y3046" t="s">
        <v>41</v>
      </c>
      <c r="Z3046">
        <v>408.47264781347201</v>
      </c>
    </row>
    <row r="3047" spans="1:26" x14ac:dyDescent="0.3">
      <c r="A3047" t="s">
        <v>24</v>
      </c>
      <c r="B3047" t="s">
        <v>1605</v>
      </c>
      <c r="C3047">
        <v>34.426293713815703</v>
      </c>
      <c r="D3047">
        <v>1</v>
      </c>
      <c r="E3047">
        <v>537</v>
      </c>
      <c r="F3047">
        <v>16638.227751887101</v>
      </c>
      <c r="G3047" t="s">
        <v>35</v>
      </c>
      <c r="H3047">
        <v>77</v>
      </c>
      <c r="I3047">
        <v>3</v>
      </c>
      <c r="J3047">
        <v>11</v>
      </c>
      <c r="K3047">
        <v>8</v>
      </c>
      <c r="L3047" t="s">
        <v>44</v>
      </c>
      <c r="M3047">
        <v>13.382505150668299</v>
      </c>
      <c r="N3047" t="s">
        <v>45</v>
      </c>
      <c r="O3047" t="s">
        <v>38</v>
      </c>
      <c r="P3047">
        <f>VLOOKUP(O3047, Coordinates!$A$2:$C$6, 2, FALSE)</f>
        <v>25.761700000000001</v>
      </c>
      <c r="Q3047">
        <f>VLOOKUP(O3047, Coordinates!$A$2:$C$6, 3, FALSE)</f>
        <v>-80.191800000000001</v>
      </c>
      <c r="R3047">
        <v>27</v>
      </c>
      <c r="S3047">
        <v>698</v>
      </c>
      <c r="T3047">
        <v>10</v>
      </c>
      <c r="U3047">
        <v>81.110105810750596</v>
      </c>
      <c r="V3047" t="s">
        <v>39</v>
      </c>
      <c r="W3047">
        <v>3.5037425866225198</v>
      </c>
      <c r="X3047" t="s">
        <v>46</v>
      </c>
      <c r="Y3047" t="s">
        <v>41</v>
      </c>
      <c r="Z3047">
        <v>854.89520294920897</v>
      </c>
    </row>
    <row r="3048" spans="1:26" x14ac:dyDescent="0.3">
      <c r="A3048" t="s">
        <v>72</v>
      </c>
      <c r="B3048" t="s">
        <v>2483</v>
      </c>
      <c r="C3048">
        <v>23.648312484239799</v>
      </c>
      <c r="D3048">
        <v>67</v>
      </c>
      <c r="E3048">
        <v>432</v>
      </c>
      <c r="F3048">
        <v>9194.4638938724493</v>
      </c>
      <c r="G3048" t="s">
        <v>48</v>
      </c>
      <c r="H3048">
        <v>44</v>
      </c>
      <c r="I3048">
        <v>8</v>
      </c>
      <c r="J3048">
        <v>100</v>
      </c>
      <c r="K3048">
        <v>10</v>
      </c>
      <c r="L3048" t="s">
        <v>27</v>
      </c>
      <c r="M3048">
        <v>9.8656737556589107</v>
      </c>
      <c r="N3048" t="s">
        <v>57</v>
      </c>
      <c r="O3048" t="s">
        <v>29</v>
      </c>
      <c r="P3048">
        <f>VLOOKUP(O3048, Coordinates!$A$2:$C$6, 2, FALSE)</f>
        <v>29.760400000000001</v>
      </c>
      <c r="Q3048">
        <f>VLOOKUP(O3048, Coordinates!$A$2:$C$6, 3, FALSE)</f>
        <v>-95.369799999999998</v>
      </c>
      <c r="R3048">
        <v>8</v>
      </c>
      <c r="S3048">
        <v>581</v>
      </c>
      <c r="T3048">
        <v>21</v>
      </c>
      <c r="U3048">
        <v>81.483635047514696</v>
      </c>
      <c r="V3048" t="s">
        <v>39</v>
      </c>
      <c r="W3048">
        <v>4.6552267482952097</v>
      </c>
      <c r="X3048" t="s">
        <v>31</v>
      </c>
      <c r="Y3048" t="s">
        <v>32</v>
      </c>
      <c r="Z3048">
        <v>262.46808179554398</v>
      </c>
    </row>
    <row r="3049" spans="1:26" x14ac:dyDescent="0.3">
      <c r="A3049" t="s">
        <v>33</v>
      </c>
      <c r="B3049" t="s">
        <v>70</v>
      </c>
      <c r="C3049">
        <v>63.852286383720802</v>
      </c>
      <c r="D3049">
        <v>58</v>
      </c>
      <c r="E3049">
        <v>938</v>
      </c>
      <c r="F3049">
        <v>3686.05595032984</v>
      </c>
      <c r="G3049" t="s">
        <v>48</v>
      </c>
      <c r="H3049">
        <v>80</v>
      </c>
      <c r="I3049">
        <v>4</v>
      </c>
      <c r="J3049">
        <v>61</v>
      </c>
      <c r="K3049">
        <v>8</v>
      </c>
      <c r="L3049" t="s">
        <v>27</v>
      </c>
      <c r="M3049">
        <v>2.0562990967152901</v>
      </c>
      <c r="N3049" t="s">
        <v>57</v>
      </c>
      <c r="O3049" t="s">
        <v>29</v>
      </c>
      <c r="P3049">
        <f>VLOOKUP(O3049, Coordinates!$A$2:$C$6, 2, FALSE)</f>
        <v>29.760400000000001</v>
      </c>
      <c r="Q3049">
        <f>VLOOKUP(O3049, Coordinates!$A$2:$C$6, 3, FALSE)</f>
        <v>-95.369799999999998</v>
      </c>
      <c r="R3049">
        <v>8</v>
      </c>
      <c r="S3049">
        <v>923</v>
      </c>
      <c r="T3049">
        <v>9</v>
      </c>
      <c r="U3049">
        <v>25.648076444861399</v>
      </c>
      <c r="V3049" t="s">
        <v>39</v>
      </c>
      <c r="W3049">
        <v>4.4198714935592402</v>
      </c>
      <c r="X3049" t="s">
        <v>46</v>
      </c>
      <c r="Y3049" t="s">
        <v>60</v>
      </c>
      <c r="Z3049">
        <v>645.770701481277</v>
      </c>
    </row>
    <row r="3050" spans="1:26" x14ac:dyDescent="0.3">
      <c r="A3050" t="s">
        <v>42</v>
      </c>
      <c r="B3050" t="s">
        <v>2625</v>
      </c>
      <c r="C3050">
        <v>74.396785360818399</v>
      </c>
      <c r="D3050">
        <v>53</v>
      </c>
      <c r="E3050">
        <v>968</v>
      </c>
      <c r="F3050">
        <v>4352.2204502089699</v>
      </c>
      <c r="G3050" t="s">
        <v>26</v>
      </c>
      <c r="H3050">
        <v>5</v>
      </c>
      <c r="I3050">
        <v>30</v>
      </c>
      <c r="J3050">
        <v>28</v>
      </c>
      <c r="K3050">
        <v>10</v>
      </c>
      <c r="L3050" t="s">
        <v>36</v>
      </c>
      <c r="M3050">
        <v>6.0533508663564</v>
      </c>
      <c r="N3050" t="s">
        <v>37</v>
      </c>
      <c r="O3050" t="s">
        <v>67</v>
      </c>
      <c r="P3050">
        <f>VLOOKUP(O3050, Coordinates!$A$2:$C$6, 2, FALSE)</f>
        <v>40.712800000000001</v>
      </c>
      <c r="Q3050">
        <f>VLOOKUP(O3050, Coordinates!$A$2:$C$6, 3, FALSE)</f>
        <v>-74.006</v>
      </c>
      <c r="R3050">
        <v>20</v>
      </c>
      <c r="S3050">
        <v>804</v>
      </c>
      <c r="T3050">
        <v>7</v>
      </c>
      <c r="U3050">
        <v>58.752724562924897</v>
      </c>
      <c r="V3050" t="s">
        <v>30</v>
      </c>
      <c r="W3050">
        <v>4.7259352683891196</v>
      </c>
      <c r="X3050" t="s">
        <v>52</v>
      </c>
      <c r="Y3050" t="s">
        <v>32</v>
      </c>
      <c r="Z3050">
        <v>183.67064458258801</v>
      </c>
    </row>
    <row r="3051" spans="1:26" x14ac:dyDescent="0.3">
      <c r="A3051" t="s">
        <v>42</v>
      </c>
      <c r="B3051" t="s">
        <v>1658</v>
      </c>
      <c r="D3051">
        <v>48</v>
      </c>
      <c r="E3051">
        <v>245</v>
      </c>
      <c r="F3051">
        <v>6179.6819526951103</v>
      </c>
      <c r="G3051" t="s">
        <v>54</v>
      </c>
      <c r="H3051">
        <v>74</v>
      </c>
      <c r="I3051">
        <v>4</v>
      </c>
      <c r="J3051">
        <v>47</v>
      </c>
      <c r="K3051">
        <v>2</v>
      </c>
      <c r="L3051" t="s">
        <v>27</v>
      </c>
      <c r="M3051">
        <v>11.4584849663841</v>
      </c>
      <c r="N3051" t="s">
        <v>45</v>
      </c>
      <c r="O3051" t="s">
        <v>38</v>
      </c>
      <c r="P3051">
        <f>VLOOKUP(O3051, Coordinates!$A$2:$C$6, 2, FALSE)</f>
        <v>25.761700000000001</v>
      </c>
      <c r="Q3051">
        <f>VLOOKUP(O3051, Coordinates!$A$2:$C$6, 3, FALSE)</f>
        <v>-80.191800000000001</v>
      </c>
      <c r="R3051">
        <v>26</v>
      </c>
      <c r="S3051">
        <v>797</v>
      </c>
      <c r="T3051">
        <v>27</v>
      </c>
      <c r="U3051">
        <v>42.295038565101798</v>
      </c>
      <c r="V3051" t="s">
        <v>39</v>
      </c>
      <c r="W3051">
        <v>4.58403384198024</v>
      </c>
      <c r="X3051" t="s">
        <v>40</v>
      </c>
      <c r="Y3051" t="s">
        <v>60</v>
      </c>
      <c r="Z3051">
        <v>638.48431801230799</v>
      </c>
    </row>
    <row r="3052" spans="1:26" x14ac:dyDescent="0.3">
      <c r="A3052" t="s">
        <v>24</v>
      </c>
      <c r="B3052" t="s">
        <v>1148</v>
      </c>
      <c r="C3052">
        <v>23.139234749379501</v>
      </c>
      <c r="D3052">
        <v>1</v>
      </c>
      <c r="E3052">
        <v>86</v>
      </c>
      <c r="F3052">
        <v>1790.9767696019701</v>
      </c>
      <c r="G3052" t="s">
        <v>48</v>
      </c>
      <c r="H3052">
        <v>100</v>
      </c>
      <c r="I3052">
        <v>17</v>
      </c>
      <c r="J3052">
        <v>70</v>
      </c>
      <c r="K3052">
        <v>7</v>
      </c>
      <c r="L3052" t="s">
        <v>44</v>
      </c>
      <c r="M3052">
        <v>4.15470376309404</v>
      </c>
      <c r="N3052" t="s">
        <v>28</v>
      </c>
      <c r="O3052" t="s">
        <v>38</v>
      </c>
      <c r="P3052">
        <f>VLOOKUP(O3052, Coordinates!$A$2:$C$6, 2, FALSE)</f>
        <v>25.761700000000001</v>
      </c>
      <c r="Q3052">
        <f>VLOOKUP(O3052, Coordinates!$A$2:$C$6, 3, FALSE)</f>
        <v>-80.191800000000001</v>
      </c>
      <c r="R3052">
        <v>24</v>
      </c>
      <c r="S3052">
        <v>504</v>
      </c>
      <c r="T3052">
        <v>9</v>
      </c>
      <c r="U3052">
        <v>82.119557712158596</v>
      </c>
      <c r="V3052" t="s">
        <v>55</v>
      </c>
      <c r="W3052">
        <v>2.9510233371891901</v>
      </c>
      <c r="X3052" t="s">
        <v>31</v>
      </c>
      <c r="Y3052" t="s">
        <v>41</v>
      </c>
      <c r="Z3052">
        <v>642.46355460201096</v>
      </c>
    </row>
    <row r="3053" spans="1:26" x14ac:dyDescent="0.3">
      <c r="A3053" t="s">
        <v>82</v>
      </c>
      <c r="B3053" t="s">
        <v>2169</v>
      </c>
      <c r="C3053">
        <v>59.571491807859502</v>
      </c>
      <c r="D3053">
        <v>74</v>
      </c>
      <c r="E3053">
        <v>786</v>
      </c>
      <c r="F3053">
        <v>4457.7476643337905</v>
      </c>
      <c r="G3053" t="s">
        <v>54</v>
      </c>
      <c r="H3053">
        <v>77</v>
      </c>
      <c r="I3053">
        <v>24</v>
      </c>
      <c r="J3053">
        <v>23</v>
      </c>
      <c r="K3053">
        <v>2</v>
      </c>
      <c r="L3053" t="s">
        <v>27</v>
      </c>
      <c r="M3053">
        <v>10.4407434971851</v>
      </c>
      <c r="N3053" t="s">
        <v>51</v>
      </c>
      <c r="O3053" t="s">
        <v>65</v>
      </c>
      <c r="P3053">
        <f>VLOOKUP(O3053, Coordinates!$A$2:$C$6, 2, FALSE)</f>
        <v>41.878100000000003</v>
      </c>
      <c r="Q3053">
        <f>VLOOKUP(O3053, Coordinates!$A$2:$C$6, 3, FALSE)</f>
        <v>-87.629800000000003</v>
      </c>
      <c r="R3053">
        <v>20</v>
      </c>
      <c r="S3053">
        <v>461</v>
      </c>
      <c r="T3053">
        <v>12</v>
      </c>
      <c r="U3053">
        <v>42.514472357965502</v>
      </c>
      <c r="V3053" t="s">
        <v>55</v>
      </c>
      <c r="W3053">
        <v>4.9008992406161402</v>
      </c>
      <c r="X3053" t="s">
        <v>46</v>
      </c>
      <c r="Y3053" t="s">
        <v>60</v>
      </c>
      <c r="Z3053">
        <v>304.80024072986998</v>
      </c>
    </row>
    <row r="3054" spans="1:26" x14ac:dyDescent="0.3">
      <c r="A3054" t="s">
        <v>72</v>
      </c>
      <c r="B3054" t="s">
        <v>261</v>
      </c>
      <c r="C3054">
        <v>21.519467916074799</v>
      </c>
      <c r="D3054">
        <v>81</v>
      </c>
      <c r="E3054">
        <v>196</v>
      </c>
      <c r="F3054">
        <v>3796.0341403955999</v>
      </c>
      <c r="G3054" t="s">
        <v>35</v>
      </c>
      <c r="H3054">
        <v>5</v>
      </c>
      <c r="I3054">
        <v>11</v>
      </c>
      <c r="J3054">
        <v>17</v>
      </c>
      <c r="K3054">
        <v>8</v>
      </c>
      <c r="L3054" t="s">
        <v>27</v>
      </c>
      <c r="M3054">
        <v>3.7579027817451598</v>
      </c>
      <c r="N3054" t="s">
        <v>45</v>
      </c>
      <c r="O3054" t="s">
        <v>38</v>
      </c>
      <c r="P3054">
        <f>VLOOKUP(O3054, Coordinates!$A$2:$C$6, 2, FALSE)</f>
        <v>25.761700000000001</v>
      </c>
      <c r="Q3054">
        <f>VLOOKUP(O3054, Coordinates!$A$2:$C$6, 3, FALSE)</f>
        <v>-80.191800000000001</v>
      </c>
      <c r="R3054">
        <v>28</v>
      </c>
      <c r="S3054">
        <v>741</v>
      </c>
      <c r="T3054">
        <v>3</v>
      </c>
      <c r="U3054">
        <v>84.251258462546502</v>
      </c>
      <c r="V3054" t="s">
        <v>39</v>
      </c>
      <c r="W3054">
        <v>4.4024880838453599</v>
      </c>
      <c r="X3054" t="s">
        <v>46</v>
      </c>
      <c r="Y3054" t="s">
        <v>32</v>
      </c>
      <c r="Z3054">
        <v>829.86800284865501</v>
      </c>
    </row>
    <row r="3055" spans="1:26" x14ac:dyDescent="0.3">
      <c r="A3055" t="s">
        <v>24</v>
      </c>
      <c r="B3055" t="s">
        <v>2476</v>
      </c>
      <c r="C3055">
        <v>33.580050440000001</v>
      </c>
      <c r="D3055">
        <v>28</v>
      </c>
      <c r="E3055">
        <v>507</v>
      </c>
      <c r="F3055">
        <v>15322.577013792499</v>
      </c>
      <c r="G3055" t="s">
        <v>26</v>
      </c>
      <c r="H3055">
        <v>98</v>
      </c>
      <c r="I3055">
        <v>19</v>
      </c>
      <c r="J3055">
        <v>16</v>
      </c>
      <c r="K3055">
        <v>6</v>
      </c>
      <c r="L3055" t="s">
        <v>27</v>
      </c>
      <c r="M3055">
        <v>13.9691787625642</v>
      </c>
      <c r="N3055" t="s">
        <v>28</v>
      </c>
      <c r="O3055" t="s">
        <v>67</v>
      </c>
      <c r="P3055">
        <f>VLOOKUP(O3055, Coordinates!$A$2:$C$6, 2, FALSE)</f>
        <v>40.712800000000001</v>
      </c>
      <c r="Q3055">
        <f>VLOOKUP(O3055, Coordinates!$A$2:$C$6, 3, FALSE)</f>
        <v>-74.006</v>
      </c>
      <c r="R3055">
        <v>16</v>
      </c>
      <c r="S3055">
        <v>311</v>
      </c>
      <c r="T3055">
        <v>28</v>
      </c>
      <c r="U3055">
        <v>88.396727238161901</v>
      </c>
      <c r="V3055" t="s">
        <v>30</v>
      </c>
      <c r="W3055">
        <v>4.10274914246168</v>
      </c>
      <c r="X3055" t="s">
        <v>46</v>
      </c>
      <c r="Y3055" t="s">
        <v>60</v>
      </c>
      <c r="Z3055">
        <v>510.10935525206799</v>
      </c>
    </row>
    <row r="3056" spans="1:26" x14ac:dyDescent="0.3">
      <c r="A3056" t="s">
        <v>49</v>
      </c>
      <c r="B3056" t="s">
        <v>210</v>
      </c>
      <c r="C3056">
        <v>56.681575019999997</v>
      </c>
      <c r="D3056">
        <v>67</v>
      </c>
      <c r="E3056">
        <v>638</v>
      </c>
      <c r="F3056">
        <v>3436.0714536875998</v>
      </c>
      <c r="G3056" t="s">
        <v>48</v>
      </c>
      <c r="H3056">
        <v>35</v>
      </c>
      <c r="I3056">
        <v>26</v>
      </c>
      <c r="J3056">
        <v>11</v>
      </c>
      <c r="K3056">
        <v>4</v>
      </c>
      <c r="L3056" t="s">
        <v>44</v>
      </c>
      <c r="M3056">
        <v>8.6569126310000009</v>
      </c>
      <c r="N3056" t="s">
        <v>57</v>
      </c>
      <c r="O3056" t="s">
        <v>65</v>
      </c>
      <c r="P3056">
        <f>VLOOKUP(O3056, Coordinates!$A$2:$C$6, 2, FALSE)</f>
        <v>41.878100000000003</v>
      </c>
      <c r="Q3056">
        <f>VLOOKUP(O3056, Coordinates!$A$2:$C$6, 3, FALSE)</f>
        <v>-87.629800000000003</v>
      </c>
      <c r="R3056">
        <v>10</v>
      </c>
      <c r="S3056">
        <v>285</v>
      </c>
      <c r="T3056">
        <v>8</v>
      </c>
      <c r="U3056">
        <v>26.878806099999998</v>
      </c>
      <c r="V3056" t="s">
        <v>30</v>
      </c>
      <c r="W3056">
        <v>4.4244703737592799</v>
      </c>
      <c r="X3056" t="s">
        <v>31</v>
      </c>
      <c r="Y3056" t="s">
        <v>41</v>
      </c>
      <c r="Z3056">
        <v>996.95801576187205</v>
      </c>
    </row>
    <row r="3057" spans="1:26" x14ac:dyDescent="0.3">
      <c r="A3057" t="s">
        <v>61</v>
      </c>
      <c r="B3057" t="s">
        <v>2959</v>
      </c>
      <c r="C3057">
        <v>80.530511672582406</v>
      </c>
      <c r="D3057">
        <v>93</v>
      </c>
      <c r="E3057">
        <v>317</v>
      </c>
      <c r="F3057">
        <v>7794.8085983424598</v>
      </c>
      <c r="G3057" t="s">
        <v>48</v>
      </c>
      <c r="H3057">
        <v>40</v>
      </c>
      <c r="I3057">
        <v>21</v>
      </c>
      <c r="J3057">
        <v>36</v>
      </c>
      <c r="K3057">
        <v>9</v>
      </c>
      <c r="L3057" t="s">
        <v>27</v>
      </c>
      <c r="M3057">
        <v>8.7017054851411295</v>
      </c>
      <c r="N3057" t="s">
        <v>57</v>
      </c>
      <c r="O3057" t="s">
        <v>38</v>
      </c>
      <c r="P3057">
        <f>VLOOKUP(O3057, Coordinates!$A$2:$C$6, 2, FALSE)</f>
        <v>25.761700000000001</v>
      </c>
      <c r="Q3057">
        <f>VLOOKUP(O3057, Coordinates!$A$2:$C$6, 3, FALSE)</f>
        <v>-80.191800000000001</v>
      </c>
      <c r="R3057">
        <v>28</v>
      </c>
      <c r="S3057">
        <v>447</v>
      </c>
      <c r="T3057">
        <v>21</v>
      </c>
      <c r="U3057">
        <v>94.625501237401394</v>
      </c>
      <c r="V3057" t="s">
        <v>55</v>
      </c>
      <c r="W3057">
        <v>3.0104598627281098</v>
      </c>
      <c r="X3057" t="s">
        <v>31</v>
      </c>
      <c r="Y3057" t="s">
        <v>41</v>
      </c>
      <c r="Z3057">
        <v>374.03302898019899</v>
      </c>
    </row>
    <row r="3058" spans="1:26" x14ac:dyDescent="0.3">
      <c r="A3058" t="s">
        <v>24</v>
      </c>
      <c r="B3058" t="s">
        <v>1417</v>
      </c>
      <c r="C3058">
        <v>36.64334006</v>
      </c>
      <c r="D3058">
        <v>92</v>
      </c>
      <c r="E3058">
        <v>84</v>
      </c>
      <c r="F3058">
        <v>2770.2365085614001</v>
      </c>
      <c r="G3058" t="s">
        <v>26</v>
      </c>
      <c r="H3058">
        <v>38</v>
      </c>
      <c r="I3058">
        <v>9</v>
      </c>
      <c r="J3058">
        <v>79</v>
      </c>
      <c r="K3058">
        <v>9</v>
      </c>
      <c r="L3058" t="s">
        <v>36</v>
      </c>
      <c r="M3058">
        <v>8.8275108882299005</v>
      </c>
      <c r="N3058" t="s">
        <v>45</v>
      </c>
      <c r="O3058" t="s">
        <v>38</v>
      </c>
      <c r="P3058">
        <f>VLOOKUP(O3058, Coordinates!$A$2:$C$6, 2, FALSE)</f>
        <v>25.761700000000001</v>
      </c>
      <c r="Q3058">
        <f>VLOOKUP(O3058, Coordinates!$A$2:$C$6, 3, FALSE)</f>
        <v>-80.191800000000001</v>
      </c>
      <c r="R3058">
        <v>27</v>
      </c>
      <c r="S3058">
        <v>365</v>
      </c>
      <c r="T3058">
        <v>23</v>
      </c>
      <c r="U3058">
        <v>75.040213335673499</v>
      </c>
      <c r="V3058" t="s">
        <v>39</v>
      </c>
      <c r="W3058">
        <v>4.3666843462285998</v>
      </c>
      <c r="X3058" t="s">
        <v>52</v>
      </c>
      <c r="Y3058" t="s">
        <v>41</v>
      </c>
      <c r="Z3058">
        <v>353.95876206298999</v>
      </c>
    </row>
    <row r="3059" spans="1:26" x14ac:dyDescent="0.3">
      <c r="A3059" t="s">
        <v>33</v>
      </c>
      <c r="B3059" t="s">
        <v>830</v>
      </c>
      <c r="C3059">
        <v>48.554310334079403</v>
      </c>
      <c r="D3059">
        <v>98</v>
      </c>
      <c r="E3059">
        <v>767</v>
      </c>
      <c r="F3059">
        <v>3046.7955585117602</v>
      </c>
      <c r="G3059" t="s">
        <v>54</v>
      </c>
      <c r="H3059">
        <v>67</v>
      </c>
      <c r="I3059">
        <v>7</v>
      </c>
      <c r="J3059">
        <v>42</v>
      </c>
      <c r="K3059">
        <v>8</v>
      </c>
      <c r="L3059" t="s">
        <v>36</v>
      </c>
      <c r="M3059">
        <v>10.976777483558299</v>
      </c>
      <c r="N3059" t="s">
        <v>28</v>
      </c>
      <c r="O3059" t="s">
        <v>58</v>
      </c>
      <c r="P3059">
        <f>VLOOKUP(O3059, Coordinates!$A$2:$C$6, 2, FALSE)</f>
        <v>34.052199999999999</v>
      </c>
      <c r="Q3059">
        <f>VLOOKUP(O3059, Coordinates!$A$2:$C$6, 3, FALSE)</f>
        <v>-118.2437</v>
      </c>
      <c r="R3059">
        <v>17</v>
      </c>
      <c r="S3059">
        <v>917</v>
      </c>
      <c r="T3059">
        <v>23</v>
      </c>
      <c r="U3059">
        <v>69.239619419999997</v>
      </c>
      <c r="V3059" t="s">
        <v>55</v>
      </c>
      <c r="W3059">
        <v>0.52495659426974695</v>
      </c>
      <c r="X3059" t="s">
        <v>31</v>
      </c>
      <c r="Y3059" t="s">
        <v>41</v>
      </c>
      <c r="Z3059">
        <v>219.26258350000001</v>
      </c>
    </row>
    <row r="3060" spans="1:26" x14ac:dyDescent="0.3">
      <c r="A3060" t="s">
        <v>42</v>
      </c>
      <c r="B3060" t="s">
        <v>2736</v>
      </c>
      <c r="C3060">
        <v>7.4518923220022604</v>
      </c>
      <c r="D3060">
        <v>73</v>
      </c>
      <c r="E3060">
        <v>720</v>
      </c>
      <c r="F3060">
        <v>9009.3795030108795</v>
      </c>
      <c r="G3060" t="s">
        <v>35</v>
      </c>
      <c r="H3060">
        <v>36</v>
      </c>
      <c r="I3060">
        <v>1</v>
      </c>
      <c r="J3060">
        <v>94</v>
      </c>
      <c r="K3060">
        <v>1</v>
      </c>
      <c r="L3060" t="s">
        <v>44</v>
      </c>
      <c r="M3060">
        <v>10.327475785646</v>
      </c>
      <c r="N3060" t="s">
        <v>37</v>
      </c>
      <c r="O3060" t="s">
        <v>58</v>
      </c>
      <c r="P3060">
        <f>VLOOKUP(O3060, Coordinates!$A$2:$C$6, 2, FALSE)</f>
        <v>34.052199999999999</v>
      </c>
      <c r="Q3060">
        <f>VLOOKUP(O3060, Coordinates!$A$2:$C$6, 3, FALSE)</f>
        <v>-118.2437</v>
      </c>
      <c r="R3060">
        <v>15</v>
      </c>
      <c r="S3060">
        <v>544</v>
      </c>
      <c r="T3060">
        <v>7</v>
      </c>
      <c r="U3060">
        <v>50.421353087712397</v>
      </c>
      <c r="V3060" t="s">
        <v>30</v>
      </c>
      <c r="W3060">
        <v>3.1267742413853301</v>
      </c>
      <c r="X3060" t="s">
        <v>31</v>
      </c>
      <c r="Y3060" t="s">
        <v>41</v>
      </c>
      <c r="Z3060">
        <v>276.15270960125201</v>
      </c>
    </row>
    <row r="3061" spans="1:26" x14ac:dyDescent="0.3">
      <c r="A3061" t="s">
        <v>61</v>
      </c>
      <c r="B3061" t="s">
        <v>1059</v>
      </c>
      <c r="C3061">
        <v>12.2565697741883</v>
      </c>
      <c r="D3061">
        <v>40</v>
      </c>
      <c r="E3061">
        <v>34</v>
      </c>
      <c r="F3061">
        <v>9180.8280272337706</v>
      </c>
      <c r="G3061" t="s">
        <v>35</v>
      </c>
      <c r="H3061">
        <v>67</v>
      </c>
      <c r="I3061">
        <v>6</v>
      </c>
      <c r="J3061">
        <v>58</v>
      </c>
      <c r="K3061">
        <v>5</v>
      </c>
      <c r="L3061" t="s">
        <v>36</v>
      </c>
      <c r="M3061">
        <v>8.4320368545808506</v>
      </c>
      <c r="N3061" t="s">
        <v>28</v>
      </c>
      <c r="O3061" t="s">
        <v>38</v>
      </c>
      <c r="P3061">
        <f>VLOOKUP(O3061, Coordinates!$A$2:$C$6, 2, FALSE)</f>
        <v>25.761700000000001</v>
      </c>
      <c r="Q3061">
        <f>VLOOKUP(O3061, Coordinates!$A$2:$C$6, 3, FALSE)</f>
        <v>-80.191800000000001</v>
      </c>
      <c r="R3061">
        <v>12</v>
      </c>
      <c r="S3061">
        <v>760</v>
      </c>
      <c r="T3061">
        <v>20</v>
      </c>
      <c r="U3061">
        <v>21.962169265256701</v>
      </c>
      <c r="V3061" t="s">
        <v>55</v>
      </c>
      <c r="W3061">
        <v>4.9058721168024197</v>
      </c>
      <c r="X3061" t="s">
        <v>31</v>
      </c>
      <c r="Y3061" t="s">
        <v>32</v>
      </c>
      <c r="Z3061">
        <v>881.15927553436597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38D0D-9EB2-4CA5-A0D9-F4B1261E801D}">
  <dimension ref="A1:C6"/>
  <sheetViews>
    <sheetView workbookViewId="0">
      <selection activeCell="D14" sqref="D14"/>
    </sheetView>
  </sheetViews>
  <sheetFormatPr defaultRowHeight="14.4" x14ac:dyDescent="0.3"/>
  <cols>
    <col min="1" max="1" width="12.6640625" bestFit="1" customWidth="1"/>
    <col min="2" max="2" width="8" bestFit="1" customWidth="1"/>
    <col min="3" max="3" width="9.6640625" bestFit="1" customWidth="1"/>
  </cols>
  <sheetData>
    <row r="1" spans="1:3" x14ac:dyDescent="0.3">
      <c r="A1" s="3" t="s">
        <v>3060</v>
      </c>
      <c r="B1" s="3" t="s">
        <v>3058</v>
      </c>
      <c r="C1" s="3" t="s">
        <v>3059</v>
      </c>
    </row>
    <row r="2" spans="1:3" x14ac:dyDescent="0.3">
      <c r="A2" s="2" t="s">
        <v>58</v>
      </c>
      <c r="B2" s="2">
        <v>34.052199999999999</v>
      </c>
      <c r="C2" s="2">
        <v>-118.2437</v>
      </c>
    </row>
    <row r="3" spans="1:3" x14ac:dyDescent="0.3">
      <c r="A3" s="2" t="s">
        <v>67</v>
      </c>
      <c r="B3" s="2">
        <v>40.712800000000001</v>
      </c>
      <c r="C3" s="2">
        <v>-74.006</v>
      </c>
    </row>
    <row r="4" spans="1:3" x14ac:dyDescent="0.3">
      <c r="A4" s="2" t="s">
        <v>65</v>
      </c>
      <c r="B4" s="2">
        <v>41.878100000000003</v>
      </c>
      <c r="C4" s="2">
        <v>-87.629800000000003</v>
      </c>
    </row>
    <row r="5" spans="1:3" x14ac:dyDescent="0.3">
      <c r="A5" s="2" t="s">
        <v>29</v>
      </c>
      <c r="B5" s="2">
        <v>29.760400000000001</v>
      </c>
      <c r="C5" s="2">
        <v>-95.369799999999998</v>
      </c>
    </row>
    <row r="6" spans="1:3" x14ac:dyDescent="0.3">
      <c r="A6" s="2" t="s">
        <v>38</v>
      </c>
      <c r="B6" s="2">
        <v>25.761700000000001</v>
      </c>
      <c r="C6" s="2">
        <v>-80.191800000000001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expanded_supply_chain_data</vt:lpstr>
      <vt:lpstr>Coordinates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Syaf</dc:creator>
  <cp:lastModifiedBy>ramasyaff@gmail.com</cp:lastModifiedBy>
  <dcterms:created xsi:type="dcterms:W3CDTF">2026-05-22T05:28:06Z</dcterms:created>
  <dcterms:modified xsi:type="dcterms:W3CDTF">2026-05-22T05:30:39Z</dcterms:modified>
</cp:coreProperties>
</file>